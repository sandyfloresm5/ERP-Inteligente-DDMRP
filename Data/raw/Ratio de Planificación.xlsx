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gillonline-my.sharepoint.com/personal/sandy_flores_cargill_com/Documents/Simulador Inteligente/Data/raw/"/>
    </mc:Choice>
  </mc:AlternateContent>
  <xr:revisionPtr revIDLastSave="283" documentId="8_{D7DC9C12-481D-497D-901F-2E5A4A149A35}" xr6:coauthVersionLast="47" xr6:coauthVersionMax="47" xr10:uidLastSave="{35336D24-2B72-4F49-AC74-8CB333C7F24E}"/>
  <bookViews>
    <workbookView xWindow="-120" yWindow="-120" windowWidth="20730" windowHeight="11040" xr2:uid="{939A6D79-BFC4-4F2C-9D2F-2B1D4C82A661}"/>
  </bookViews>
  <sheets>
    <sheet name="Base" sheetId="1" r:id="rId1"/>
  </sheets>
  <externalReferences>
    <externalReference r:id="rId2"/>
  </externalReferences>
  <definedNames>
    <definedName name="_xlnm._FilterDatabase" localSheetId="0" hidden="1">Base!$A$1:$L$131</definedName>
    <definedName name="Plan_Durn_L1">[1]PDS_AQUA!#REF!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23" i="1" l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<sst xmlns="http://schemas.openxmlformats.org/spreadsheetml/2006/main" count="1004" uniqueCount="209">
  <si>
    <t>Planta</t>
  </si>
  <si>
    <t>Linea de Producto</t>
  </si>
  <si>
    <t>cod Sap</t>
  </si>
  <si>
    <t>SKU actual</t>
  </si>
  <si>
    <t>Nombre SKU actual</t>
  </si>
  <si>
    <t>Proteína</t>
  </si>
  <si>
    <t>Forma</t>
  </si>
  <si>
    <t>Calibre</t>
  </si>
  <si>
    <t>Etapa</t>
  </si>
  <si>
    <t>Container</t>
  </si>
  <si>
    <t>PESO UNITARIO</t>
  </si>
  <si>
    <t>Rate Planificación</t>
  </si>
  <si>
    <t>ACTIVE</t>
  </si>
  <si>
    <t>PURINA AQUAFEED 352 CRECIMIEN</t>
  </si>
  <si>
    <t>AP</t>
  </si>
  <si>
    <t>2.0</t>
  </si>
  <si>
    <t>GROWER</t>
  </si>
  <si>
    <t>25 KG</t>
  </si>
  <si>
    <t>ADVANCE</t>
  </si>
  <si>
    <t>AQUAXCEL ADVANCE 35 GROWER</t>
  </si>
  <si>
    <t>AX</t>
  </si>
  <si>
    <t>PURINA AQUAFEED 353 RB 2.0</t>
  </si>
  <si>
    <t>MAXIMA</t>
  </si>
  <si>
    <t>AQUAXCEL PRO MW 354 NG NT 2.0</t>
  </si>
  <si>
    <t>ADAPT SHOCK</t>
  </si>
  <si>
    <t>215354K</t>
  </si>
  <si>
    <t>AQUAXCEL MW 354GRO SHOCK 2.0</t>
  </si>
  <si>
    <t>ADAPT OSMO - BAS. ADV.</t>
  </si>
  <si>
    <t>PURINA AQUAFEED 353 LS PRT</t>
  </si>
  <si>
    <t>AQUAXCEL ACTIVE 35% 2.0</t>
  </si>
  <si>
    <t>AQUAXCEL ACTIVE 35% 2.0 AP</t>
  </si>
  <si>
    <t>AQUAXCEL ACTIVE 35%LS 2.0AP</t>
  </si>
  <si>
    <t>AQUAXCEL ADVANCE 35% 0.8</t>
  </si>
  <si>
    <t>0.8</t>
  </si>
  <si>
    <t>STARTER</t>
  </si>
  <si>
    <t>AQUAXCEL ADVANCE 35% 1.2</t>
  </si>
  <si>
    <t>1.2</t>
  </si>
  <si>
    <t>AQUAXCEL ADVANCE 35% 1.6</t>
  </si>
  <si>
    <t>1.6</t>
  </si>
  <si>
    <t>AQUAXCEL ADVANCE 35% 2.0</t>
  </si>
  <si>
    <t>AQUAXCEL ADVANCE 35% 2.0 AP</t>
  </si>
  <si>
    <t>AQUAXCEL ADVANCE 35 EE2.0AP</t>
  </si>
  <si>
    <t>AQUAXCEL ADVANCE 35 AE2.0AP</t>
  </si>
  <si>
    <t>AQUAXCEL ADVANCE 35% AE 2.0</t>
  </si>
  <si>
    <t>501026MA</t>
  </si>
  <si>
    <t>511026MA</t>
  </si>
  <si>
    <t>RAPID</t>
  </si>
  <si>
    <t>AQUAXCEL RAPID 45% SLD 0.6</t>
  </si>
  <si>
    <t>0.6</t>
  </si>
  <si>
    <t>AQUAXCEL RAPID 42% SLD 0.8</t>
  </si>
  <si>
    <t xml:space="preserve">AQUAXCEL RAPID 35% SLD 1.2 </t>
  </si>
  <si>
    <t>AQUAXCEL RAPID 35% 2.0</t>
  </si>
  <si>
    <t>AQUAXCEL RAPID 35% 2.0 AP</t>
  </si>
  <si>
    <t>423061OM</t>
  </si>
  <si>
    <t>AQUAXCEL MAXIMA 45% NT 0.6</t>
  </si>
  <si>
    <t>AQUAXCEL MAXIMA 45% NT 0.8</t>
  </si>
  <si>
    <t>AQUAXCEL MAXIMA 35% NT 1.2</t>
  </si>
  <si>
    <t>523026OM</t>
  </si>
  <si>
    <t>AQUAXCEL MAXIMA 35% NT 2.0</t>
  </si>
  <si>
    <t>AQUAXCEL MAXIMA 35% 2.0 AP</t>
  </si>
  <si>
    <t>503025NA</t>
  </si>
  <si>
    <t>NATURISA MAXIMA 35% 1.8</t>
  </si>
  <si>
    <t>1.8</t>
  </si>
  <si>
    <t>AQUAXCEL ADAPT SH35% RD 1.2</t>
  </si>
  <si>
    <t>423461OM</t>
  </si>
  <si>
    <t>AQUAXCEL ADAPT SH45% NTMX0.6</t>
  </si>
  <si>
    <t>AQUAXCEL</t>
  </si>
  <si>
    <t>AQUAXCEL ADAPT SH42% RD 0.8 - AX 0.8</t>
  </si>
  <si>
    <t>423462OM</t>
  </si>
  <si>
    <t>AQUAXCEL ADAPT SH45% NTMX0.8</t>
  </si>
  <si>
    <t>AQUAXCEL ADAPT SH35% NTMX1.2</t>
  </si>
  <si>
    <t>503425NA</t>
  </si>
  <si>
    <t>NATURISA ADAPT SH 35% MX 1.8</t>
  </si>
  <si>
    <t>AQUAXCEL ADAPT SH35% RD 2.0</t>
  </si>
  <si>
    <t>ADAPT OSMO - BAS. RAP.</t>
  </si>
  <si>
    <t>AQUAXCEL ADAPT OSM42% RD 1.2</t>
  </si>
  <si>
    <t>AQUAXCEL ADAPT OSM35% RD 1.6</t>
  </si>
  <si>
    <t>AQUAXCEL ADAPT OSM35% RD 2.0</t>
  </si>
  <si>
    <t>AQUAXCEL ADAPT OSM35 RD2.0AP</t>
  </si>
  <si>
    <t>AQUAXCEL ADAPT OSM 35% AD AP</t>
  </si>
  <si>
    <t>AQUAXCEL ADAPT OSM35 AD EEAP</t>
  </si>
  <si>
    <t>NATURISA MAXIMA 35% 1.2</t>
  </si>
  <si>
    <t>502226CD</t>
  </si>
  <si>
    <t>AQUAXCEL ADT OSM35% RD2.0 CD</t>
  </si>
  <si>
    <t>AQUAXCEL MAXIMA 35% 2.0</t>
  </si>
  <si>
    <t>AQUAXCEL ADAPT OSM35 AD 2.0</t>
  </si>
  <si>
    <t>405023SP</t>
  </si>
  <si>
    <t>AQUAXCEL ADVANCE 35% AE 1.2</t>
  </si>
  <si>
    <t>405022SP</t>
  </si>
  <si>
    <t>AQUAXCEL ADVANCE 35% AE 0.8</t>
  </si>
  <si>
    <t>AQUAXCEL ADVANCE 35% AE 1.6</t>
  </si>
  <si>
    <t>AQUAXCEL MAXIMA 35% AE 2.0</t>
  </si>
  <si>
    <t xml:space="preserve">AQUAXCEL MW 424 STRT EXP 0.8 </t>
  </si>
  <si>
    <t>PURINA</t>
  </si>
  <si>
    <t>PURINA AQUAFEED 353 CRECI EXP</t>
  </si>
  <si>
    <t>PURINA AQUAFEED 352 CRECI EXP</t>
  </si>
  <si>
    <t>ECOFEED</t>
  </si>
  <si>
    <t xml:space="preserve">PURINA ECOFEED 281 HU  </t>
  </si>
  <si>
    <t>PURINA ECOFEED 351 CRECIMIENT</t>
  </si>
  <si>
    <t>PURINA ECOFEED 281 CRECIMIENT</t>
  </si>
  <si>
    <t>AQUAXCEL MW 353 STRT EXP 1.2</t>
  </si>
  <si>
    <t>AQUAXCEL MAXIMA 35% 1.2</t>
  </si>
  <si>
    <t>AQUAXCEL MW 353 STRT EXP 0.8</t>
  </si>
  <si>
    <t xml:space="preserve">AQUAXCEL RAPID 42% 0.6 NA </t>
  </si>
  <si>
    <t>AQUAXCEL RAPID 40% 0.8 NA</t>
  </si>
  <si>
    <t>503026CH</t>
  </si>
  <si>
    <t>502026NA</t>
  </si>
  <si>
    <t>AQUAXCEL RAPID FD 35%</t>
  </si>
  <si>
    <t>503526CH</t>
  </si>
  <si>
    <t>515026A1</t>
  </si>
  <si>
    <t>AQUAXCEL ADVANCE 35 AE AP2.0</t>
  </si>
  <si>
    <t>AQUAXCEL ADVANCE 35 AEP AP2.0</t>
  </si>
  <si>
    <t>AQUAXCEL MAXIMA 35% 2.0 AP NA</t>
  </si>
  <si>
    <t>AQUAXCEL MAXIMA 35% 1.6</t>
  </si>
  <si>
    <t>NUCLEO AQUAXCEL MAXIMA 35% 2.0 AP</t>
  </si>
  <si>
    <t>HR</t>
  </si>
  <si>
    <t>NÚCLEO AQUAXCEL ADVANCE 35% 2.0 AP</t>
  </si>
  <si>
    <t>NUCLEO PURINA AQFEED 353 NG</t>
  </si>
  <si>
    <t>FKT</t>
  </si>
  <si>
    <t>LIQUALIFE</t>
  </si>
  <si>
    <t>LIQUALIFE Z-M</t>
  </si>
  <si>
    <t>MO</t>
  </si>
  <si>
    <t>13 - 150 micras</t>
  </si>
  <si>
    <t>01 KG</t>
  </si>
  <si>
    <t>LIQUALIFE M-PL</t>
  </si>
  <si>
    <t>150 - 300 micras</t>
  </si>
  <si>
    <t>LIQUALIFE PL</t>
  </si>
  <si>
    <t>300 - 600 micras</t>
  </si>
  <si>
    <t>5800NT</t>
  </si>
  <si>
    <t>5801NT</t>
  </si>
  <si>
    <t>5802NT</t>
  </si>
  <si>
    <t>GUAYAQUIL</t>
  </si>
  <si>
    <t>220352CA</t>
  </si>
  <si>
    <t>220352MA</t>
  </si>
  <si>
    <t>413035CA</t>
  </si>
  <si>
    <t>413035MA</t>
  </si>
  <si>
    <t>422353CA</t>
  </si>
  <si>
    <t>424353CA</t>
  </si>
  <si>
    <t>701026MA</t>
  </si>
  <si>
    <t>711026MA</t>
  </si>
  <si>
    <t>723026OM</t>
  </si>
  <si>
    <t>703025NA</t>
  </si>
  <si>
    <t>703425NA</t>
  </si>
  <si>
    <t xml:space="preserve">AQUAXCEL ADAPT SH35% RD 2.0 </t>
  </si>
  <si>
    <t>702226CD</t>
  </si>
  <si>
    <t>605023SP</t>
  </si>
  <si>
    <t>605022SP</t>
  </si>
  <si>
    <t>711226MA</t>
  </si>
  <si>
    <t>116505K</t>
  </si>
  <si>
    <t>AQUAXCEL HATCHERY SLD 50 1.2</t>
  </si>
  <si>
    <t>220351CA</t>
  </si>
  <si>
    <t>705026SP</t>
  </si>
  <si>
    <t>AQUAXCEL ADVANCE 35 AEP2.0</t>
  </si>
  <si>
    <t>703026CH</t>
  </si>
  <si>
    <t>702026NA</t>
  </si>
  <si>
    <t>MAQUILA</t>
  </si>
  <si>
    <t>220351MA</t>
  </si>
  <si>
    <t>AQUAXCEL ADAPT OSM35% RD 1.6 NA</t>
  </si>
  <si>
    <t>AQUAXCEL ADAPT OSM35% RD 1.6 PV</t>
  </si>
  <si>
    <t>116505CA</t>
  </si>
  <si>
    <t xml:space="preserve">AQUAXCEL HATCHERY SLD 50 0.3 </t>
  </si>
  <si>
    <t>0.3</t>
  </si>
  <si>
    <t>20 KG</t>
  </si>
  <si>
    <t>20</t>
  </si>
  <si>
    <t>25</t>
  </si>
  <si>
    <t>703526CH</t>
  </si>
  <si>
    <t>AQUAXCEL MAXIMA 35 % 2.0</t>
  </si>
  <si>
    <t>705026A1</t>
  </si>
  <si>
    <t>702026CH</t>
  </si>
  <si>
    <t>AQUAXCEL RAPID LI 35% 2.0</t>
  </si>
  <si>
    <t>NUCLEO</t>
  </si>
  <si>
    <t>NUCLEO MAQUILA ADM 701026MA</t>
  </si>
  <si>
    <t>NUCLEO MAQUILA ADM 701226MA</t>
  </si>
  <si>
    <t>AQUAXCEL MAXIMA 35% 2.0 PV</t>
  </si>
  <si>
    <t>DURAN</t>
  </si>
  <si>
    <t>705026P1</t>
  </si>
  <si>
    <t>AQUAXCEL ADVANCE 35 AEP 2.0</t>
  </si>
  <si>
    <t xml:space="preserve"> </t>
  </si>
  <si>
    <t>513526AP</t>
  </si>
  <si>
    <t>515026P1AP</t>
  </si>
  <si>
    <t>502026NAAX</t>
  </si>
  <si>
    <t>402042NAAX</t>
  </si>
  <si>
    <t>402623AX</t>
  </si>
  <si>
    <t>405024SPAX</t>
  </si>
  <si>
    <t>423423OMAX</t>
  </si>
  <si>
    <t>402652AX</t>
  </si>
  <si>
    <t>423023OMAX</t>
  </si>
  <si>
    <t>240353AP</t>
  </si>
  <si>
    <t>515026A1AP</t>
  </si>
  <si>
    <t>401023AX</t>
  </si>
  <si>
    <t>514226PTAP</t>
  </si>
  <si>
    <t>220281AP</t>
  </si>
  <si>
    <t>403023NAAX</t>
  </si>
  <si>
    <t>510026AP</t>
  </si>
  <si>
    <t>402452AX</t>
  </si>
  <si>
    <t>513526NAAP</t>
  </si>
  <si>
    <t>405224NAAX</t>
  </si>
  <si>
    <t>502224AX</t>
  </si>
  <si>
    <t>423062OMAX</t>
  </si>
  <si>
    <t>401024AX</t>
  </si>
  <si>
    <t>240352AP</t>
  </si>
  <si>
    <t>403023PTAX</t>
  </si>
  <si>
    <t>402253PRAX</t>
  </si>
  <si>
    <t>402661AX</t>
  </si>
  <si>
    <t>130353JAX</t>
  </si>
  <si>
    <t>402051NAAX</t>
  </si>
  <si>
    <t>512026AP</t>
  </si>
  <si>
    <t>401022AX</t>
  </si>
  <si>
    <t>130353AX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</si>
</sst>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9" fontId="3" fillId="0" borderId="0" xfId="1" applyFont="1" applyFill="1" applyBorder="1" applyAlignment="1">
      <alignment horizontal="left" vertical="center"/>
    </xf>
    <xf numFmtId="9" fontId="3" fillId="0" borderId="0" xfId="1" applyFont="1" applyFill="1" applyBorder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9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9" fontId="3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8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rgillonline.sharepoint.com/sites/CQN_Latam_North/CQN_Ecuador/FSQ/06%20OPERACIONES/15%20Planificaci&#243;n%20de%20Producci&#243;n/2026/07%20Julio/AQUA-DPS-WK27.xlsm" TargetMode="External"/><Relationship Id="rId1" Type="http://schemas.openxmlformats.org/officeDocument/2006/relationships/externalLinkPath" Target="https://cargillonline.sharepoint.com/sites/CQN_Latam_North/CQN_Ecuador/FSQ/06%20OPERACIONES/15%20Planificaci&#243;n%20de%20Producci&#243;n/2026/07%20Julio/AQUA-DPS-WK2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de Datos"/>
      <sheetName val="Métricas"/>
      <sheetName val="TD"/>
      <sheetName val="Resumen Mezcla"/>
      <sheetName val="Resumen PT"/>
      <sheetName val="Hoja2"/>
      <sheetName val="PDS_AQU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AE10B8-EE7C-48AB-AC49-8FD01412C691}" name="Table5" displayName="Table5" ref="A1:L131" totalsRowShown="0" headerRowDxfId="17" dataDxfId="15" headerRowBorderDxfId="16" tableBorderDxfId="14" totalsRowBorderDxfId="13">
  <autoFilter ref="A1:L131" xr:uid="{A7AE10B8-EE7C-48AB-AC49-8FD01412C691}"/>
  <tableColumns count="12">
    <tableColumn id="1" xr3:uid="{8844C5A6-F0DF-471E-954B-7686997BAE9E}" name="Planta" dataDxfId="12"/>
    <tableColumn id="2" xr3:uid="{4AB684F7-0B3D-47AC-9D65-129F10F37ED4}" name="Linea de Producto" dataDxfId="11"/>
    <tableColumn id="3" xr3:uid="{58BDC989-9629-48BE-91E5-E74DC56AE930}" name="cod Sap" dataDxfId="9"/>
    <tableColumn id="4" xr3:uid="{518F6D22-E066-4D7E-B08C-A7C732885C21}" name="SKU actual" dataDxfId="8"/>
    <tableColumn id="5" xr3:uid="{91529310-3F17-49F8-9F69-F2B1B5F2468E}" name="Nombre SKU actual" dataDxfId="7"/>
    <tableColumn id="6" xr3:uid="{5CA65B04-B00E-4F81-A7B7-0351BFB548B0}" name="Proteína" dataDxfId="6"/>
    <tableColumn id="7" xr3:uid="{B1B4D9E3-E68E-49B1-9F0A-97317A429AE2}" name="Forma" dataDxfId="5"/>
    <tableColumn id="8" xr3:uid="{3AF7300F-5E3B-43B1-8943-8087B040DC61}" name="Calibre" dataDxfId="4"/>
    <tableColumn id="9" xr3:uid="{523F9F3F-34A1-47A8-BC07-05142D5037B7}" name="Etapa" dataDxfId="3"/>
    <tableColumn id="10" xr3:uid="{8EBFDC5C-400B-4AE2-A525-04B3CDF6A687}" name="Container" dataDxfId="2"/>
    <tableColumn id="11" xr3:uid="{34E81239-E52B-407A-AD8C-CE8039416705}" name="PESO UNITARIO" dataDxfId="1">
      <calculatedColumnFormula>LEFT(J2,2)</calculatedColumnFormula>
    </tableColumn>
    <tableColumn id="12" xr3:uid="{3643C750-439C-45E9-942E-582AEE8E5225}" name="Rate Planificac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7586-24B9-4882-80F0-A0F485A88699}">
  <dimension ref="A1:L134"/>
  <sheetViews>
    <sheetView showGridLines="0" tabSelected="1" topLeftCell="C1" zoomScale="85" zoomScaleNormal="85" workbookViewId="0">
      <pane ySplit="1" topLeftCell="A31" activePane="bottomLeft" state="frozen"/>
      <selection pane="bottomLeft" activeCell="F129" sqref="F129"/>
    </sheetView>
  </sheetViews>
  <sheetFormatPr baseColWidth="10" defaultColWidth="11.42578125" defaultRowHeight="15" customHeight="1" x14ac:dyDescent="0.25"/>
  <cols>
    <col min="1" max="1" width="19.28515625" style="5" customWidth="1"/>
    <col min="2" max="2" width="32.42578125" style="5" customWidth="1"/>
    <col min="3" max="3" width="18.85546875" style="5" customWidth="1"/>
    <col min="4" max="4" width="20.5703125" style="5" customWidth="1"/>
    <col min="5" max="5" width="42.7109375" style="5" customWidth="1"/>
    <col min="6" max="6" width="16.5703125" style="5" customWidth="1"/>
    <col min="7" max="7" width="14.85546875" style="5" customWidth="1"/>
    <col min="8" max="8" width="19.28515625" style="5" customWidth="1"/>
    <col min="9" max="9" width="16.42578125" style="5" customWidth="1"/>
    <col min="10" max="10" width="18.5703125" style="4" customWidth="1"/>
    <col min="11" max="11" width="21.7109375" style="4" customWidth="1"/>
    <col min="12" max="12" width="23.85546875" style="4" customWidth="1"/>
    <col min="13" max="16384" width="11.42578125" style="4"/>
  </cols>
  <sheetData>
    <row r="1" spans="1:12" ht="14.1" customHeight="1" x14ac:dyDescent="0.25">
      <c r="A1" s="3" t="s">
        <v>0</v>
      </c>
      <c r="B1" s="3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7" t="s">
        <v>9</v>
      </c>
      <c r="K1" s="17" t="s">
        <v>10</v>
      </c>
      <c r="L1" s="17" t="s">
        <v>11</v>
      </c>
    </row>
    <row r="2" spans="1:12" x14ac:dyDescent="0.25">
      <c r="A2" s="5" t="s">
        <v>174</v>
      </c>
      <c r="B2" s="5" t="s">
        <v>12</v>
      </c>
      <c r="C2" s="9">
        <v>107679410</v>
      </c>
      <c r="D2" s="8">
        <v>220352</v>
      </c>
      <c r="E2" s="9" t="s">
        <v>13</v>
      </c>
      <c r="F2" s="10">
        <v>0.35</v>
      </c>
      <c r="G2" s="9" t="s">
        <v>14</v>
      </c>
      <c r="H2" s="9" t="s">
        <v>15</v>
      </c>
      <c r="I2" s="9" t="s">
        <v>16</v>
      </c>
      <c r="J2" s="11" t="s">
        <v>17</v>
      </c>
      <c r="K2" s="11" t="str">
        <f t="shared" ref="K2:K22" si="0">LEFT(J2,2)</f>
        <v>25</v>
      </c>
      <c r="L2" s="11">
        <v>10</v>
      </c>
    </row>
    <row r="3" spans="1:12" x14ac:dyDescent="0.25">
      <c r="A3" s="5" t="s">
        <v>174</v>
      </c>
      <c r="B3" s="5" t="s">
        <v>18</v>
      </c>
      <c r="C3" s="9">
        <v>107677375</v>
      </c>
      <c r="D3" s="9">
        <v>413035</v>
      </c>
      <c r="E3" s="9" t="s">
        <v>19</v>
      </c>
      <c r="F3" s="10">
        <v>0.35</v>
      </c>
      <c r="G3" s="9" t="s">
        <v>20</v>
      </c>
      <c r="H3" s="9" t="s">
        <v>15</v>
      </c>
      <c r="I3" s="9" t="s">
        <v>16</v>
      </c>
      <c r="J3" s="11" t="s">
        <v>17</v>
      </c>
      <c r="K3" s="11" t="str">
        <f t="shared" si="0"/>
        <v>25</v>
      </c>
      <c r="L3" s="11">
        <v>12</v>
      </c>
    </row>
    <row r="4" spans="1:12" x14ac:dyDescent="0.25">
      <c r="A4" s="5" t="s">
        <v>174</v>
      </c>
      <c r="B4" s="5" t="s">
        <v>18</v>
      </c>
      <c r="C4" s="9">
        <v>107710431</v>
      </c>
      <c r="D4" s="9">
        <v>422353</v>
      </c>
      <c r="E4" s="9" t="s">
        <v>21</v>
      </c>
      <c r="F4" s="10">
        <v>0.35</v>
      </c>
      <c r="G4" s="9" t="s">
        <v>14</v>
      </c>
      <c r="H4" s="9" t="s">
        <v>15</v>
      </c>
      <c r="I4" s="9" t="s">
        <v>16</v>
      </c>
      <c r="J4" s="11" t="s">
        <v>17</v>
      </c>
      <c r="K4" s="11" t="str">
        <f t="shared" si="0"/>
        <v>25</v>
      </c>
      <c r="L4" s="11">
        <v>10</v>
      </c>
    </row>
    <row r="5" spans="1:12" x14ac:dyDescent="0.25">
      <c r="A5" s="5" t="s">
        <v>174</v>
      </c>
      <c r="B5" s="5" t="s">
        <v>22</v>
      </c>
      <c r="C5" s="9">
        <v>107708693</v>
      </c>
      <c r="D5" s="9">
        <v>212354</v>
      </c>
      <c r="E5" s="9" t="s">
        <v>23</v>
      </c>
      <c r="F5" s="10">
        <v>0.35</v>
      </c>
      <c r="G5" s="9" t="s">
        <v>20</v>
      </c>
      <c r="H5" s="9" t="s">
        <v>15</v>
      </c>
      <c r="I5" s="9" t="s">
        <v>16</v>
      </c>
      <c r="J5" s="11" t="s">
        <v>17</v>
      </c>
      <c r="K5" s="11" t="str">
        <f t="shared" si="0"/>
        <v>25</v>
      </c>
      <c r="L5" s="11">
        <v>12</v>
      </c>
    </row>
    <row r="6" spans="1:12" x14ac:dyDescent="0.25">
      <c r="A6" s="5" t="s">
        <v>174</v>
      </c>
      <c r="B6" s="5" t="s">
        <v>24</v>
      </c>
      <c r="C6" s="9">
        <v>107708702</v>
      </c>
      <c r="D6" s="9" t="s">
        <v>25</v>
      </c>
      <c r="E6" s="9" t="s">
        <v>26</v>
      </c>
      <c r="F6" s="10">
        <v>0.35</v>
      </c>
      <c r="G6" s="9" t="s">
        <v>20</v>
      </c>
      <c r="H6" s="9" t="s">
        <v>15</v>
      </c>
      <c r="I6" s="9" t="s">
        <v>16</v>
      </c>
      <c r="J6" s="11" t="s">
        <v>17</v>
      </c>
      <c r="K6" s="11" t="str">
        <f t="shared" si="0"/>
        <v>25</v>
      </c>
      <c r="L6" s="11">
        <v>12</v>
      </c>
    </row>
    <row r="7" spans="1:12" x14ac:dyDescent="0.25">
      <c r="A7" s="5" t="s">
        <v>174</v>
      </c>
      <c r="B7" s="5" t="s">
        <v>27</v>
      </c>
      <c r="C7" s="9">
        <v>107708588</v>
      </c>
      <c r="D7" s="9">
        <v>424353</v>
      </c>
      <c r="E7" s="9" t="s">
        <v>28</v>
      </c>
      <c r="F7" s="10">
        <v>0.35</v>
      </c>
      <c r="G7" s="9" t="s">
        <v>14</v>
      </c>
      <c r="H7" s="9" t="s">
        <v>15</v>
      </c>
      <c r="I7" s="9" t="s">
        <v>16</v>
      </c>
      <c r="J7" s="11" t="s">
        <v>17</v>
      </c>
      <c r="K7" s="11" t="str">
        <f t="shared" si="0"/>
        <v>25</v>
      </c>
      <c r="L7" s="11">
        <v>10</v>
      </c>
    </row>
    <row r="8" spans="1:12" x14ac:dyDescent="0.25">
      <c r="A8" s="5" t="s">
        <v>174</v>
      </c>
      <c r="B8" s="5" t="s">
        <v>12</v>
      </c>
      <c r="C8" s="9">
        <v>107710380</v>
      </c>
      <c r="D8" s="9">
        <v>500026</v>
      </c>
      <c r="E8" s="9" t="s">
        <v>29</v>
      </c>
      <c r="F8" s="10">
        <v>0.35</v>
      </c>
      <c r="G8" s="9" t="s">
        <v>20</v>
      </c>
      <c r="H8" s="9" t="s">
        <v>15</v>
      </c>
      <c r="I8" s="9" t="s">
        <v>16</v>
      </c>
      <c r="J8" s="11" t="s">
        <v>17</v>
      </c>
      <c r="K8" s="11" t="str">
        <f t="shared" si="0"/>
        <v>25</v>
      </c>
      <c r="L8" s="11">
        <v>12</v>
      </c>
    </row>
    <row r="9" spans="1:12" x14ac:dyDescent="0.25">
      <c r="A9" s="5" t="s">
        <v>174</v>
      </c>
      <c r="B9" s="5" t="s">
        <v>12</v>
      </c>
      <c r="C9" s="9">
        <v>107710387</v>
      </c>
      <c r="D9" s="9" t="s">
        <v>193</v>
      </c>
      <c r="E9" s="9" t="s">
        <v>30</v>
      </c>
      <c r="F9" s="10">
        <v>0.35</v>
      </c>
      <c r="G9" s="9" t="s">
        <v>14</v>
      </c>
      <c r="H9" s="9" t="s">
        <v>15</v>
      </c>
      <c r="I9" s="9" t="s">
        <v>16</v>
      </c>
      <c r="J9" s="11" t="s">
        <v>17</v>
      </c>
      <c r="K9" s="11" t="str">
        <f t="shared" si="0"/>
        <v>25</v>
      </c>
      <c r="L9" s="11">
        <v>10</v>
      </c>
    </row>
    <row r="10" spans="1:12" x14ac:dyDescent="0.25">
      <c r="A10" s="5" t="s">
        <v>174</v>
      </c>
      <c r="B10" s="5" t="s">
        <v>12</v>
      </c>
      <c r="C10" s="9">
        <v>107710488</v>
      </c>
      <c r="D10" s="9">
        <v>510526</v>
      </c>
      <c r="E10" s="9" t="s">
        <v>31</v>
      </c>
      <c r="F10" s="10">
        <v>0.35</v>
      </c>
      <c r="G10" s="9" t="s">
        <v>14</v>
      </c>
      <c r="H10" s="9" t="s">
        <v>15</v>
      </c>
      <c r="I10" s="9" t="s">
        <v>16</v>
      </c>
      <c r="J10" s="11" t="s">
        <v>17</v>
      </c>
      <c r="K10" s="11" t="str">
        <f t="shared" si="0"/>
        <v>25</v>
      </c>
      <c r="L10" s="11">
        <v>10</v>
      </c>
    </row>
    <row r="11" spans="1:12" x14ac:dyDescent="0.25">
      <c r="A11" s="5" t="s">
        <v>174</v>
      </c>
      <c r="B11" s="5" t="s">
        <v>18</v>
      </c>
      <c r="C11" s="9">
        <v>107708566</v>
      </c>
      <c r="D11" s="9" t="s">
        <v>207</v>
      </c>
      <c r="E11" s="9" t="s">
        <v>32</v>
      </c>
      <c r="F11" s="10">
        <v>0.35</v>
      </c>
      <c r="G11" s="9" t="s">
        <v>20</v>
      </c>
      <c r="H11" s="9" t="s">
        <v>33</v>
      </c>
      <c r="I11" s="9" t="s">
        <v>34</v>
      </c>
      <c r="J11" s="11" t="s">
        <v>17</v>
      </c>
      <c r="K11" s="11" t="str">
        <f t="shared" si="0"/>
        <v>25</v>
      </c>
      <c r="L11" s="11">
        <v>6</v>
      </c>
    </row>
    <row r="12" spans="1:12" x14ac:dyDescent="0.25">
      <c r="A12" s="5" t="s">
        <v>174</v>
      </c>
      <c r="B12" s="5" t="s">
        <v>18</v>
      </c>
      <c r="C12" s="9">
        <v>107708567</v>
      </c>
      <c r="D12" s="9" t="s">
        <v>189</v>
      </c>
      <c r="E12" s="9" t="s">
        <v>35</v>
      </c>
      <c r="F12" s="10">
        <v>0.35</v>
      </c>
      <c r="G12" s="9" t="s">
        <v>20</v>
      </c>
      <c r="H12" s="9" t="s">
        <v>36</v>
      </c>
      <c r="I12" s="9" t="s">
        <v>34</v>
      </c>
      <c r="J12" s="11" t="s">
        <v>17</v>
      </c>
      <c r="K12" s="11" t="str">
        <f t="shared" si="0"/>
        <v>25</v>
      </c>
      <c r="L12" s="11">
        <v>10.5</v>
      </c>
    </row>
    <row r="13" spans="1:12" x14ac:dyDescent="0.25">
      <c r="A13" s="5" t="s">
        <v>174</v>
      </c>
      <c r="B13" s="5" t="s">
        <v>18</v>
      </c>
      <c r="C13" s="9">
        <v>107708568</v>
      </c>
      <c r="D13" s="9" t="s">
        <v>199</v>
      </c>
      <c r="E13" s="9" t="s">
        <v>37</v>
      </c>
      <c r="F13" s="10">
        <v>0.35</v>
      </c>
      <c r="G13" s="9" t="s">
        <v>20</v>
      </c>
      <c r="H13" s="9" t="s">
        <v>38</v>
      </c>
      <c r="I13" s="9" t="s">
        <v>34</v>
      </c>
      <c r="J13" s="11" t="s">
        <v>17</v>
      </c>
      <c r="K13" s="11" t="str">
        <f t="shared" si="0"/>
        <v>25</v>
      </c>
      <c r="L13" s="11">
        <v>11</v>
      </c>
    </row>
    <row r="14" spans="1:12" x14ac:dyDescent="0.25">
      <c r="A14" s="5" t="s">
        <v>174</v>
      </c>
      <c r="B14" s="5" t="s">
        <v>18</v>
      </c>
      <c r="C14" s="9">
        <v>107708590</v>
      </c>
      <c r="D14" s="9">
        <v>501026</v>
      </c>
      <c r="E14" s="9" t="s">
        <v>39</v>
      </c>
      <c r="F14" s="10">
        <v>0.35</v>
      </c>
      <c r="G14" s="9" t="s">
        <v>20</v>
      </c>
      <c r="H14" s="9" t="s">
        <v>15</v>
      </c>
      <c r="I14" s="9" t="s">
        <v>16</v>
      </c>
      <c r="J14" s="11" t="s">
        <v>17</v>
      </c>
      <c r="K14" s="11" t="str">
        <f t="shared" si="0"/>
        <v>25</v>
      </c>
      <c r="L14" s="11">
        <v>12</v>
      </c>
    </row>
    <row r="15" spans="1:12" x14ac:dyDescent="0.25">
      <c r="A15" s="5" t="s">
        <v>174</v>
      </c>
      <c r="B15" s="5" t="s">
        <v>18</v>
      </c>
      <c r="C15" s="9">
        <v>107710489</v>
      </c>
      <c r="D15" s="9">
        <v>511026</v>
      </c>
      <c r="E15" s="9" t="s">
        <v>40</v>
      </c>
      <c r="F15" s="10">
        <v>0.35</v>
      </c>
      <c r="G15" s="9" t="s">
        <v>14</v>
      </c>
      <c r="H15" s="9" t="s">
        <v>15</v>
      </c>
      <c r="I15" s="9" t="s">
        <v>16</v>
      </c>
      <c r="J15" s="11" t="s">
        <v>17</v>
      </c>
      <c r="K15" s="11" t="str">
        <f t="shared" si="0"/>
        <v>25</v>
      </c>
      <c r="L15" s="11">
        <v>10</v>
      </c>
    </row>
    <row r="16" spans="1:12" x14ac:dyDescent="0.25">
      <c r="A16" s="5" t="s">
        <v>174</v>
      </c>
      <c r="B16" s="5" t="s">
        <v>18</v>
      </c>
      <c r="C16" s="9">
        <v>107710498</v>
      </c>
      <c r="D16" s="9">
        <v>514026</v>
      </c>
      <c r="E16" s="9" t="s">
        <v>41</v>
      </c>
      <c r="F16" s="10">
        <v>0.35</v>
      </c>
      <c r="G16" s="9" t="s">
        <v>14</v>
      </c>
      <c r="H16" s="9" t="s">
        <v>15</v>
      </c>
      <c r="I16" s="9" t="s">
        <v>16</v>
      </c>
      <c r="J16" s="11" t="s">
        <v>17</v>
      </c>
      <c r="K16" s="11" t="str">
        <f t="shared" si="0"/>
        <v>25</v>
      </c>
      <c r="L16" s="11">
        <v>10</v>
      </c>
    </row>
    <row r="17" spans="1:12" x14ac:dyDescent="0.25">
      <c r="A17" s="5" t="s">
        <v>174</v>
      </c>
      <c r="B17" s="5" t="s">
        <v>18</v>
      </c>
      <c r="C17" s="9">
        <v>107710501</v>
      </c>
      <c r="D17" s="9" t="s">
        <v>188</v>
      </c>
      <c r="E17" s="9" t="s">
        <v>42</v>
      </c>
      <c r="F17" s="10">
        <v>0.35</v>
      </c>
      <c r="G17" s="9" t="s">
        <v>14</v>
      </c>
      <c r="H17" s="9" t="s">
        <v>15</v>
      </c>
      <c r="I17" s="9" t="s">
        <v>16</v>
      </c>
      <c r="J17" s="11" t="s">
        <v>17</v>
      </c>
      <c r="K17" s="11" t="str">
        <f t="shared" si="0"/>
        <v>25</v>
      </c>
      <c r="L17" s="11">
        <v>10</v>
      </c>
    </row>
    <row r="18" spans="1:12" x14ac:dyDescent="0.25">
      <c r="A18" s="5" t="s">
        <v>174</v>
      </c>
      <c r="B18" s="5" t="s">
        <v>18</v>
      </c>
      <c r="C18" s="9">
        <v>107708599</v>
      </c>
      <c r="D18" s="9">
        <v>505026</v>
      </c>
      <c r="E18" s="9" t="s">
        <v>43</v>
      </c>
      <c r="F18" s="10">
        <v>0.35</v>
      </c>
      <c r="G18" s="9" t="s">
        <v>20</v>
      </c>
      <c r="H18" s="9" t="s">
        <v>15</v>
      </c>
      <c r="I18" s="9" t="s">
        <v>16</v>
      </c>
      <c r="J18" s="11" t="s">
        <v>17</v>
      </c>
      <c r="K18" s="11" t="str">
        <f t="shared" si="0"/>
        <v>25</v>
      </c>
      <c r="L18" s="11">
        <v>12</v>
      </c>
    </row>
    <row r="19" spans="1:12" x14ac:dyDescent="0.25">
      <c r="A19" s="5" t="s">
        <v>174</v>
      </c>
      <c r="B19" s="5" t="s">
        <v>18</v>
      </c>
      <c r="C19" s="9">
        <v>107708590</v>
      </c>
      <c r="D19" s="9" t="s">
        <v>44</v>
      </c>
      <c r="E19" s="9" t="s">
        <v>39</v>
      </c>
      <c r="F19" s="10">
        <v>0.35</v>
      </c>
      <c r="G19" s="9" t="s">
        <v>20</v>
      </c>
      <c r="H19" s="9" t="s">
        <v>15</v>
      </c>
      <c r="I19" s="9" t="s">
        <v>16</v>
      </c>
      <c r="J19" s="11" t="s">
        <v>17</v>
      </c>
      <c r="K19" s="11" t="str">
        <f t="shared" si="0"/>
        <v>25</v>
      </c>
      <c r="L19" s="11">
        <v>12</v>
      </c>
    </row>
    <row r="20" spans="1:12" x14ac:dyDescent="0.25">
      <c r="A20" s="5" t="s">
        <v>174</v>
      </c>
      <c r="B20" s="5" t="s">
        <v>18</v>
      </c>
      <c r="C20" s="9">
        <v>107710489</v>
      </c>
      <c r="D20" s="9" t="s">
        <v>45</v>
      </c>
      <c r="E20" s="9" t="s">
        <v>40</v>
      </c>
      <c r="F20" s="10">
        <v>0.35</v>
      </c>
      <c r="G20" s="9" t="s">
        <v>14</v>
      </c>
      <c r="H20" s="9" t="s">
        <v>15</v>
      </c>
      <c r="I20" s="9" t="s">
        <v>16</v>
      </c>
      <c r="J20" s="11" t="s">
        <v>17</v>
      </c>
      <c r="K20" s="11" t="str">
        <f t="shared" si="0"/>
        <v>25</v>
      </c>
      <c r="L20" s="11">
        <v>10</v>
      </c>
    </row>
    <row r="21" spans="1:12" x14ac:dyDescent="0.25">
      <c r="A21" s="5" t="s">
        <v>174</v>
      </c>
      <c r="B21" s="5" t="s">
        <v>46</v>
      </c>
      <c r="C21" s="9">
        <v>107708576</v>
      </c>
      <c r="D21" s="9" t="s">
        <v>203</v>
      </c>
      <c r="E21" s="9" t="s">
        <v>47</v>
      </c>
      <c r="F21" s="10">
        <v>0.45</v>
      </c>
      <c r="G21" s="9" t="s">
        <v>20</v>
      </c>
      <c r="H21" s="9" t="s">
        <v>48</v>
      </c>
      <c r="I21" s="9" t="s">
        <v>34</v>
      </c>
      <c r="J21" s="11" t="s">
        <v>17</v>
      </c>
      <c r="K21" s="11" t="str">
        <f t="shared" si="0"/>
        <v>25</v>
      </c>
      <c r="L21" s="11">
        <v>3</v>
      </c>
    </row>
    <row r="22" spans="1:12" x14ac:dyDescent="0.25">
      <c r="A22" s="5" t="s">
        <v>174</v>
      </c>
      <c r="B22" s="5" t="s">
        <v>46</v>
      </c>
      <c r="C22" s="9">
        <v>107708575</v>
      </c>
      <c r="D22" s="9" t="s">
        <v>185</v>
      </c>
      <c r="E22" s="9" t="s">
        <v>49</v>
      </c>
      <c r="F22" s="10">
        <v>0.42</v>
      </c>
      <c r="G22" s="9" t="s">
        <v>20</v>
      </c>
      <c r="H22" s="9" t="s">
        <v>33</v>
      </c>
      <c r="I22" s="9" t="s">
        <v>34</v>
      </c>
      <c r="J22" s="11" t="s">
        <v>17</v>
      </c>
      <c r="K22" s="11" t="str">
        <f t="shared" si="0"/>
        <v>25</v>
      </c>
      <c r="L22" s="11">
        <v>6</v>
      </c>
    </row>
    <row r="23" spans="1:12" x14ac:dyDescent="0.25">
      <c r="A23" s="5" t="s">
        <v>174</v>
      </c>
      <c r="B23" s="5" t="s">
        <v>46</v>
      </c>
      <c r="C23" s="9">
        <v>107708574</v>
      </c>
      <c r="D23" s="9" t="s">
        <v>182</v>
      </c>
      <c r="E23" s="9" t="s">
        <v>50</v>
      </c>
      <c r="F23" s="10">
        <v>0.35</v>
      </c>
      <c r="G23" s="9" t="s">
        <v>20</v>
      </c>
      <c r="H23" s="9" t="s">
        <v>36</v>
      </c>
      <c r="I23" s="9" t="s">
        <v>34</v>
      </c>
      <c r="J23" s="11" t="s">
        <v>17</v>
      </c>
      <c r="K23" s="11" t="str">
        <f t="shared" ref="K23:K58" si="1">LEFT(J23,2)</f>
        <v>25</v>
      </c>
      <c r="L23" s="11">
        <v>10.5</v>
      </c>
    </row>
    <row r="24" spans="1:12" x14ac:dyDescent="0.25">
      <c r="A24" s="5" t="s">
        <v>174</v>
      </c>
      <c r="B24" s="5" t="s">
        <v>46</v>
      </c>
      <c r="C24" s="9">
        <v>107708593</v>
      </c>
      <c r="D24" s="9" t="s">
        <v>180</v>
      </c>
      <c r="E24" s="9" t="s">
        <v>51</v>
      </c>
      <c r="F24" s="10">
        <v>0.35</v>
      </c>
      <c r="G24" s="9" t="s">
        <v>20</v>
      </c>
      <c r="H24" s="9" t="s">
        <v>15</v>
      </c>
      <c r="I24" s="9" t="s">
        <v>16</v>
      </c>
      <c r="J24" s="11" t="s">
        <v>17</v>
      </c>
      <c r="K24" s="11" t="str">
        <f t="shared" si="1"/>
        <v>25</v>
      </c>
      <c r="L24" s="11">
        <v>12</v>
      </c>
    </row>
    <row r="25" spans="1:12" x14ac:dyDescent="0.25">
      <c r="A25" s="5" t="s">
        <v>174</v>
      </c>
      <c r="B25" s="5" t="s">
        <v>46</v>
      </c>
      <c r="C25" s="9">
        <v>107710491</v>
      </c>
      <c r="D25" s="9" t="s">
        <v>206</v>
      </c>
      <c r="E25" s="9" t="s">
        <v>52</v>
      </c>
      <c r="F25" s="10">
        <v>0.35</v>
      </c>
      <c r="G25" s="9" t="s">
        <v>14</v>
      </c>
      <c r="H25" s="9" t="s">
        <v>15</v>
      </c>
      <c r="I25" s="9" t="s">
        <v>16</v>
      </c>
      <c r="J25" s="11" t="s">
        <v>17</v>
      </c>
      <c r="K25" s="11" t="str">
        <f t="shared" si="1"/>
        <v>25</v>
      </c>
      <c r="L25" s="11">
        <v>10</v>
      </c>
    </row>
    <row r="26" spans="1:12" x14ac:dyDescent="0.25">
      <c r="A26" s="5" t="s">
        <v>174</v>
      </c>
      <c r="B26" s="5" t="s">
        <v>22</v>
      </c>
      <c r="C26" s="9">
        <v>107708586</v>
      </c>
      <c r="D26" s="9" t="s">
        <v>53</v>
      </c>
      <c r="E26" s="9" t="s">
        <v>54</v>
      </c>
      <c r="F26" s="10">
        <v>0.45</v>
      </c>
      <c r="G26" s="9" t="s">
        <v>20</v>
      </c>
      <c r="H26" s="9" t="s">
        <v>48</v>
      </c>
      <c r="I26" s="9" t="s">
        <v>34</v>
      </c>
      <c r="J26" s="11" t="s">
        <v>17</v>
      </c>
      <c r="K26" s="11" t="str">
        <f t="shared" si="1"/>
        <v>25</v>
      </c>
      <c r="L26" s="11">
        <v>3</v>
      </c>
    </row>
    <row r="27" spans="1:12" x14ac:dyDescent="0.25">
      <c r="A27" s="5" t="s">
        <v>174</v>
      </c>
      <c r="B27" s="5" t="s">
        <v>22</v>
      </c>
      <c r="C27" s="9">
        <v>107708587</v>
      </c>
      <c r="D27" s="9" t="s">
        <v>198</v>
      </c>
      <c r="E27" s="9" t="s">
        <v>55</v>
      </c>
      <c r="F27" s="10">
        <v>0.45</v>
      </c>
      <c r="G27" s="9" t="s">
        <v>20</v>
      </c>
      <c r="H27" s="9" t="s">
        <v>33</v>
      </c>
      <c r="I27" s="9" t="s">
        <v>34</v>
      </c>
      <c r="J27" s="11" t="s">
        <v>17</v>
      </c>
      <c r="K27" s="11" t="str">
        <f t="shared" si="1"/>
        <v>25</v>
      </c>
      <c r="L27" s="11">
        <v>6</v>
      </c>
    </row>
    <row r="28" spans="1:12" x14ac:dyDescent="0.25">
      <c r="A28" s="5" t="s">
        <v>174</v>
      </c>
      <c r="B28" s="5" t="s">
        <v>22</v>
      </c>
      <c r="C28" s="9">
        <v>107708585</v>
      </c>
      <c r="D28" s="9" t="s">
        <v>186</v>
      </c>
      <c r="E28" s="9" t="s">
        <v>56</v>
      </c>
      <c r="F28" s="10">
        <v>0.35</v>
      </c>
      <c r="G28" s="9" t="s">
        <v>20</v>
      </c>
      <c r="H28" s="9" t="s">
        <v>36</v>
      </c>
      <c r="I28" s="9" t="s">
        <v>34</v>
      </c>
      <c r="J28" s="11" t="s">
        <v>17</v>
      </c>
      <c r="K28" s="11" t="str">
        <f t="shared" si="1"/>
        <v>25</v>
      </c>
      <c r="L28" s="11">
        <v>10.5</v>
      </c>
    </row>
    <row r="29" spans="1:12" x14ac:dyDescent="0.25">
      <c r="A29" s="5" t="s">
        <v>174</v>
      </c>
      <c r="B29" s="5" t="s">
        <v>22</v>
      </c>
      <c r="C29" s="9">
        <v>107708607</v>
      </c>
      <c r="D29" s="9" t="s">
        <v>57</v>
      </c>
      <c r="E29" s="9" t="s">
        <v>58</v>
      </c>
      <c r="F29" s="10">
        <v>0.35</v>
      </c>
      <c r="G29" s="9" t="s">
        <v>20</v>
      </c>
      <c r="H29" s="9" t="s">
        <v>15</v>
      </c>
      <c r="I29" s="9" t="s">
        <v>16</v>
      </c>
      <c r="J29" s="11" t="s">
        <v>17</v>
      </c>
      <c r="K29" s="11" t="str">
        <f t="shared" si="1"/>
        <v>25</v>
      </c>
      <c r="L29" s="11">
        <v>12</v>
      </c>
    </row>
    <row r="30" spans="1:12" x14ac:dyDescent="0.25">
      <c r="A30" s="5" t="s">
        <v>174</v>
      </c>
      <c r="B30" s="5" t="s">
        <v>22</v>
      </c>
      <c r="C30" s="9">
        <v>107715265</v>
      </c>
      <c r="D30" s="9" t="s">
        <v>178</v>
      </c>
      <c r="E30" s="9" t="s">
        <v>59</v>
      </c>
      <c r="F30" s="10">
        <v>0.35</v>
      </c>
      <c r="G30" s="9" t="s">
        <v>14</v>
      </c>
      <c r="H30" s="9" t="s">
        <v>15</v>
      </c>
      <c r="I30" s="9" t="s">
        <v>16</v>
      </c>
      <c r="J30" s="11" t="s">
        <v>17</v>
      </c>
      <c r="K30" s="11" t="str">
        <f t="shared" si="1"/>
        <v>25</v>
      </c>
      <c r="L30" s="11">
        <v>10</v>
      </c>
    </row>
    <row r="31" spans="1:12" x14ac:dyDescent="0.25">
      <c r="A31" s="5" t="s">
        <v>174</v>
      </c>
      <c r="B31" s="5" t="s">
        <v>22</v>
      </c>
      <c r="C31" s="9">
        <v>107708597</v>
      </c>
      <c r="D31" s="9" t="s">
        <v>60</v>
      </c>
      <c r="E31" s="9" t="s">
        <v>61</v>
      </c>
      <c r="F31" s="10">
        <v>0.35</v>
      </c>
      <c r="G31" s="9" t="s">
        <v>20</v>
      </c>
      <c r="H31" s="9" t="s">
        <v>62</v>
      </c>
      <c r="I31" s="9" t="s">
        <v>16</v>
      </c>
      <c r="J31" s="11" t="s">
        <v>17</v>
      </c>
      <c r="K31" s="11" t="str">
        <f t="shared" si="1"/>
        <v>25</v>
      </c>
      <c r="L31" s="11">
        <v>12</v>
      </c>
    </row>
    <row r="32" spans="1:12" x14ac:dyDescent="0.25">
      <c r="A32" s="5" t="s">
        <v>174</v>
      </c>
      <c r="B32" s="5" t="s">
        <v>24</v>
      </c>
      <c r="C32" s="9">
        <v>107710427</v>
      </c>
      <c r="D32" s="9">
        <v>402423</v>
      </c>
      <c r="E32" s="9" t="s">
        <v>63</v>
      </c>
      <c r="F32" s="10">
        <v>0.35</v>
      </c>
      <c r="G32" s="9" t="s">
        <v>20</v>
      </c>
      <c r="H32" s="9" t="s">
        <v>36</v>
      </c>
      <c r="I32" s="9" t="s">
        <v>34</v>
      </c>
      <c r="J32" s="11" t="s">
        <v>17</v>
      </c>
      <c r="K32" s="11" t="str">
        <f t="shared" si="1"/>
        <v>25</v>
      </c>
      <c r="L32" s="11">
        <v>10.5</v>
      </c>
    </row>
    <row r="33" spans="1:12" x14ac:dyDescent="0.25">
      <c r="A33" s="5" t="s">
        <v>174</v>
      </c>
      <c r="B33" s="5" t="s">
        <v>24</v>
      </c>
      <c r="C33" s="9">
        <v>107710378</v>
      </c>
      <c r="D33" s="9" t="s">
        <v>64</v>
      </c>
      <c r="E33" s="9" t="s">
        <v>65</v>
      </c>
      <c r="F33" s="10">
        <v>0.45</v>
      </c>
      <c r="G33" s="9" t="s">
        <v>20</v>
      </c>
      <c r="H33" s="9" t="s">
        <v>48</v>
      </c>
      <c r="I33" s="9" t="s">
        <v>34</v>
      </c>
      <c r="J33" s="11" t="s">
        <v>17</v>
      </c>
      <c r="K33" s="11" t="str">
        <f t="shared" si="1"/>
        <v>25</v>
      </c>
      <c r="L33" s="11">
        <v>3</v>
      </c>
    </row>
    <row r="34" spans="1:12" x14ac:dyDescent="0.25">
      <c r="A34" s="5" t="s">
        <v>174</v>
      </c>
      <c r="B34" s="5" t="s">
        <v>66</v>
      </c>
      <c r="C34" s="9">
        <v>107716459</v>
      </c>
      <c r="D34" s="9" t="s">
        <v>194</v>
      </c>
      <c r="E34" s="9" t="s">
        <v>67</v>
      </c>
      <c r="F34" s="10">
        <v>0.42</v>
      </c>
      <c r="G34" s="9" t="s">
        <v>20</v>
      </c>
      <c r="H34" s="12">
        <v>0.8</v>
      </c>
      <c r="I34" s="9" t="s">
        <v>34</v>
      </c>
      <c r="J34" s="11" t="s">
        <v>17</v>
      </c>
      <c r="K34" s="11" t="str">
        <f t="shared" si="1"/>
        <v>25</v>
      </c>
      <c r="L34" s="11">
        <v>6</v>
      </c>
    </row>
    <row r="35" spans="1:12" x14ac:dyDescent="0.25">
      <c r="A35" s="5" t="s">
        <v>174</v>
      </c>
      <c r="B35" s="5" t="s">
        <v>24</v>
      </c>
      <c r="C35" s="9">
        <v>107710379</v>
      </c>
      <c r="D35" s="9" t="s">
        <v>68</v>
      </c>
      <c r="E35" s="9" t="s">
        <v>69</v>
      </c>
      <c r="F35" s="10">
        <v>0.45</v>
      </c>
      <c r="G35" s="9" t="s">
        <v>20</v>
      </c>
      <c r="H35" s="9" t="s">
        <v>33</v>
      </c>
      <c r="I35" s="9" t="s">
        <v>34</v>
      </c>
      <c r="J35" s="11" t="s">
        <v>17</v>
      </c>
      <c r="K35" s="11" t="str">
        <f t="shared" si="1"/>
        <v>25</v>
      </c>
      <c r="L35" s="11">
        <v>6</v>
      </c>
    </row>
    <row r="36" spans="1:12" x14ac:dyDescent="0.25">
      <c r="A36" s="5" t="s">
        <v>174</v>
      </c>
      <c r="B36" s="5" t="s">
        <v>24</v>
      </c>
      <c r="C36" s="9">
        <v>107710377</v>
      </c>
      <c r="D36" s="9" t="s">
        <v>184</v>
      </c>
      <c r="E36" s="9" t="s">
        <v>70</v>
      </c>
      <c r="F36" s="10">
        <v>0.35</v>
      </c>
      <c r="G36" s="9" t="s">
        <v>20</v>
      </c>
      <c r="H36" s="9" t="s">
        <v>36</v>
      </c>
      <c r="I36" s="9" t="s">
        <v>34</v>
      </c>
      <c r="J36" s="11" t="s">
        <v>17</v>
      </c>
      <c r="K36" s="11" t="str">
        <f t="shared" si="1"/>
        <v>25</v>
      </c>
      <c r="L36" s="11">
        <v>10.5</v>
      </c>
    </row>
    <row r="37" spans="1:12" x14ac:dyDescent="0.25">
      <c r="A37" s="5" t="s">
        <v>174</v>
      </c>
      <c r="B37" s="5" t="s">
        <v>24</v>
      </c>
      <c r="C37" s="9">
        <v>107710384</v>
      </c>
      <c r="D37" s="9" t="s">
        <v>71</v>
      </c>
      <c r="E37" s="9" t="s">
        <v>72</v>
      </c>
      <c r="F37" s="10">
        <v>0.35</v>
      </c>
      <c r="G37" s="9" t="s">
        <v>20</v>
      </c>
      <c r="H37" s="9" t="s">
        <v>62</v>
      </c>
      <c r="I37" s="9" t="s">
        <v>16</v>
      </c>
      <c r="J37" s="11" t="s">
        <v>17</v>
      </c>
      <c r="K37" s="11" t="str">
        <f t="shared" si="1"/>
        <v>25</v>
      </c>
      <c r="L37" s="11">
        <v>12</v>
      </c>
    </row>
    <row r="38" spans="1:12" x14ac:dyDescent="0.25">
      <c r="A38" s="5" t="s">
        <v>174</v>
      </c>
      <c r="B38" s="5" t="s">
        <v>24</v>
      </c>
      <c r="C38" s="9">
        <v>107710383</v>
      </c>
      <c r="D38" s="9">
        <v>502426</v>
      </c>
      <c r="E38" s="9" t="s">
        <v>73</v>
      </c>
      <c r="F38" s="10">
        <v>0.35</v>
      </c>
      <c r="G38" s="9" t="s">
        <v>20</v>
      </c>
      <c r="H38" s="9" t="s">
        <v>15</v>
      </c>
      <c r="I38" s="9" t="s">
        <v>16</v>
      </c>
      <c r="J38" s="11" t="s">
        <v>17</v>
      </c>
      <c r="K38" s="11" t="str">
        <f t="shared" si="1"/>
        <v>25</v>
      </c>
      <c r="L38" s="11">
        <v>12</v>
      </c>
    </row>
    <row r="39" spans="1:12" x14ac:dyDescent="0.25">
      <c r="A39" s="5" t="s">
        <v>174</v>
      </c>
      <c r="B39" s="5" t="s">
        <v>74</v>
      </c>
      <c r="C39" s="9">
        <v>107708572</v>
      </c>
      <c r="D39" s="9" t="s">
        <v>202</v>
      </c>
      <c r="E39" s="9" t="s">
        <v>75</v>
      </c>
      <c r="F39" s="10">
        <v>0.42</v>
      </c>
      <c r="G39" s="9" t="s">
        <v>20</v>
      </c>
      <c r="H39" s="9" t="s">
        <v>36</v>
      </c>
      <c r="I39" s="9" t="s">
        <v>34</v>
      </c>
      <c r="J39" s="11" t="s">
        <v>17</v>
      </c>
      <c r="K39" s="11" t="str">
        <f t="shared" si="1"/>
        <v>25</v>
      </c>
      <c r="L39" s="11">
        <v>10.5</v>
      </c>
    </row>
    <row r="40" spans="1:12" x14ac:dyDescent="0.25">
      <c r="A40" s="5" t="s">
        <v>174</v>
      </c>
      <c r="B40" s="5" t="s">
        <v>74</v>
      </c>
      <c r="C40" s="9">
        <v>107708594</v>
      </c>
      <c r="D40" s="9" t="s">
        <v>197</v>
      </c>
      <c r="E40" s="9" t="s">
        <v>76</v>
      </c>
      <c r="F40" s="10">
        <v>0.35</v>
      </c>
      <c r="G40" s="9" t="s">
        <v>20</v>
      </c>
      <c r="H40" s="9" t="s">
        <v>38</v>
      </c>
      <c r="I40" s="9" t="s">
        <v>34</v>
      </c>
      <c r="J40" s="11" t="s">
        <v>17</v>
      </c>
      <c r="K40" s="11" t="str">
        <f t="shared" si="1"/>
        <v>25</v>
      </c>
      <c r="L40" s="11">
        <v>11</v>
      </c>
    </row>
    <row r="41" spans="1:12" x14ac:dyDescent="0.25">
      <c r="A41" s="5" t="s">
        <v>174</v>
      </c>
      <c r="B41" s="5" t="s">
        <v>74</v>
      </c>
      <c r="C41" s="9">
        <v>107710382</v>
      </c>
      <c r="D41" s="9">
        <v>502226</v>
      </c>
      <c r="E41" s="9" t="s">
        <v>77</v>
      </c>
      <c r="F41" s="10">
        <v>0.35</v>
      </c>
      <c r="G41" s="9" t="s">
        <v>20</v>
      </c>
      <c r="H41" s="9" t="s">
        <v>15</v>
      </c>
      <c r="I41" s="9" t="s">
        <v>16</v>
      </c>
      <c r="J41" s="11" t="s">
        <v>17</v>
      </c>
      <c r="K41" s="11" t="str">
        <f t="shared" si="1"/>
        <v>25</v>
      </c>
      <c r="L41" s="11">
        <v>12</v>
      </c>
    </row>
    <row r="42" spans="1:12" x14ac:dyDescent="0.25">
      <c r="A42" s="5" t="s">
        <v>174</v>
      </c>
      <c r="B42" s="5" t="s">
        <v>74</v>
      </c>
      <c r="C42" s="9">
        <v>107710493</v>
      </c>
      <c r="D42" s="9">
        <v>512226</v>
      </c>
      <c r="E42" s="9" t="s">
        <v>78</v>
      </c>
      <c r="F42" s="10">
        <v>0.35</v>
      </c>
      <c r="G42" s="9" t="s">
        <v>14</v>
      </c>
      <c r="H42" s="9" t="s">
        <v>15</v>
      </c>
      <c r="I42" s="9" t="s">
        <v>16</v>
      </c>
      <c r="J42" s="11" t="s">
        <v>17</v>
      </c>
      <c r="K42" s="11" t="str">
        <f t="shared" si="1"/>
        <v>25</v>
      </c>
      <c r="L42" s="11">
        <v>10</v>
      </c>
    </row>
    <row r="43" spans="1:12" x14ac:dyDescent="0.25">
      <c r="A43" s="5" t="s">
        <v>174</v>
      </c>
      <c r="B43" s="5" t="s">
        <v>27</v>
      </c>
      <c r="C43" s="9">
        <v>107715263</v>
      </c>
      <c r="D43" s="9">
        <v>511226</v>
      </c>
      <c r="E43" s="9" t="s">
        <v>79</v>
      </c>
      <c r="F43" s="10">
        <v>0.35</v>
      </c>
      <c r="G43" s="9" t="s">
        <v>14</v>
      </c>
      <c r="H43" s="9" t="s">
        <v>15</v>
      </c>
      <c r="I43" s="9" t="s">
        <v>16</v>
      </c>
      <c r="J43" s="11" t="s">
        <v>17</v>
      </c>
      <c r="K43" s="11" t="str">
        <f t="shared" si="1"/>
        <v>25</v>
      </c>
      <c r="L43" s="11">
        <v>10</v>
      </c>
    </row>
    <row r="44" spans="1:12" x14ac:dyDescent="0.25">
      <c r="A44" s="5" t="s">
        <v>174</v>
      </c>
      <c r="B44" s="5" t="s">
        <v>27</v>
      </c>
      <c r="C44" s="9">
        <v>107708605</v>
      </c>
      <c r="D44" s="9" t="s">
        <v>190</v>
      </c>
      <c r="E44" s="9" t="s">
        <v>80</v>
      </c>
      <c r="F44" s="10">
        <v>0.35</v>
      </c>
      <c r="G44" s="9" t="s">
        <v>14</v>
      </c>
      <c r="H44" s="9" t="s">
        <v>15</v>
      </c>
      <c r="I44" s="9" t="s">
        <v>16</v>
      </c>
      <c r="J44" s="11" t="s">
        <v>17</v>
      </c>
      <c r="K44" s="11" t="str">
        <f t="shared" si="1"/>
        <v>25</v>
      </c>
      <c r="L44" s="11">
        <v>10</v>
      </c>
    </row>
    <row r="45" spans="1:12" x14ac:dyDescent="0.25">
      <c r="A45" s="5" t="s">
        <v>174</v>
      </c>
      <c r="B45" s="5" t="s">
        <v>22</v>
      </c>
      <c r="C45" s="9">
        <v>107708577</v>
      </c>
      <c r="D45" s="9" t="s">
        <v>192</v>
      </c>
      <c r="E45" s="9" t="s">
        <v>81</v>
      </c>
      <c r="F45" s="10">
        <v>0.35</v>
      </c>
      <c r="G45" s="9" t="s">
        <v>20</v>
      </c>
      <c r="H45" s="9" t="s">
        <v>36</v>
      </c>
      <c r="I45" s="9" t="s">
        <v>34</v>
      </c>
      <c r="J45" s="11" t="s">
        <v>17</v>
      </c>
      <c r="K45" s="11" t="str">
        <f t="shared" si="1"/>
        <v>25</v>
      </c>
      <c r="L45" s="11">
        <v>10.5</v>
      </c>
    </row>
    <row r="46" spans="1:12" x14ac:dyDescent="0.25">
      <c r="A46" s="5" t="s">
        <v>174</v>
      </c>
      <c r="B46" s="5" t="s">
        <v>74</v>
      </c>
      <c r="C46" s="9">
        <v>107708595</v>
      </c>
      <c r="D46" s="9" t="s">
        <v>82</v>
      </c>
      <c r="E46" s="9" t="s">
        <v>83</v>
      </c>
      <c r="F46" s="10">
        <v>0.35</v>
      </c>
      <c r="G46" s="9" t="s">
        <v>20</v>
      </c>
      <c r="H46" s="9" t="s">
        <v>15</v>
      </c>
      <c r="I46" s="9" t="s">
        <v>16</v>
      </c>
      <c r="J46" s="11" t="s">
        <v>17</v>
      </c>
      <c r="K46" s="11" t="str">
        <f t="shared" si="1"/>
        <v>25</v>
      </c>
      <c r="L46" s="11">
        <v>12</v>
      </c>
    </row>
    <row r="47" spans="1:12" x14ac:dyDescent="0.25">
      <c r="A47" s="5" t="s">
        <v>174</v>
      </c>
      <c r="B47" s="5" t="s">
        <v>22</v>
      </c>
      <c r="C47" s="9">
        <v>107710385</v>
      </c>
      <c r="D47" s="9">
        <v>503526</v>
      </c>
      <c r="E47" s="9" t="s">
        <v>84</v>
      </c>
      <c r="F47" s="10">
        <v>0.35</v>
      </c>
      <c r="G47" s="9" t="s">
        <v>20</v>
      </c>
      <c r="H47" s="9" t="s">
        <v>15</v>
      </c>
      <c r="I47" s="9" t="s">
        <v>16</v>
      </c>
      <c r="J47" s="11" t="s">
        <v>17</v>
      </c>
      <c r="K47" s="11" t="str">
        <f t="shared" si="1"/>
        <v>25</v>
      </c>
      <c r="L47" s="11">
        <v>12</v>
      </c>
    </row>
    <row r="48" spans="1:12" x14ac:dyDescent="0.25">
      <c r="A48" s="5" t="s">
        <v>174</v>
      </c>
      <c r="B48" s="5" t="s">
        <v>27</v>
      </c>
      <c r="C48" s="9">
        <v>107708591</v>
      </c>
      <c r="D48" s="9">
        <v>501226</v>
      </c>
      <c r="E48" s="9" t="s">
        <v>85</v>
      </c>
      <c r="F48" s="10">
        <v>0.35</v>
      </c>
      <c r="G48" s="9" t="s">
        <v>20</v>
      </c>
      <c r="H48" s="9" t="s">
        <v>15</v>
      </c>
      <c r="I48" s="9" t="s">
        <v>16</v>
      </c>
      <c r="J48" s="11" t="s">
        <v>17</v>
      </c>
      <c r="K48" s="11" t="str">
        <f t="shared" si="1"/>
        <v>25</v>
      </c>
      <c r="L48" s="11">
        <v>12</v>
      </c>
    </row>
    <row r="49" spans="1:12" x14ac:dyDescent="0.25">
      <c r="A49" s="5" t="s">
        <v>174</v>
      </c>
      <c r="B49" s="5" t="s">
        <v>18</v>
      </c>
      <c r="C49" s="9">
        <v>107708729</v>
      </c>
      <c r="D49" s="9" t="s">
        <v>86</v>
      </c>
      <c r="E49" s="9" t="s">
        <v>87</v>
      </c>
      <c r="F49" s="10">
        <v>0.35</v>
      </c>
      <c r="G49" s="9" t="s">
        <v>20</v>
      </c>
      <c r="H49" s="9" t="s">
        <v>36</v>
      </c>
      <c r="I49" s="9" t="s">
        <v>34</v>
      </c>
      <c r="J49" s="11" t="s">
        <v>17</v>
      </c>
      <c r="K49" s="11" t="str">
        <f t="shared" si="1"/>
        <v>25</v>
      </c>
      <c r="L49" s="11">
        <v>10.5</v>
      </c>
    </row>
    <row r="50" spans="1:12" x14ac:dyDescent="0.25">
      <c r="A50" s="5" t="s">
        <v>174</v>
      </c>
      <c r="B50" s="5" t="s">
        <v>18</v>
      </c>
      <c r="C50" s="9">
        <v>107708728</v>
      </c>
      <c r="D50" s="9" t="s">
        <v>88</v>
      </c>
      <c r="E50" s="9" t="s">
        <v>89</v>
      </c>
      <c r="F50" s="10">
        <v>0.35</v>
      </c>
      <c r="G50" s="9" t="s">
        <v>20</v>
      </c>
      <c r="H50" s="9" t="s">
        <v>33</v>
      </c>
      <c r="I50" s="9" t="s">
        <v>34</v>
      </c>
      <c r="J50" s="11" t="s">
        <v>17</v>
      </c>
      <c r="K50" s="11" t="str">
        <f t="shared" si="1"/>
        <v>25</v>
      </c>
      <c r="L50" s="11">
        <v>6</v>
      </c>
    </row>
    <row r="51" spans="1:12" x14ac:dyDescent="0.25">
      <c r="A51" s="5" t="s">
        <v>174</v>
      </c>
      <c r="B51" s="5" t="s">
        <v>18</v>
      </c>
      <c r="C51" s="9">
        <v>107708582</v>
      </c>
      <c r="D51" s="9" t="s">
        <v>183</v>
      </c>
      <c r="E51" s="9" t="s">
        <v>90</v>
      </c>
      <c r="F51" s="10">
        <v>0.35</v>
      </c>
      <c r="G51" s="9" t="s">
        <v>20</v>
      </c>
      <c r="H51" s="9" t="s">
        <v>38</v>
      </c>
      <c r="I51" s="9" t="s">
        <v>34</v>
      </c>
      <c r="J51" s="11" t="s">
        <v>17</v>
      </c>
      <c r="K51" s="11" t="str">
        <f t="shared" si="1"/>
        <v>25</v>
      </c>
      <c r="L51" s="11">
        <v>11</v>
      </c>
    </row>
    <row r="52" spans="1:12" x14ac:dyDescent="0.25">
      <c r="A52" s="5" t="s">
        <v>174</v>
      </c>
      <c r="B52" s="5" t="s">
        <v>22</v>
      </c>
      <c r="C52" s="9">
        <v>107708601</v>
      </c>
      <c r="D52" s="9">
        <v>505526</v>
      </c>
      <c r="E52" s="9" t="s">
        <v>91</v>
      </c>
      <c r="F52" s="10">
        <v>0.35</v>
      </c>
      <c r="G52" s="9" t="s">
        <v>20</v>
      </c>
      <c r="H52" s="9" t="s">
        <v>15</v>
      </c>
      <c r="I52" s="9" t="s">
        <v>16</v>
      </c>
      <c r="J52" s="11" t="s">
        <v>17</v>
      </c>
      <c r="K52" s="11" t="str">
        <f t="shared" si="1"/>
        <v>25</v>
      </c>
      <c r="L52" s="11">
        <v>12</v>
      </c>
    </row>
    <row r="53" spans="1:12" x14ac:dyDescent="0.25">
      <c r="A53" s="5" t="s">
        <v>174</v>
      </c>
      <c r="B53" s="5" t="s">
        <v>66</v>
      </c>
      <c r="C53" s="9">
        <v>107708687</v>
      </c>
      <c r="D53" s="9">
        <v>130424</v>
      </c>
      <c r="E53" s="9" t="s">
        <v>92</v>
      </c>
      <c r="F53" s="1">
        <v>0.42</v>
      </c>
      <c r="G53" s="9" t="s">
        <v>20</v>
      </c>
      <c r="H53" s="9" t="s">
        <v>33</v>
      </c>
      <c r="I53" s="9" t="s">
        <v>34</v>
      </c>
      <c r="J53" s="11" t="s">
        <v>17</v>
      </c>
      <c r="K53" s="11" t="str">
        <f t="shared" si="1"/>
        <v>25</v>
      </c>
      <c r="L53" s="11">
        <v>6</v>
      </c>
    </row>
    <row r="54" spans="1:12" x14ac:dyDescent="0.25">
      <c r="A54" s="5" t="s">
        <v>174</v>
      </c>
      <c r="B54" s="5" t="s">
        <v>93</v>
      </c>
      <c r="C54" s="9">
        <v>107708720</v>
      </c>
      <c r="D54" s="9" t="s">
        <v>187</v>
      </c>
      <c r="E54" s="9" t="s">
        <v>94</v>
      </c>
      <c r="F54" s="1">
        <v>0.35</v>
      </c>
      <c r="G54" s="9" t="s">
        <v>14</v>
      </c>
      <c r="H54" s="9" t="s">
        <v>15</v>
      </c>
      <c r="I54" s="9" t="s">
        <v>16</v>
      </c>
      <c r="J54" s="11" t="s">
        <v>17</v>
      </c>
      <c r="K54" s="11" t="str">
        <f t="shared" si="1"/>
        <v>25</v>
      </c>
      <c r="L54" s="11">
        <v>10</v>
      </c>
    </row>
    <row r="55" spans="1:12" x14ac:dyDescent="0.25">
      <c r="A55" s="5" t="s">
        <v>174</v>
      </c>
      <c r="B55" s="5" t="s">
        <v>93</v>
      </c>
      <c r="C55" s="9">
        <v>107708719</v>
      </c>
      <c r="D55" s="9" t="s">
        <v>200</v>
      </c>
      <c r="E55" s="9" t="s">
        <v>95</v>
      </c>
      <c r="F55" s="1">
        <v>0.35</v>
      </c>
      <c r="G55" s="9" t="s">
        <v>14</v>
      </c>
      <c r="H55" s="9" t="s">
        <v>15</v>
      </c>
      <c r="I55" s="9" t="s">
        <v>16</v>
      </c>
      <c r="J55" s="11" t="s">
        <v>17</v>
      </c>
      <c r="K55" s="11" t="str">
        <f t="shared" si="1"/>
        <v>25</v>
      </c>
      <c r="L55" s="11">
        <v>10</v>
      </c>
    </row>
    <row r="56" spans="1:12" x14ac:dyDescent="0.25">
      <c r="A56" s="5" t="s">
        <v>174</v>
      </c>
      <c r="B56" s="5" t="s">
        <v>96</v>
      </c>
      <c r="C56" s="9">
        <v>107708825</v>
      </c>
      <c r="D56" s="9">
        <v>320028</v>
      </c>
      <c r="E56" s="9" t="s">
        <v>97</v>
      </c>
      <c r="F56" s="1">
        <v>0.28000000000000003</v>
      </c>
      <c r="G56" s="9" t="s">
        <v>14</v>
      </c>
      <c r="H56" s="9" t="s">
        <v>15</v>
      </c>
      <c r="I56" s="9" t="s">
        <v>16</v>
      </c>
      <c r="J56" s="11" t="s">
        <v>17</v>
      </c>
      <c r="K56" s="11" t="str">
        <f t="shared" si="1"/>
        <v>25</v>
      </c>
      <c r="L56" s="11">
        <v>10</v>
      </c>
    </row>
    <row r="57" spans="1:12" x14ac:dyDescent="0.25">
      <c r="A57" s="5" t="s">
        <v>174</v>
      </c>
      <c r="B57" s="5" t="s">
        <v>96</v>
      </c>
      <c r="C57" s="9">
        <v>107679409</v>
      </c>
      <c r="D57" s="9">
        <v>220351</v>
      </c>
      <c r="E57" s="9" t="s">
        <v>98</v>
      </c>
      <c r="F57" s="1">
        <v>0.35</v>
      </c>
      <c r="G57" s="9" t="s">
        <v>14</v>
      </c>
      <c r="H57" s="9" t="s">
        <v>15</v>
      </c>
      <c r="I57" s="9" t="s">
        <v>16</v>
      </c>
      <c r="J57" s="11" t="s">
        <v>17</v>
      </c>
      <c r="K57" s="11" t="str">
        <f t="shared" si="1"/>
        <v>25</v>
      </c>
      <c r="L57" s="11">
        <v>10</v>
      </c>
    </row>
    <row r="58" spans="1:12" x14ac:dyDescent="0.25">
      <c r="A58" s="5" t="s">
        <v>174</v>
      </c>
      <c r="B58" s="5" t="s">
        <v>96</v>
      </c>
      <c r="C58" s="9">
        <v>107676353</v>
      </c>
      <c r="D58" s="9" t="s">
        <v>191</v>
      </c>
      <c r="E58" s="9" t="s">
        <v>99</v>
      </c>
      <c r="F58" s="1">
        <v>0.28000000000000003</v>
      </c>
      <c r="G58" s="9" t="s">
        <v>14</v>
      </c>
      <c r="H58" s="9" t="s">
        <v>15</v>
      </c>
      <c r="I58" s="9" t="s">
        <v>16</v>
      </c>
      <c r="J58" s="11" t="s">
        <v>17</v>
      </c>
      <c r="K58" s="11" t="str">
        <f t="shared" si="1"/>
        <v>25</v>
      </c>
      <c r="L58" s="11">
        <v>10</v>
      </c>
    </row>
    <row r="59" spans="1:12" x14ac:dyDescent="0.25">
      <c r="A59" s="5" t="s">
        <v>174</v>
      </c>
      <c r="B59" s="5" t="s">
        <v>66</v>
      </c>
      <c r="C59" s="9">
        <v>107708686</v>
      </c>
      <c r="D59" s="9" t="s">
        <v>204</v>
      </c>
      <c r="E59" s="9" t="s">
        <v>100</v>
      </c>
      <c r="F59" s="1">
        <v>0.35</v>
      </c>
      <c r="G59" s="9" t="s">
        <v>20</v>
      </c>
      <c r="H59" s="9" t="s">
        <v>36</v>
      </c>
      <c r="I59" s="9" t="s">
        <v>34</v>
      </c>
      <c r="J59" s="11" t="s">
        <v>17</v>
      </c>
      <c r="K59" s="11" t="str">
        <f t="shared" ref="K59:K92" si="2">LEFT(J59,2)</f>
        <v>25</v>
      </c>
      <c r="L59" s="11">
        <v>10.5</v>
      </c>
    </row>
    <row r="60" spans="1:12" x14ac:dyDescent="0.25">
      <c r="A60" s="5" t="s">
        <v>174</v>
      </c>
      <c r="B60" s="5" t="s">
        <v>66</v>
      </c>
      <c r="C60" s="9">
        <v>107708578</v>
      </c>
      <c r="D60" s="9" t="s">
        <v>201</v>
      </c>
      <c r="E60" s="9" t="s">
        <v>101</v>
      </c>
      <c r="F60" s="10">
        <v>0.35</v>
      </c>
      <c r="G60" s="9" t="s">
        <v>20</v>
      </c>
      <c r="H60" s="9" t="s">
        <v>36</v>
      </c>
      <c r="I60" s="9" t="s">
        <v>34</v>
      </c>
      <c r="J60" s="11" t="s">
        <v>17</v>
      </c>
      <c r="K60" s="11" t="str">
        <f t="shared" si="2"/>
        <v>25</v>
      </c>
      <c r="L60" s="11">
        <v>10.5</v>
      </c>
    </row>
    <row r="61" spans="1:12" x14ac:dyDescent="0.25">
      <c r="A61" s="5" t="s">
        <v>174</v>
      </c>
      <c r="B61" s="5" t="s">
        <v>66</v>
      </c>
      <c r="C61" s="9">
        <v>107710354</v>
      </c>
      <c r="D61" s="9" t="s">
        <v>208</v>
      </c>
      <c r="E61" s="9" t="s">
        <v>102</v>
      </c>
      <c r="F61" s="10">
        <v>0.42</v>
      </c>
      <c r="G61" s="9" t="s">
        <v>20</v>
      </c>
      <c r="H61" s="9" t="s">
        <v>33</v>
      </c>
      <c r="I61" s="9" t="s">
        <v>34</v>
      </c>
      <c r="J61" s="11" t="s">
        <v>17</v>
      </c>
      <c r="K61" s="11" t="str">
        <f t="shared" si="2"/>
        <v>25</v>
      </c>
      <c r="L61" s="11">
        <v>6</v>
      </c>
    </row>
    <row r="62" spans="1:12" x14ac:dyDescent="0.25">
      <c r="A62" s="5" t="s">
        <v>174</v>
      </c>
      <c r="B62" s="5" t="s">
        <v>66</v>
      </c>
      <c r="C62" s="9">
        <v>107713804</v>
      </c>
      <c r="D62" s="12" t="s">
        <v>205</v>
      </c>
      <c r="E62" s="12" t="s">
        <v>103</v>
      </c>
      <c r="F62" s="10">
        <v>0.42</v>
      </c>
      <c r="G62" s="9" t="s">
        <v>20</v>
      </c>
      <c r="H62" s="12" t="s">
        <v>48</v>
      </c>
      <c r="I62" s="12" t="s">
        <v>34</v>
      </c>
      <c r="J62" s="11" t="s">
        <v>17</v>
      </c>
      <c r="K62" s="11" t="str">
        <f t="shared" si="2"/>
        <v>25</v>
      </c>
      <c r="L62" s="11">
        <v>3</v>
      </c>
    </row>
    <row r="63" spans="1:12" x14ac:dyDescent="0.25">
      <c r="A63" s="5" t="s">
        <v>174</v>
      </c>
      <c r="B63" s="5" t="s">
        <v>66</v>
      </c>
      <c r="C63" s="9">
        <v>107713803</v>
      </c>
      <c r="D63" s="12" t="s">
        <v>181</v>
      </c>
      <c r="E63" s="12" t="s">
        <v>104</v>
      </c>
      <c r="F63" s="10">
        <v>0.4</v>
      </c>
      <c r="G63" s="9" t="s">
        <v>20</v>
      </c>
      <c r="H63" s="12" t="s">
        <v>33</v>
      </c>
      <c r="I63" s="12" t="s">
        <v>34</v>
      </c>
      <c r="J63" s="11" t="s">
        <v>17</v>
      </c>
      <c r="K63" s="11" t="str">
        <f t="shared" si="2"/>
        <v>25</v>
      </c>
      <c r="L63" s="11">
        <v>6</v>
      </c>
    </row>
    <row r="64" spans="1:12" x14ac:dyDescent="0.25">
      <c r="A64" s="5" t="s">
        <v>174</v>
      </c>
      <c r="B64" s="5" t="s">
        <v>66</v>
      </c>
      <c r="C64" s="9">
        <v>107710385</v>
      </c>
      <c r="D64" s="12" t="s">
        <v>105</v>
      </c>
      <c r="E64" s="12" t="s">
        <v>84</v>
      </c>
      <c r="F64" s="10">
        <v>0.35</v>
      </c>
      <c r="G64" s="9" t="s">
        <v>20</v>
      </c>
      <c r="H64" s="12" t="s">
        <v>15</v>
      </c>
      <c r="I64" s="12" t="s">
        <v>16</v>
      </c>
      <c r="J64" s="11" t="s">
        <v>17</v>
      </c>
      <c r="K64" s="11" t="str">
        <f t="shared" si="2"/>
        <v>25</v>
      </c>
      <c r="L64" s="11">
        <v>12</v>
      </c>
    </row>
    <row r="65" spans="1:12" x14ac:dyDescent="0.25">
      <c r="A65" s="5" t="s">
        <v>174</v>
      </c>
      <c r="B65" s="5" t="s">
        <v>66</v>
      </c>
      <c r="C65" s="9">
        <v>107713808</v>
      </c>
      <c r="D65" s="12" t="s">
        <v>106</v>
      </c>
      <c r="E65" s="12" t="s">
        <v>107</v>
      </c>
      <c r="F65" s="10">
        <v>0.35</v>
      </c>
      <c r="G65" s="9" t="s">
        <v>20</v>
      </c>
      <c r="H65" s="12" t="s">
        <v>15</v>
      </c>
      <c r="I65" s="12" t="s">
        <v>16</v>
      </c>
      <c r="J65" s="11" t="s">
        <v>17</v>
      </c>
      <c r="K65" s="11" t="str">
        <f t="shared" si="2"/>
        <v>25</v>
      </c>
      <c r="L65" s="11">
        <v>12</v>
      </c>
    </row>
    <row r="66" spans="1:12" x14ac:dyDescent="0.25">
      <c r="A66" s="5" t="s">
        <v>174</v>
      </c>
      <c r="B66" s="5" t="s">
        <v>66</v>
      </c>
      <c r="C66" s="9">
        <v>107710385</v>
      </c>
      <c r="D66" s="12" t="s">
        <v>108</v>
      </c>
      <c r="E66" s="12" t="s">
        <v>84</v>
      </c>
      <c r="F66" s="10">
        <v>0.35</v>
      </c>
      <c r="G66" s="9" t="s">
        <v>20</v>
      </c>
      <c r="H66" s="12" t="s">
        <v>15</v>
      </c>
      <c r="I66" s="12" t="s">
        <v>16</v>
      </c>
      <c r="J66" s="11" t="s">
        <v>17</v>
      </c>
      <c r="K66" s="11" t="str">
        <f t="shared" si="2"/>
        <v>25</v>
      </c>
      <c r="L66" s="11">
        <v>12</v>
      </c>
    </row>
    <row r="67" spans="1:12" x14ac:dyDescent="0.25">
      <c r="A67" s="5" t="s">
        <v>174</v>
      </c>
      <c r="B67" s="5" t="s">
        <v>66</v>
      </c>
      <c r="C67" s="9">
        <v>107714660</v>
      </c>
      <c r="D67" s="12" t="s">
        <v>109</v>
      </c>
      <c r="E67" s="12" t="s">
        <v>110</v>
      </c>
      <c r="F67" s="10">
        <v>0.35</v>
      </c>
      <c r="G67" s="9" t="s">
        <v>14</v>
      </c>
      <c r="H67" s="12" t="s">
        <v>15</v>
      </c>
      <c r="I67" s="12" t="s">
        <v>16</v>
      </c>
      <c r="J67" s="11" t="s">
        <v>17</v>
      </c>
      <c r="K67" s="11" t="str">
        <f t="shared" si="2"/>
        <v>25</v>
      </c>
      <c r="L67" s="11">
        <v>10</v>
      </c>
    </row>
    <row r="68" spans="1:12" x14ac:dyDescent="0.25">
      <c r="A68" s="5" t="s">
        <v>174</v>
      </c>
      <c r="B68" s="5" t="s">
        <v>66</v>
      </c>
      <c r="C68" s="9">
        <v>107714661</v>
      </c>
      <c r="D68" s="12" t="s">
        <v>179</v>
      </c>
      <c r="E68" s="12" t="s">
        <v>111</v>
      </c>
      <c r="F68" s="10">
        <v>0.35</v>
      </c>
      <c r="G68" s="9" t="s">
        <v>14</v>
      </c>
      <c r="H68" s="12" t="s">
        <v>15</v>
      </c>
      <c r="I68" s="12" t="s">
        <v>16</v>
      </c>
      <c r="J68" s="11" t="s">
        <v>17</v>
      </c>
      <c r="K68" s="11" t="str">
        <f t="shared" si="2"/>
        <v>25</v>
      </c>
      <c r="L68" s="11">
        <v>10</v>
      </c>
    </row>
    <row r="69" spans="1:12" x14ac:dyDescent="0.25">
      <c r="A69" s="5" t="s">
        <v>174</v>
      </c>
      <c r="B69" s="5" t="s">
        <v>66</v>
      </c>
      <c r="C69" s="9">
        <v>107715781</v>
      </c>
      <c r="D69" s="9" t="s">
        <v>195</v>
      </c>
      <c r="E69" s="9" t="s">
        <v>112</v>
      </c>
      <c r="F69" s="10">
        <v>0.35</v>
      </c>
      <c r="G69" s="9" t="s">
        <v>14</v>
      </c>
      <c r="H69" s="12" t="s">
        <v>15</v>
      </c>
      <c r="I69" s="12" t="s">
        <v>16</v>
      </c>
      <c r="J69" s="11" t="s">
        <v>17</v>
      </c>
      <c r="K69" s="11" t="str">
        <f t="shared" si="2"/>
        <v>25</v>
      </c>
      <c r="L69" s="11">
        <v>10</v>
      </c>
    </row>
    <row r="70" spans="1:12" x14ac:dyDescent="0.25">
      <c r="A70" s="5" t="s">
        <v>174</v>
      </c>
      <c r="B70" s="5" t="s">
        <v>66</v>
      </c>
      <c r="C70" s="9">
        <v>107715643</v>
      </c>
      <c r="D70" s="9">
        <v>403724</v>
      </c>
      <c r="E70" s="9" t="s">
        <v>113</v>
      </c>
      <c r="F70" s="10">
        <v>0.35</v>
      </c>
      <c r="G70" s="9" t="s">
        <v>20</v>
      </c>
      <c r="H70" s="12" t="s">
        <v>38</v>
      </c>
      <c r="I70" s="9" t="s">
        <v>34</v>
      </c>
      <c r="J70" s="11" t="s">
        <v>17</v>
      </c>
      <c r="K70" s="11" t="str">
        <f t="shared" si="2"/>
        <v>25</v>
      </c>
      <c r="L70" s="11">
        <v>11</v>
      </c>
    </row>
    <row r="71" spans="1:12" x14ac:dyDescent="0.25">
      <c r="A71" s="5" t="s">
        <v>174</v>
      </c>
      <c r="B71" s="5" t="s">
        <v>66</v>
      </c>
      <c r="C71" s="9">
        <v>107716227</v>
      </c>
      <c r="D71" s="9">
        <v>81526</v>
      </c>
      <c r="E71" s="9" t="s">
        <v>114</v>
      </c>
      <c r="F71" s="10">
        <v>0.35</v>
      </c>
      <c r="G71" s="9" t="s">
        <v>115</v>
      </c>
      <c r="H71" s="9"/>
      <c r="I71" s="9"/>
      <c r="J71" s="11" t="s">
        <v>17</v>
      </c>
      <c r="K71" s="11" t="str">
        <f t="shared" si="2"/>
        <v>25</v>
      </c>
      <c r="L71" s="11"/>
    </row>
    <row r="72" spans="1:12" x14ac:dyDescent="0.25">
      <c r="A72" s="5" t="s">
        <v>174</v>
      </c>
      <c r="B72" s="5" t="s">
        <v>66</v>
      </c>
      <c r="C72" s="9">
        <v>107710439</v>
      </c>
      <c r="D72" s="9">
        <v>82353</v>
      </c>
      <c r="E72" s="9" t="s">
        <v>116</v>
      </c>
      <c r="F72" s="10">
        <v>0.35</v>
      </c>
      <c r="G72" s="9" t="s">
        <v>115</v>
      </c>
      <c r="H72" s="9"/>
      <c r="I72" s="9"/>
      <c r="J72" s="11" t="s">
        <v>17</v>
      </c>
      <c r="K72" s="11" t="str">
        <f t="shared" si="2"/>
        <v>25</v>
      </c>
      <c r="L72" s="11"/>
    </row>
    <row r="73" spans="1:12" x14ac:dyDescent="0.25">
      <c r="A73" s="5" t="s">
        <v>174</v>
      </c>
      <c r="B73" s="5" t="s">
        <v>66</v>
      </c>
      <c r="C73" s="9">
        <v>107715750</v>
      </c>
      <c r="D73" s="9">
        <v>84353</v>
      </c>
      <c r="E73" s="9" t="s">
        <v>117</v>
      </c>
      <c r="F73" s="10">
        <v>0.35</v>
      </c>
      <c r="G73" s="9" t="s">
        <v>115</v>
      </c>
      <c r="H73" s="9"/>
      <c r="I73" s="9"/>
      <c r="J73" s="11" t="s">
        <v>17</v>
      </c>
      <c r="K73" s="11" t="str">
        <f t="shared" si="2"/>
        <v>25</v>
      </c>
      <c r="L73" s="11"/>
    </row>
    <row r="74" spans="1:12" s="7" customFormat="1" x14ac:dyDescent="0.25">
      <c r="A74" s="6" t="s">
        <v>118</v>
      </c>
      <c r="B74" s="6" t="s">
        <v>119</v>
      </c>
      <c r="C74" s="9">
        <v>107680697</v>
      </c>
      <c r="D74" s="8">
        <v>5800</v>
      </c>
      <c r="E74" s="8" t="s">
        <v>120</v>
      </c>
      <c r="F74" s="2">
        <v>0.5</v>
      </c>
      <c r="G74" s="8" t="s">
        <v>121</v>
      </c>
      <c r="H74" s="8" t="s">
        <v>122</v>
      </c>
      <c r="I74" s="8" t="s">
        <v>34</v>
      </c>
      <c r="J74" s="13" t="s">
        <v>123</v>
      </c>
      <c r="K74" s="13" t="str">
        <f t="shared" si="2"/>
        <v>01</v>
      </c>
      <c r="L74" s="13"/>
    </row>
    <row r="75" spans="1:12" s="7" customFormat="1" x14ac:dyDescent="0.25">
      <c r="A75" s="6" t="s">
        <v>118</v>
      </c>
      <c r="B75" s="6" t="s">
        <v>119</v>
      </c>
      <c r="C75" s="9">
        <v>107677361</v>
      </c>
      <c r="D75" s="8">
        <v>5801</v>
      </c>
      <c r="E75" s="8" t="s">
        <v>124</v>
      </c>
      <c r="F75" s="2">
        <v>0.5</v>
      </c>
      <c r="G75" s="8" t="s">
        <v>121</v>
      </c>
      <c r="H75" s="8" t="s">
        <v>125</v>
      </c>
      <c r="I75" s="8" t="s">
        <v>34</v>
      </c>
      <c r="J75" s="13" t="s">
        <v>123</v>
      </c>
      <c r="K75" s="13" t="str">
        <f t="shared" si="2"/>
        <v>01</v>
      </c>
      <c r="L75" s="13"/>
    </row>
    <row r="76" spans="1:12" s="7" customFormat="1" x14ac:dyDescent="0.25">
      <c r="A76" s="6" t="s">
        <v>118</v>
      </c>
      <c r="B76" s="6" t="s">
        <v>119</v>
      </c>
      <c r="C76" s="9">
        <v>107679388</v>
      </c>
      <c r="D76" s="8">
        <v>5802</v>
      </c>
      <c r="E76" s="8" t="s">
        <v>126</v>
      </c>
      <c r="F76" s="2">
        <v>0.5</v>
      </c>
      <c r="G76" s="8" t="s">
        <v>121</v>
      </c>
      <c r="H76" s="8" t="s">
        <v>127</v>
      </c>
      <c r="I76" s="8" t="s">
        <v>34</v>
      </c>
      <c r="J76" s="13" t="s">
        <v>123</v>
      </c>
      <c r="K76" s="13" t="str">
        <f t="shared" si="2"/>
        <v>01</v>
      </c>
      <c r="L76" s="13"/>
    </row>
    <row r="77" spans="1:12" s="7" customFormat="1" x14ac:dyDescent="0.25">
      <c r="A77" s="6" t="s">
        <v>118</v>
      </c>
      <c r="B77" s="6" t="s">
        <v>119</v>
      </c>
      <c r="C77" s="9">
        <v>107680697</v>
      </c>
      <c r="D77" s="8" t="s">
        <v>128</v>
      </c>
      <c r="E77" s="8" t="s">
        <v>120</v>
      </c>
      <c r="F77" s="2">
        <v>0.5</v>
      </c>
      <c r="G77" s="8" t="s">
        <v>121</v>
      </c>
      <c r="H77" s="8" t="s">
        <v>122</v>
      </c>
      <c r="I77" s="8" t="s">
        <v>34</v>
      </c>
      <c r="J77" s="13" t="s">
        <v>123</v>
      </c>
      <c r="K77" s="13" t="str">
        <f t="shared" si="2"/>
        <v>01</v>
      </c>
      <c r="L77" s="13"/>
    </row>
    <row r="78" spans="1:12" s="7" customFormat="1" x14ac:dyDescent="0.25">
      <c r="A78" s="6" t="s">
        <v>118</v>
      </c>
      <c r="B78" s="6" t="s">
        <v>119</v>
      </c>
      <c r="C78" s="9">
        <v>107677361</v>
      </c>
      <c r="D78" s="8" t="s">
        <v>129</v>
      </c>
      <c r="E78" s="8" t="s">
        <v>124</v>
      </c>
      <c r="F78" s="2">
        <v>0.5</v>
      </c>
      <c r="G78" s="8" t="s">
        <v>121</v>
      </c>
      <c r="H78" s="8" t="s">
        <v>125</v>
      </c>
      <c r="I78" s="8" t="s">
        <v>34</v>
      </c>
      <c r="J78" s="13" t="s">
        <v>123</v>
      </c>
      <c r="K78" s="13" t="str">
        <f t="shared" si="2"/>
        <v>01</v>
      </c>
      <c r="L78" s="13"/>
    </row>
    <row r="79" spans="1:12" s="7" customFormat="1" x14ac:dyDescent="0.25">
      <c r="A79" s="6" t="s">
        <v>118</v>
      </c>
      <c r="B79" s="6" t="s">
        <v>119</v>
      </c>
      <c r="C79" s="9">
        <v>107679388</v>
      </c>
      <c r="D79" s="8" t="s">
        <v>130</v>
      </c>
      <c r="E79" s="8" t="s">
        <v>126</v>
      </c>
      <c r="F79" s="2">
        <v>0.5</v>
      </c>
      <c r="G79" s="8" t="s">
        <v>121</v>
      </c>
      <c r="H79" s="8" t="s">
        <v>127</v>
      </c>
      <c r="I79" s="8" t="s">
        <v>34</v>
      </c>
      <c r="J79" s="13" t="s">
        <v>123</v>
      </c>
      <c r="K79" s="13" t="str">
        <f t="shared" si="2"/>
        <v>01</v>
      </c>
      <c r="L79" s="13"/>
    </row>
    <row r="80" spans="1:12" s="7" customFormat="1" x14ac:dyDescent="0.25">
      <c r="A80" s="6" t="s">
        <v>131</v>
      </c>
      <c r="B80" s="6" t="s">
        <v>12</v>
      </c>
      <c r="C80" s="9">
        <v>107679410</v>
      </c>
      <c r="D80" s="8" t="s">
        <v>132</v>
      </c>
      <c r="E80" s="8" t="s">
        <v>13</v>
      </c>
      <c r="F80" s="14">
        <v>0.35</v>
      </c>
      <c r="G80" s="8" t="s">
        <v>14</v>
      </c>
      <c r="H80" s="8" t="s">
        <v>15</v>
      </c>
      <c r="I80" s="8" t="s">
        <v>16</v>
      </c>
      <c r="J80" s="13" t="s">
        <v>17</v>
      </c>
      <c r="K80" s="13" t="str">
        <f t="shared" si="2"/>
        <v>25</v>
      </c>
      <c r="L80" s="13">
        <v>4</v>
      </c>
    </row>
    <row r="81" spans="1:12" s="7" customFormat="1" x14ac:dyDescent="0.25">
      <c r="A81" s="6" t="s">
        <v>131</v>
      </c>
      <c r="B81" s="6" t="s">
        <v>12</v>
      </c>
      <c r="C81" s="9">
        <v>107679410</v>
      </c>
      <c r="D81" s="8" t="s">
        <v>133</v>
      </c>
      <c r="E81" s="8" t="s">
        <v>13</v>
      </c>
      <c r="F81" s="14">
        <v>0.35</v>
      </c>
      <c r="G81" s="8" t="s">
        <v>14</v>
      </c>
      <c r="H81" s="8" t="s">
        <v>15</v>
      </c>
      <c r="I81" s="8" t="s">
        <v>16</v>
      </c>
      <c r="J81" s="13" t="s">
        <v>17</v>
      </c>
      <c r="K81" s="13" t="str">
        <f t="shared" si="2"/>
        <v>25</v>
      </c>
      <c r="L81" s="13">
        <v>4</v>
      </c>
    </row>
    <row r="82" spans="1:12" s="7" customFormat="1" x14ac:dyDescent="0.25">
      <c r="A82" s="6" t="s">
        <v>131</v>
      </c>
      <c r="B82" s="6" t="s">
        <v>18</v>
      </c>
      <c r="C82" s="9">
        <v>107677375</v>
      </c>
      <c r="D82" s="8" t="s">
        <v>134</v>
      </c>
      <c r="E82" s="8" t="s">
        <v>19</v>
      </c>
      <c r="F82" s="14">
        <v>0.35</v>
      </c>
      <c r="G82" s="8" t="s">
        <v>20</v>
      </c>
      <c r="H82" s="8" t="s">
        <v>15</v>
      </c>
      <c r="I82" s="8" t="s">
        <v>16</v>
      </c>
      <c r="J82" s="13" t="s">
        <v>17</v>
      </c>
      <c r="K82" s="13" t="str">
        <f t="shared" si="2"/>
        <v>25</v>
      </c>
      <c r="L82" s="13">
        <v>14.5</v>
      </c>
    </row>
    <row r="83" spans="1:12" s="7" customFormat="1" x14ac:dyDescent="0.25">
      <c r="A83" s="6" t="s">
        <v>131</v>
      </c>
      <c r="B83" s="6" t="s">
        <v>18</v>
      </c>
      <c r="C83" s="9">
        <v>107677375</v>
      </c>
      <c r="D83" s="8" t="s">
        <v>135</v>
      </c>
      <c r="E83" s="8" t="s">
        <v>19</v>
      </c>
      <c r="F83" s="14">
        <v>0.35</v>
      </c>
      <c r="G83" s="8" t="s">
        <v>20</v>
      </c>
      <c r="H83" s="8" t="s">
        <v>15</v>
      </c>
      <c r="I83" s="8" t="s">
        <v>16</v>
      </c>
      <c r="J83" s="13" t="s">
        <v>17</v>
      </c>
      <c r="K83" s="13" t="str">
        <f t="shared" si="2"/>
        <v>25</v>
      </c>
      <c r="L83" s="13">
        <v>14.5</v>
      </c>
    </row>
    <row r="84" spans="1:12" s="7" customFormat="1" x14ac:dyDescent="0.25">
      <c r="A84" s="6" t="s">
        <v>131</v>
      </c>
      <c r="B84" s="6" t="s">
        <v>18</v>
      </c>
      <c r="C84" s="9">
        <v>107710431</v>
      </c>
      <c r="D84" s="8" t="s">
        <v>136</v>
      </c>
      <c r="E84" s="8" t="s">
        <v>21</v>
      </c>
      <c r="F84" s="14">
        <v>0.35</v>
      </c>
      <c r="G84" s="8" t="s">
        <v>14</v>
      </c>
      <c r="H84" s="8" t="s">
        <v>15</v>
      </c>
      <c r="I84" s="8" t="s">
        <v>16</v>
      </c>
      <c r="J84" s="13" t="s">
        <v>17</v>
      </c>
      <c r="K84" s="13" t="str">
        <f t="shared" si="2"/>
        <v>25</v>
      </c>
      <c r="L84" s="13">
        <v>4</v>
      </c>
    </row>
    <row r="85" spans="1:12" s="7" customFormat="1" x14ac:dyDescent="0.25">
      <c r="A85" s="6" t="s">
        <v>131</v>
      </c>
      <c r="B85" s="6" t="s">
        <v>27</v>
      </c>
      <c r="C85" s="9">
        <v>107708588</v>
      </c>
      <c r="D85" s="8" t="s">
        <v>137</v>
      </c>
      <c r="E85" s="8" t="s">
        <v>28</v>
      </c>
      <c r="F85" s="14">
        <v>0.35</v>
      </c>
      <c r="G85" s="8" t="s">
        <v>14</v>
      </c>
      <c r="H85" s="8" t="s">
        <v>15</v>
      </c>
      <c r="I85" s="8" t="s">
        <v>16</v>
      </c>
      <c r="J85" s="13" t="s">
        <v>17</v>
      </c>
      <c r="K85" s="13" t="str">
        <f t="shared" si="2"/>
        <v>25</v>
      </c>
      <c r="L85" s="13">
        <v>4</v>
      </c>
    </row>
    <row r="86" spans="1:12" s="7" customFormat="1" x14ac:dyDescent="0.25">
      <c r="A86" s="6" t="s">
        <v>131</v>
      </c>
      <c r="B86" s="6" t="s">
        <v>12</v>
      </c>
      <c r="C86" s="9">
        <v>107710380</v>
      </c>
      <c r="D86" s="8">
        <v>500026</v>
      </c>
      <c r="E86" s="8" t="s">
        <v>29</v>
      </c>
      <c r="F86" s="14">
        <v>0.35</v>
      </c>
      <c r="G86" s="8" t="s">
        <v>20</v>
      </c>
      <c r="H86" s="8" t="s">
        <v>15</v>
      </c>
      <c r="I86" s="8" t="s">
        <v>16</v>
      </c>
      <c r="J86" s="13" t="s">
        <v>17</v>
      </c>
      <c r="K86" s="13" t="str">
        <f t="shared" si="2"/>
        <v>25</v>
      </c>
      <c r="L86" s="13">
        <v>14.5</v>
      </c>
    </row>
    <row r="87" spans="1:12" s="7" customFormat="1" x14ac:dyDescent="0.25">
      <c r="A87" s="6" t="s">
        <v>131</v>
      </c>
      <c r="B87" s="6" t="s">
        <v>12</v>
      </c>
      <c r="C87" s="9">
        <v>107710488</v>
      </c>
      <c r="D87" s="8">
        <v>710526</v>
      </c>
      <c r="E87" s="8" t="s">
        <v>31</v>
      </c>
      <c r="F87" s="14">
        <v>0.35</v>
      </c>
      <c r="G87" s="8" t="s">
        <v>14</v>
      </c>
      <c r="H87" s="8" t="s">
        <v>15</v>
      </c>
      <c r="I87" s="8" t="s">
        <v>16</v>
      </c>
      <c r="J87" s="13" t="s">
        <v>17</v>
      </c>
      <c r="K87" s="13" t="str">
        <f t="shared" si="2"/>
        <v>25</v>
      </c>
      <c r="L87" s="13">
        <v>4</v>
      </c>
    </row>
    <row r="88" spans="1:12" s="7" customFormat="1" x14ac:dyDescent="0.25">
      <c r="A88" s="6" t="s">
        <v>131</v>
      </c>
      <c r="B88" s="6" t="s">
        <v>12</v>
      </c>
      <c r="C88" s="9">
        <v>107710387</v>
      </c>
      <c r="D88" s="9" t="s">
        <v>193</v>
      </c>
      <c r="E88" s="8" t="s">
        <v>30</v>
      </c>
      <c r="F88" s="14">
        <v>0.35</v>
      </c>
      <c r="G88" s="8" t="s">
        <v>14</v>
      </c>
      <c r="H88" s="8" t="s">
        <v>15</v>
      </c>
      <c r="I88" s="8" t="s">
        <v>16</v>
      </c>
      <c r="J88" s="13" t="s">
        <v>17</v>
      </c>
      <c r="K88" s="13" t="str">
        <f t="shared" si="2"/>
        <v>25</v>
      </c>
      <c r="L88" s="13">
        <v>4</v>
      </c>
    </row>
    <row r="89" spans="1:12" s="7" customFormat="1" x14ac:dyDescent="0.25">
      <c r="A89" s="6" t="s">
        <v>131</v>
      </c>
      <c r="B89" s="6" t="s">
        <v>18</v>
      </c>
      <c r="C89" s="9">
        <v>107708590</v>
      </c>
      <c r="D89" s="8">
        <v>701026</v>
      </c>
      <c r="E89" s="8" t="s">
        <v>39</v>
      </c>
      <c r="F89" s="14">
        <v>0.35</v>
      </c>
      <c r="G89" s="8" t="s">
        <v>20</v>
      </c>
      <c r="H89" s="8" t="s">
        <v>15</v>
      </c>
      <c r="I89" s="8" t="s">
        <v>16</v>
      </c>
      <c r="J89" s="13" t="s">
        <v>17</v>
      </c>
      <c r="K89" s="13" t="str">
        <f t="shared" si="2"/>
        <v>25</v>
      </c>
      <c r="L89" s="13">
        <v>14.5</v>
      </c>
    </row>
    <row r="90" spans="1:12" s="7" customFormat="1" x14ac:dyDescent="0.25">
      <c r="A90" s="6" t="s">
        <v>131</v>
      </c>
      <c r="B90" s="6" t="s">
        <v>18</v>
      </c>
      <c r="C90" s="9">
        <v>107708590</v>
      </c>
      <c r="D90" s="8" t="s">
        <v>138</v>
      </c>
      <c r="E90" s="8" t="s">
        <v>39</v>
      </c>
      <c r="F90" s="14">
        <v>0.35</v>
      </c>
      <c r="G90" s="8" t="s">
        <v>20</v>
      </c>
      <c r="H90" s="8" t="s">
        <v>15</v>
      </c>
      <c r="I90" s="8" t="s">
        <v>16</v>
      </c>
      <c r="J90" s="13" t="s">
        <v>17</v>
      </c>
      <c r="K90" s="13" t="str">
        <f t="shared" si="2"/>
        <v>25</v>
      </c>
      <c r="L90" s="13">
        <v>14.5</v>
      </c>
    </row>
    <row r="91" spans="1:12" s="7" customFormat="1" x14ac:dyDescent="0.25">
      <c r="A91" s="6" t="s">
        <v>131</v>
      </c>
      <c r="B91" s="6" t="s">
        <v>18</v>
      </c>
      <c r="C91" s="9">
        <v>107710489</v>
      </c>
      <c r="D91" s="8">
        <v>711026</v>
      </c>
      <c r="E91" s="8" t="s">
        <v>40</v>
      </c>
      <c r="F91" s="14">
        <v>0.35</v>
      </c>
      <c r="G91" s="8" t="s">
        <v>14</v>
      </c>
      <c r="H91" s="8" t="s">
        <v>15</v>
      </c>
      <c r="I91" s="8" t="s">
        <v>16</v>
      </c>
      <c r="J91" s="13" t="s">
        <v>17</v>
      </c>
      <c r="K91" s="13" t="str">
        <f t="shared" si="2"/>
        <v>25</v>
      </c>
      <c r="L91" s="13">
        <v>4</v>
      </c>
    </row>
    <row r="92" spans="1:12" s="7" customFormat="1" x14ac:dyDescent="0.25">
      <c r="A92" s="6" t="s">
        <v>131</v>
      </c>
      <c r="B92" s="6" t="s">
        <v>18</v>
      </c>
      <c r="C92" s="9">
        <v>107710489</v>
      </c>
      <c r="D92" s="8" t="s">
        <v>139</v>
      </c>
      <c r="E92" s="8" t="s">
        <v>40</v>
      </c>
      <c r="F92" s="14">
        <v>0.35</v>
      </c>
      <c r="G92" s="8" t="s">
        <v>14</v>
      </c>
      <c r="H92" s="8" t="s">
        <v>15</v>
      </c>
      <c r="I92" s="8" t="s">
        <v>16</v>
      </c>
      <c r="J92" s="13" t="s">
        <v>17</v>
      </c>
      <c r="K92" s="13" t="str">
        <f t="shared" si="2"/>
        <v>25</v>
      </c>
      <c r="L92" s="13">
        <v>4</v>
      </c>
    </row>
    <row r="93" spans="1:12" s="7" customFormat="1" x14ac:dyDescent="0.25">
      <c r="A93" s="6" t="s">
        <v>131</v>
      </c>
      <c r="B93" s="6" t="s">
        <v>18</v>
      </c>
      <c r="C93" s="9">
        <v>107710498</v>
      </c>
      <c r="D93" s="8">
        <v>714026</v>
      </c>
      <c r="E93" s="8" t="s">
        <v>41</v>
      </c>
      <c r="F93" s="14">
        <v>0.35</v>
      </c>
      <c r="G93" s="8" t="s">
        <v>14</v>
      </c>
      <c r="H93" s="8" t="s">
        <v>15</v>
      </c>
      <c r="I93" s="8" t="s">
        <v>16</v>
      </c>
      <c r="J93" s="13" t="s">
        <v>17</v>
      </c>
      <c r="K93" s="13" t="str">
        <f t="shared" ref="K93:K116" si="3">LEFT(J93,2)</f>
        <v>25</v>
      </c>
      <c r="L93" s="13">
        <v>4</v>
      </c>
    </row>
    <row r="94" spans="1:12" s="7" customFormat="1" x14ac:dyDescent="0.25">
      <c r="A94" s="6" t="s">
        <v>131</v>
      </c>
      <c r="B94" s="6" t="s">
        <v>18</v>
      </c>
      <c r="C94" s="9">
        <v>107710501</v>
      </c>
      <c r="D94" s="8" t="s">
        <v>188</v>
      </c>
      <c r="E94" s="8" t="s">
        <v>42</v>
      </c>
      <c r="F94" s="14">
        <v>0.35</v>
      </c>
      <c r="G94" s="8" t="s">
        <v>14</v>
      </c>
      <c r="H94" s="8" t="s">
        <v>15</v>
      </c>
      <c r="I94" s="8" t="s">
        <v>16</v>
      </c>
      <c r="J94" s="13" t="s">
        <v>17</v>
      </c>
      <c r="K94" s="13" t="str">
        <f t="shared" si="3"/>
        <v>25</v>
      </c>
      <c r="L94" s="13">
        <v>4</v>
      </c>
    </row>
    <row r="95" spans="1:12" s="7" customFormat="1" x14ac:dyDescent="0.25">
      <c r="A95" s="6" t="s">
        <v>131</v>
      </c>
      <c r="B95" s="6" t="s">
        <v>18</v>
      </c>
      <c r="C95" s="9">
        <v>107708599</v>
      </c>
      <c r="D95" s="8">
        <v>705026</v>
      </c>
      <c r="E95" s="8" t="s">
        <v>43</v>
      </c>
      <c r="F95" s="14">
        <v>0.35</v>
      </c>
      <c r="G95" s="8" t="s">
        <v>20</v>
      </c>
      <c r="H95" s="8" t="s">
        <v>15</v>
      </c>
      <c r="I95" s="8" t="s">
        <v>16</v>
      </c>
      <c r="J95" s="13" t="s">
        <v>17</v>
      </c>
      <c r="K95" s="13" t="str">
        <f t="shared" si="3"/>
        <v>25</v>
      </c>
      <c r="L95" s="13">
        <v>14.5</v>
      </c>
    </row>
    <row r="96" spans="1:12" s="7" customFormat="1" x14ac:dyDescent="0.25">
      <c r="A96" s="6" t="s">
        <v>131</v>
      </c>
      <c r="B96" s="6" t="s">
        <v>46</v>
      </c>
      <c r="C96" s="9">
        <v>107708593</v>
      </c>
      <c r="D96" s="8" t="s">
        <v>180</v>
      </c>
      <c r="E96" s="8" t="s">
        <v>51</v>
      </c>
      <c r="F96" s="14">
        <v>0.35</v>
      </c>
      <c r="G96" s="8" t="s">
        <v>20</v>
      </c>
      <c r="H96" s="8" t="s">
        <v>15</v>
      </c>
      <c r="I96" s="8" t="s">
        <v>16</v>
      </c>
      <c r="J96" s="13" t="s">
        <v>17</v>
      </c>
      <c r="K96" s="13" t="str">
        <f t="shared" si="3"/>
        <v>25</v>
      </c>
      <c r="L96" s="13">
        <v>14.5</v>
      </c>
    </row>
    <row r="97" spans="1:12" s="7" customFormat="1" x14ac:dyDescent="0.25">
      <c r="A97" s="6" t="s">
        <v>131</v>
      </c>
      <c r="B97" s="6" t="s">
        <v>46</v>
      </c>
      <c r="C97" s="9">
        <v>107710491</v>
      </c>
      <c r="D97" s="8" t="s">
        <v>206</v>
      </c>
      <c r="E97" s="8" t="s">
        <v>52</v>
      </c>
      <c r="F97" s="14">
        <v>0.35</v>
      </c>
      <c r="G97" s="8" t="s">
        <v>14</v>
      </c>
      <c r="H97" s="8" t="s">
        <v>15</v>
      </c>
      <c r="I97" s="8" t="s">
        <v>16</v>
      </c>
      <c r="J97" s="13" t="s">
        <v>17</v>
      </c>
      <c r="K97" s="13" t="str">
        <f t="shared" si="3"/>
        <v>25</v>
      </c>
      <c r="L97" s="13">
        <v>4</v>
      </c>
    </row>
    <row r="98" spans="1:12" s="7" customFormat="1" x14ac:dyDescent="0.25">
      <c r="A98" s="6" t="s">
        <v>131</v>
      </c>
      <c r="B98" s="6" t="s">
        <v>22</v>
      </c>
      <c r="C98" s="9">
        <v>107708607</v>
      </c>
      <c r="D98" s="8" t="s">
        <v>140</v>
      </c>
      <c r="E98" s="8" t="s">
        <v>58</v>
      </c>
      <c r="F98" s="14">
        <v>0.35</v>
      </c>
      <c r="G98" s="8" t="s">
        <v>20</v>
      </c>
      <c r="H98" s="8" t="s">
        <v>15</v>
      </c>
      <c r="I98" s="8" t="s">
        <v>16</v>
      </c>
      <c r="J98" s="13" t="s">
        <v>17</v>
      </c>
      <c r="K98" s="13" t="str">
        <f t="shared" si="3"/>
        <v>25</v>
      </c>
      <c r="L98" s="13">
        <v>14.5</v>
      </c>
    </row>
    <row r="99" spans="1:12" s="7" customFormat="1" x14ac:dyDescent="0.25">
      <c r="A99" s="6" t="s">
        <v>131</v>
      </c>
      <c r="B99" s="6" t="s">
        <v>22</v>
      </c>
      <c r="C99" s="9">
        <v>107710494</v>
      </c>
      <c r="D99" s="8">
        <v>713026</v>
      </c>
      <c r="E99" s="8" t="s">
        <v>59</v>
      </c>
      <c r="F99" s="14">
        <v>0.35</v>
      </c>
      <c r="G99" s="8" t="s">
        <v>14</v>
      </c>
      <c r="H99" s="8" t="s">
        <v>15</v>
      </c>
      <c r="I99" s="8" t="s">
        <v>16</v>
      </c>
      <c r="J99" s="13" t="s">
        <v>17</v>
      </c>
      <c r="K99" s="13" t="str">
        <f t="shared" si="3"/>
        <v>25</v>
      </c>
      <c r="L99" s="13">
        <v>4</v>
      </c>
    </row>
    <row r="100" spans="1:12" s="7" customFormat="1" x14ac:dyDescent="0.25">
      <c r="A100" s="6" t="s">
        <v>131</v>
      </c>
      <c r="B100" s="6" t="s">
        <v>22</v>
      </c>
      <c r="C100" s="9">
        <v>107708597</v>
      </c>
      <c r="D100" s="8" t="s">
        <v>141</v>
      </c>
      <c r="E100" s="8" t="s">
        <v>61</v>
      </c>
      <c r="F100" s="14">
        <v>0.35</v>
      </c>
      <c r="G100" s="8" t="s">
        <v>20</v>
      </c>
      <c r="H100" s="8" t="s">
        <v>62</v>
      </c>
      <c r="I100" s="8" t="s">
        <v>16</v>
      </c>
      <c r="J100" s="13" t="s">
        <v>17</v>
      </c>
      <c r="K100" s="13" t="str">
        <f t="shared" si="3"/>
        <v>25</v>
      </c>
      <c r="L100" s="13">
        <v>14.5</v>
      </c>
    </row>
    <row r="101" spans="1:12" s="7" customFormat="1" x14ac:dyDescent="0.25">
      <c r="A101" s="6" t="s">
        <v>131</v>
      </c>
      <c r="B101" s="6" t="s">
        <v>24</v>
      </c>
      <c r="C101" s="9">
        <v>107710384</v>
      </c>
      <c r="D101" s="8" t="s">
        <v>142</v>
      </c>
      <c r="E101" s="8" t="s">
        <v>72</v>
      </c>
      <c r="F101" s="14">
        <v>0.35</v>
      </c>
      <c r="G101" s="8" t="s">
        <v>20</v>
      </c>
      <c r="H101" s="8" t="s">
        <v>62</v>
      </c>
      <c r="I101" s="8" t="s">
        <v>16</v>
      </c>
      <c r="J101" s="13" t="s">
        <v>17</v>
      </c>
      <c r="K101" s="13" t="str">
        <f t="shared" si="3"/>
        <v>25</v>
      </c>
      <c r="L101" s="13">
        <v>14.5</v>
      </c>
    </row>
    <row r="102" spans="1:12" s="7" customFormat="1" x14ac:dyDescent="0.25">
      <c r="A102" s="6" t="s">
        <v>131</v>
      </c>
      <c r="B102" s="6" t="s">
        <v>24</v>
      </c>
      <c r="C102" s="9">
        <v>107710383</v>
      </c>
      <c r="D102" s="8">
        <v>702426</v>
      </c>
      <c r="E102" s="8" t="s">
        <v>143</v>
      </c>
      <c r="F102" s="14">
        <v>0.35</v>
      </c>
      <c r="G102" s="8" t="s">
        <v>20</v>
      </c>
      <c r="H102" s="8" t="s">
        <v>15</v>
      </c>
      <c r="I102" s="8" t="s">
        <v>16</v>
      </c>
      <c r="J102" s="13" t="s">
        <v>17</v>
      </c>
      <c r="K102" s="13" t="str">
        <f t="shared" si="3"/>
        <v>25</v>
      </c>
      <c r="L102" s="13">
        <v>14.5</v>
      </c>
    </row>
    <row r="103" spans="1:12" s="7" customFormat="1" x14ac:dyDescent="0.25">
      <c r="A103" s="6" t="s">
        <v>131</v>
      </c>
      <c r="B103" s="6" t="s">
        <v>74</v>
      </c>
      <c r="C103" s="9">
        <v>107710382</v>
      </c>
      <c r="D103" s="8">
        <v>702226</v>
      </c>
      <c r="E103" s="8" t="s">
        <v>77</v>
      </c>
      <c r="F103" s="14">
        <v>0.35</v>
      </c>
      <c r="G103" s="8" t="s">
        <v>20</v>
      </c>
      <c r="H103" s="8" t="s">
        <v>15</v>
      </c>
      <c r="I103" s="8" t="s">
        <v>16</v>
      </c>
      <c r="J103" s="13" t="s">
        <v>17</v>
      </c>
      <c r="K103" s="13" t="str">
        <f t="shared" si="3"/>
        <v>25</v>
      </c>
      <c r="L103" s="13">
        <v>14.5</v>
      </c>
    </row>
    <row r="104" spans="1:12" s="7" customFormat="1" x14ac:dyDescent="0.25">
      <c r="A104" s="6" t="s">
        <v>131</v>
      </c>
      <c r="B104" s="6" t="s">
        <v>74</v>
      </c>
      <c r="C104" s="9">
        <v>107710493</v>
      </c>
      <c r="D104" s="8">
        <v>712226</v>
      </c>
      <c r="E104" s="8" t="s">
        <v>78</v>
      </c>
      <c r="F104" s="14">
        <v>0.35</v>
      </c>
      <c r="G104" s="8" t="s">
        <v>14</v>
      </c>
      <c r="H104" s="8" t="s">
        <v>15</v>
      </c>
      <c r="I104" s="8" t="s">
        <v>16</v>
      </c>
      <c r="J104" s="13" t="s">
        <v>17</v>
      </c>
      <c r="K104" s="13" t="str">
        <f t="shared" si="3"/>
        <v>25</v>
      </c>
      <c r="L104" s="13">
        <v>4</v>
      </c>
    </row>
    <row r="105" spans="1:12" s="7" customFormat="1" x14ac:dyDescent="0.25">
      <c r="A105" s="6" t="s">
        <v>131</v>
      </c>
      <c r="B105" s="6" t="s">
        <v>27</v>
      </c>
      <c r="C105" s="9">
        <v>107715263</v>
      </c>
      <c r="D105" s="8">
        <v>711226</v>
      </c>
      <c r="E105" s="8" t="s">
        <v>79</v>
      </c>
      <c r="F105" s="14">
        <v>0.35</v>
      </c>
      <c r="G105" s="8" t="s">
        <v>14</v>
      </c>
      <c r="H105" s="8" t="s">
        <v>15</v>
      </c>
      <c r="I105" s="8" t="s">
        <v>16</v>
      </c>
      <c r="J105" s="13" t="s">
        <v>17</v>
      </c>
      <c r="K105" s="13" t="str">
        <f t="shared" si="3"/>
        <v>25</v>
      </c>
      <c r="L105" s="13">
        <v>4</v>
      </c>
    </row>
    <row r="106" spans="1:12" s="7" customFormat="1" x14ac:dyDescent="0.25">
      <c r="A106" s="6" t="s">
        <v>131</v>
      </c>
      <c r="B106" s="6" t="s">
        <v>27</v>
      </c>
      <c r="C106" s="9">
        <v>107708605</v>
      </c>
      <c r="D106" s="8" t="s">
        <v>190</v>
      </c>
      <c r="E106" s="8" t="s">
        <v>80</v>
      </c>
      <c r="F106" s="14">
        <v>0.35</v>
      </c>
      <c r="G106" s="8" t="s">
        <v>14</v>
      </c>
      <c r="H106" s="8" t="s">
        <v>15</v>
      </c>
      <c r="I106" s="8" t="s">
        <v>16</v>
      </c>
      <c r="J106" s="13" t="s">
        <v>17</v>
      </c>
      <c r="K106" s="13" t="str">
        <f t="shared" si="3"/>
        <v>25</v>
      </c>
      <c r="L106" s="13">
        <v>4</v>
      </c>
    </row>
    <row r="107" spans="1:12" s="7" customFormat="1" x14ac:dyDescent="0.25">
      <c r="A107" s="6" t="s">
        <v>131</v>
      </c>
      <c r="B107" s="6" t="s">
        <v>22</v>
      </c>
      <c r="C107" s="9">
        <v>107710385</v>
      </c>
      <c r="D107" s="8">
        <v>703526</v>
      </c>
      <c r="E107" s="8" t="s">
        <v>84</v>
      </c>
      <c r="F107" s="14">
        <v>0.35</v>
      </c>
      <c r="G107" s="8" t="s">
        <v>20</v>
      </c>
      <c r="H107" s="8" t="s">
        <v>15</v>
      </c>
      <c r="I107" s="8" t="s">
        <v>16</v>
      </c>
      <c r="J107" s="13" t="s">
        <v>17</v>
      </c>
      <c r="K107" s="13" t="str">
        <f t="shared" si="3"/>
        <v>25</v>
      </c>
      <c r="L107" s="13">
        <v>14.5</v>
      </c>
    </row>
    <row r="108" spans="1:12" s="7" customFormat="1" x14ac:dyDescent="0.25">
      <c r="A108" s="6" t="s">
        <v>131</v>
      </c>
      <c r="B108" s="6" t="s">
        <v>74</v>
      </c>
      <c r="C108" s="9">
        <v>107708595</v>
      </c>
      <c r="D108" s="8" t="s">
        <v>144</v>
      </c>
      <c r="E108" s="8" t="s">
        <v>83</v>
      </c>
      <c r="F108" s="14">
        <v>0.35</v>
      </c>
      <c r="G108" s="8" t="s">
        <v>20</v>
      </c>
      <c r="H108" s="8" t="s">
        <v>15</v>
      </c>
      <c r="I108" s="8" t="s">
        <v>16</v>
      </c>
      <c r="J108" s="13" t="s">
        <v>17</v>
      </c>
      <c r="K108" s="13" t="str">
        <f t="shared" si="3"/>
        <v>25</v>
      </c>
      <c r="L108" s="13">
        <v>14.5</v>
      </c>
    </row>
    <row r="109" spans="1:12" s="7" customFormat="1" x14ac:dyDescent="0.25">
      <c r="A109" s="6" t="s">
        <v>131</v>
      </c>
      <c r="B109" s="6" t="s">
        <v>27</v>
      </c>
      <c r="C109" s="9">
        <v>107708591</v>
      </c>
      <c r="D109" s="8">
        <v>701226</v>
      </c>
      <c r="E109" s="8" t="s">
        <v>85</v>
      </c>
      <c r="F109" s="14">
        <v>0.35</v>
      </c>
      <c r="G109" s="8" t="s">
        <v>20</v>
      </c>
      <c r="H109" s="8" t="s">
        <v>15</v>
      </c>
      <c r="I109" s="8" t="s">
        <v>16</v>
      </c>
      <c r="J109" s="13" t="s">
        <v>17</v>
      </c>
      <c r="K109" s="13" t="str">
        <f t="shared" si="3"/>
        <v>25</v>
      </c>
      <c r="L109" s="13">
        <v>14.5</v>
      </c>
    </row>
    <row r="110" spans="1:12" s="7" customFormat="1" x14ac:dyDescent="0.25">
      <c r="A110" s="6" t="s">
        <v>131</v>
      </c>
      <c r="B110" s="6" t="s">
        <v>18</v>
      </c>
      <c r="C110" s="9">
        <v>107708729</v>
      </c>
      <c r="D110" s="8" t="s">
        <v>145</v>
      </c>
      <c r="E110" s="8" t="s">
        <v>87</v>
      </c>
      <c r="F110" s="14">
        <v>0.35</v>
      </c>
      <c r="G110" s="8" t="s">
        <v>20</v>
      </c>
      <c r="H110" s="8" t="s">
        <v>36</v>
      </c>
      <c r="I110" s="8" t="s">
        <v>34</v>
      </c>
      <c r="J110" s="13" t="s">
        <v>17</v>
      </c>
      <c r="K110" s="13" t="str">
        <f t="shared" si="3"/>
        <v>25</v>
      </c>
      <c r="L110" s="13">
        <v>3.5</v>
      </c>
    </row>
    <row r="111" spans="1:12" s="7" customFormat="1" x14ac:dyDescent="0.25">
      <c r="A111" s="6" t="s">
        <v>131</v>
      </c>
      <c r="B111" s="6" t="s">
        <v>18</v>
      </c>
      <c r="C111" s="9">
        <v>107708728</v>
      </c>
      <c r="D111" s="8" t="s">
        <v>146</v>
      </c>
      <c r="E111" s="8" t="s">
        <v>89</v>
      </c>
      <c r="F111" s="14">
        <v>0.35</v>
      </c>
      <c r="G111" s="8" t="s">
        <v>20</v>
      </c>
      <c r="H111" s="8" t="s">
        <v>33</v>
      </c>
      <c r="I111" s="8" t="s">
        <v>34</v>
      </c>
      <c r="J111" s="13" t="s">
        <v>17</v>
      </c>
      <c r="K111" s="13" t="str">
        <f t="shared" si="3"/>
        <v>25</v>
      </c>
      <c r="L111" s="13">
        <v>6</v>
      </c>
    </row>
    <row r="112" spans="1:12" s="7" customFormat="1" x14ac:dyDescent="0.25">
      <c r="A112" s="6" t="s">
        <v>131</v>
      </c>
      <c r="B112" s="6" t="s">
        <v>18</v>
      </c>
      <c r="C112" s="9">
        <v>107708582</v>
      </c>
      <c r="D112" s="8" t="s">
        <v>183</v>
      </c>
      <c r="E112" s="8" t="s">
        <v>90</v>
      </c>
      <c r="F112" s="14">
        <v>0.35</v>
      </c>
      <c r="G112" s="8" t="s">
        <v>20</v>
      </c>
      <c r="H112" s="8" t="s">
        <v>38</v>
      </c>
      <c r="I112" s="8" t="s">
        <v>34</v>
      </c>
      <c r="J112" s="13" t="s">
        <v>17</v>
      </c>
      <c r="K112" s="13" t="str">
        <f t="shared" si="3"/>
        <v>25</v>
      </c>
      <c r="L112" s="13">
        <v>11</v>
      </c>
    </row>
    <row r="113" spans="1:12" s="7" customFormat="1" x14ac:dyDescent="0.25">
      <c r="A113" s="6" t="s">
        <v>131</v>
      </c>
      <c r="B113" s="6" t="s">
        <v>27</v>
      </c>
      <c r="C113" s="9">
        <v>107715263</v>
      </c>
      <c r="D113" s="8" t="s">
        <v>147</v>
      </c>
      <c r="E113" s="8" t="s">
        <v>79</v>
      </c>
      <c r="F113" s="14">
        <v>0.35</v>
      </c>
      <c r="G113" s="8" t="s">
        <v>14</v>
      </c>
      <c r="H113" s="8" t="s">
        <v>15</v>
      </c>
      <c r="I113" s="8" t="s">
        <v>16</v>
      </c>
      <c r="J113" s="13" t="s">
        <v>17</v>
      </c>
      <c r="K113" s="13" t="str">
        <f t="shared" si="3"/>
        <v>25</v>
      </c>
      <c r="L113" s="13">
        <v>4</v>
      </c>
    </row>
    <row r="114" spans="1:12" s="7" customFormat="1" x14ac:dyDescent="0.25">
      <c r="A114" s="6" t="s">
        <v>131</v>
      </c>
      <c r="B114" s="6" t="s">
        <v>22</v>
      </c>
      <c r="C114" s="9">
        <v>107708601</v>
      </c>
      <c r="D114" s="8">
        <v>705526</v>
      </c>
      <c r="E114" s="8" t="s">
        <v>91</v>
      </c>
      <c r="F114" s="14">
        <v>0.35</v>
      </c>
      <c r="G114" s="8" t="s">
        <v>20</v>
      </c>
      <c r="H114" s="8" t="s">
        <v>15</v>
      </c>
      <c r="I114" s="8" t="s">
        <v>16</v>
      </c>
      <c r="J114" s="13" t="s">
        <v>17</v>
      </c>
      <c r="K114" s="13" t="str">
        <f t="shared" si="3"/>
        <v>25</v>
      </c>
      <c r="L114" s="13">
        <v>14.5</v>
      </c>
    </row>
    <row r="115" spans="1:12" s="7" customFormat="1" x14ac:dyDescent="0.25">
      <c r="A115" s="6" t="s">
        <v>131</v>
      </c>
      <c r="B115" s="6" t="s">
        <v>66</v>
      </c>
      <c r="C115" s="9">
        <v>107675443</v>
      </c>
      <c r="D115" s="8" t="s">
        <v>148</v>
      </c>
      <c r="E115" s="8" t="s">
        <v>149</v>
      </c>
      <c r="F115" s="2">
        <v>0.5</v>
      </c>
      <c r="G115" s="8" t="s">
        <v>20</v>
      </c>
      <c r="H115" s="8" t="s">
        <v>36</v>
      </c>
      <c r="I115" s="8" t="s">
        <v>34</v>
      </c>
      <c r="J115" s="13" t="s">
        <v>17</v>
      </c>
      <c r="K115" s="13" t="str">
        <f t="shared" si="3"/>
        <v>25</v>
      </c>
      <c r="L115" s="13">
        <v>3.5</v>
      </c>
    </row>
    <row r="116" spans="1:12" s="7" customFormat="1" x14ac:dyDescent="0.25">
      <c r="A116" s="6" t="s">
        <v>131</v>
      </c>
      <c r="B116" s="6" t="s">
        <v>96</v>
      </c>
      <c r="C116" s="9">
        <v>107679409</v>
      </c>
      <c r="D116" s="8" t="s">
        <v>150</v>
      </c>
      <c r="E116" s="8" t="s">
        <v>98</v>
      </c>
      <c r="F116" s="2">
        <v>0.35</v>
      </c>
      <c r="G116" s="8" t="s">
        <v>14</v>
      </c>
      <c r="H116" s="8" t="s">
        <v>15</v>
      </c>
      <c r="I116" s="8" t="s">
        <v>16</v>
      </c>
      <c r="J116" s="13" t="s">
        <v>17</v>
      </c>
      <c r="K116" s="13" t="str">
        <f t="shared" si="3"/>
        <v>25</v>
      </c>
      <c r="L116" s="13">
        <v>4</v>
      </c>
    </row>
    <row r="117" spans="1:12" s="7" customFormat="1" x14ac:dyDescent="0.25">
      <c r="A117" s="6" t="s">
        <v>131</v>
      </c>
      <c r="B117" s="6" t="s">
        <v>66</v>
      </c>
      <c r="C117" s="9">
        <v>107708746</v>
      </c>
      <c r="D117" s="15" t="s">
        <v>151</v>
      </c>
      <c r="E117" s="15" t="s">
        <v>152</v>
      </c>
      <c r="F117" s="2">
        <v>0.35</v>
      </c>
      <c r="G117" s="8" t="s">
        <v>20</v>
      </c>
      <c r="H117" s="8" t="s">
        <v>15</v>
      </c>
      <c r="I117" s="8" t="s">
        <v>16</v>
      </c>
      <c r="J117" s="13" t="s">
        <v>17</v>
      </c>
      <c r="K117" s="13" t="str">
        <f t="shared" ref="K117:K121" si="4">LEFT(J117,2)</f>
        <v>25</v>
      </c>
      <c r="L117" s="13">
        <v>14.5</v>
      </c>
    </row>
    <row r="118" spans="1:12" s="7" customFormat="1" x14ac:dyDescent="0.25">
      <c r="A118" s="6" t="s">
        <v>131</v>
      </c>
      <c r="B118" s="6" t="s">
        <v>66</v>
      </c>
      <c r="C118" s="9">
        <v>107713803</v>
      </c>
      <c r="D118" s="12" t="s">
        <v>181</v>
      </c>
      <c r="E118" s="12" t="s">
        <v>104</v>
      </c>
      <c r="F118" s="14">
        <v>0.4</v>
      </c>
      <c r="G118" s="8" t="s">
        <v>20</v>
      </c>
      <c r="H118" s="12" t="s">
        <v>33</v>
      </c>
      <c r="I118" s="12" t="s">
        <v>34</v>
      </c>
      <c r="J118" s="13" t="s">
        <v>17</v>
      </c>
      <c r="K118" s="13" t="str">
        <f t="shared" si="4"/>
        <v>25</v>
      </c>
      <c r="L118" s="13">
        <v>6</v>
      </c>
    </row>
    <row r="119" spans="1:12" s="7" customFormat="1" x14ac:dyDescent="0.25">
      <c r="A119" s="6" t="s">
        <v>131</v>
      </c>
      <c r="B119" s="6" t="s">
        <v>66</v>
      </c>
      <c r="C119" s="9">
        <v>107710385</v>
      </c>
      <c r="D119" s="12" t="s">
        <v>153</v>
      </c>
      <c r="E119" s="12" t="s">
        <v>84</v>
      </c>
      <c r="F119" s="14">
        <v>0.35</v>
      </c>
      <c r="G119" s="8" t="s">
        <v>20</v>
      </c>
      <c r="H119" s="12" t="s">
        <v>15</v>
      </c>
      <c r="I119" s="12" t="s">
        <v>16</v>
      </c>
      <c r="J119" s="13" t="s">
        <v>17</v>
      </c>
      <c r="K119" s="13" t="str">
        <f t="shared" si="4"/>
        <v>25</v>
      </c>
      <c r="L119" s="13">
        <v>12</v>
      </c>
    </row>
    <row r="120" spans="1:12" s="7" customFormat="1" x14ac:dyDescent="0.25">
      <c r="A120" s="6" t="s">
        <v>131</v>
      </c>
      <c r="B120" s="6" t="s">
        <v>66</v>
      </c>
      <c r="C120" s="9">
        <v>107713808</v>
      </c>
      <c r="D120" s="12" t="s">
        <v>154</v>
      </c>
      <c r="E120" s="12" t="s">
        <v>107</v>
      </c>
      <c r="F120" s="14">
        <v>0.35</v>
      </c>
      <c r="G120" s="8" t="s">
        <v>20</v>
      </c>
      <c r="H120" s="12" t="s">
        <v>15</v>
      </c>
      <c r="I120" s="12" t="s">
        <v>16</v>
      </c>
      <c r="J120" s="13" t="s">
        <v>17</v>
      </c>
      <c r="K120" s="13" t="str">
        <f t="shared" si="4"/>
        <v>25</v>
      </c>
      <c r="L120" s="13">
        <v>12</v>
      </c>
    </row>
    <row r="121" spans="1:12" s="7" customFormat="1" x14ac:dyDescent="0.25">
      <c r="A121" s="6" t="s">
        <v>155</v>
      </c>
      <c r="B121" s="6" t="s">
        <v>96</v>
      </c>
      <c r="C121" s="9">
        <v>107679409</v>
      </c>
      <c r="D121" s="12" t="s">
        <v>156</v>
      </c>
      <c r="E121" s="12" t="s">
        <v>98</v>
      </c>
      <c r="F121" s="2">
        <v>0.35</v>
      </c>
      <c r="G121" s="8" t="s">
        <v>14</v>
      </c>
      <c r="H121" s="8" t="s">
        <v>15</v>
      </c>
      <c r="I121" s="8" t="s">
        <v>16</v>
      </c>
      <c r="J121" s="13" t="s">
        <v>17</v>
      </c>
      <c r="K121" s="13" t="str">
        <f t="shared" si="4"/>
        <v>25</v>
      </c>
      <c r="L121" s="13">
        <v>10</v>
      </c>
    </row>
    <row r="122" spans="1:12" x14ac:dyDescent="0.25">
      <c r="A122" s="5" t="s">
        <v>174</v>
      </c>
      <c r="B122" s="6" t="s">
        <v>66</v>
      </c>
      <c r="C122" s="9">
        <v>130164297</v>
      </c>
      <c r="D122" s="12" t="s">
        <v>196</v>
      </c>
      <c r="E122" s="12" t="s">
        <v>157</v>
      </c>
      <c r="F122" s="2">
        <v>0.35</v>
      </c>
      <c r="G122" s="8" t="s">
        <v>20</v>
      </c>
      <c r="H122" s="9" t="s">
        <v>38</v>
      </c>
      <c r="I122" s="12" t="s">
        <v>34</v>
      </c>
      <c r="J122" s="13" t="s">
        <v>17</v>
      </c>
      <c r="K122" s="11" t="str">
        <f>LEFT(J122,2)</f>
        <v>25</v>
      </c>
      <c r="L122" s="11">
        <v>11</v>
      </c>
    </row>
    <row r="123" spans="1:12" x14ac:dyDescent="0.25">
      <c r="A123" s="5" t="s">
        <v>174</v>
      </c>
      <c r="B123" s="6" t="s">
        <v>66</v>
      </c>
      <c r="C123" s="9">
        <v>130166198</v>
      </c>
      <c r="D123" s="9">
        <v>405524</v>
      </c>
      <c r="E123" s="9" t="s">
        <v>158</v>
      </c>
      <c r="F123" s="2">
        <v>0.35</v>
      </c>
      <c r="G123" s="9" t="s">
        <v>20</v>
      </c>
      <c r="H123" s="9" t="s">
        <v>38</v>
      </c>
      <c r="I123" s="9" t="s">
        <v>34</v>
      </c>
      <c r="J123" s="13" t="s">
        <v>17</v>
      </c>
      <c r="K123" s="11" t="str">
        <f>LEFT(J123,2)</f>
        <v>25</v>
      </c>
      <c r="L123" s="11">
        <v>11</v>
      </c>
    </row>
    <row r="124" spans="1:12" ht="15" customHeight="1" x14ac:dyDescent="0.25">
      <c r="A124" s="6" t="s">
        <v>131</v>
      </c>
      <c r="B124" s="5" t="s">
        <v>66</v>
      </c>
      <c r="C124" s="9">
        <v>107708845</v>
      </c>
      <c r="D124" s="9" t="s">
        <v>159</v>
      </c>
      <c r="E124" s="9" t="s">
        <v>160</v>
      </c>
      <c r="F124" s="9">
        <v>0.5</v>
      </c>
      <c r="G124" s="9" t="s">
        <v>20</v>
      </c>
      <c r="H124" s="9" t="s">
        <v>161</v>
      </c>
      <c r="I124" s="9" t="s">
        <v>34</v>
      </c>
      <c r="J124" s="11" t="s">
        <v>162</v>
      </c>
      <c r="K124" s="11" t="s">
        <v>163</v>
      </c>
      <c r="L124" s="11">
        <v>7.4999999999999997E-2</v>
      </c>
    </row>
    <row r="125" spans="1:12" ht="15" customHeight="1" x14ac:dyDescent="0.25">
      <c r="A125" s="6" t="s">
        <v>131</v>
      </c>
      <c r="B125" s="5" t="s">
        <v>66</v>
      </c>
      <c r="C125" s="9">
        <v>107713809</v>
      </c>
      <c r="D125" s="9" t="s">
        <v>165</v>
      </c>
      <c r="E125" s="9" t="s">
        <v>166</v>
      </c>
      <c r="F125" s="9">
        <v>0.35</v>
      </c>
      <c r="G125" s="9" t="s">
        <v>20</v>
      </c>
      <c r="H125" s="9" t="s">
        <v>15</v>
      </c>
      <c r="I125" s="9" t="s">
        <v>16</v>
      </c>
      <c r="J125" s="11" t="s">
        <v>17</v>
      </c>
      <c r="K125" s="11" t="s">
        <v>164</v>
      </c>
      <c r="L125" s="11">
        <v>14.5</v>
      </c>
    </row>
    <row r="126" spans="1:12" ht="15" customHeight="1" x14ac:dyDescent="0.25">
      <c r="A126" s="6" t="s">
        <v>131</v>
      </c>
      <c r="B126" s="5" t="s">
        <v>66</v>
      </c>
      <c r="C126" s="9">
        <v>107714388</v>
      </c>
      <c r="D126" s="9" t="s">
        <v>167</v>
      </c>
      <c r="E126" s="9" t="s">
        <v>43</v>
      </c>
      <c r="F126" s="9">
        <v>0.35</v>
      </c>
      <c r="G126" s="9" t="s">
        <v>20</v>
      </c>
      <c r="H126" s="9" t="s">
        <v>15</v>
      </c>
      <c r="I126" s="9" t="s">
        <v>16</v>
      </c>
      <c r="J126" s="11" t="s">
        <v>17</v>
      </c>
      <c r="K126" s="11">
        <v>25</v>
      </c>
      <c r="L126" s="11">
        <v>14.5</v>
      </c>
    </row>
    <row r="127" spans="1:12" ht="15" customHeight="1" x14ac:dyDescent="0.25">
      <c r="A127" s="6" t="s">
        <v>131</v>
      </c>
      <c r="B127" s="5" t="s">
        <v>66</v>
      </c>
      <c r="C127" s="9">
        <v>107714387</v>
      </c>
      <c r="D127" s="9" t="s">
        <v>168</v>
      </c>
      <c r="E127" s="9" t="s">
        <v>169</v>
      </c>
      <c r="F127" s="9">
        <v>0.35</v>
      </c>
      <c r="G127" s="9" t="s">
        <v>20</v>
      </c>
      <c r="H127" s="9" t="s">
        <v>15</v>
      </c>
      <c r="I127" s="9" t="s">
        <v>16</v>
      </c>
      <c r="J127" s="11" t="s">
        <v>17</v>
      </c>
      <c r="K127" s="11" t="s">
        <v>164</v>
      </c>
      <c r="L127" s="11">
        <v>14.5</v>
      </c>
    </row>
    <row r="128" spans="1:12" ht="15" customHeight="1" x14ac:dyDescent="0.25">
      <c r="A128" s="6" t="s">
        <v>131</v>
      </c>
      <c r="B128" s="5" t="s">
        <v>170</v>
      </c>
      <c r="C128" s="9">
        <v>107708762</v>
      </c>
      <c r="D128" s="9">
        <v>81035</v>
      </c>
      <c r="E128" s="9" t="s">
        <v>171</v>
      </c>
      <c r="F128" s="9"/>
      <c r="G128" s="9" t="s">
        <v>115</v>
      </c>
      <c r="H128" s="9" t="s">
        <v>15</v>
      </c>
      <c r="I128" s="9" t="s">
        <v>16</v>
      </c>
      <c r="J128" s="11" t="s">
        <v>17</v>
      </c>
      <c r="K128" s="11" t="s">
        <v>164</v>
      </c>
      <c r="L128" s="11">
        <v>0.35</v>
      </c>
    </row>
    <row r="129" spans="1:12" ht="15" customHeight="1" x14ac:dyDescent="0.25">
      <c r="A129" s="6" t="s">
        <v>131</v>
      </c>
      <c r="B129" s="5" t="s">
        <v>170</v>
      </c>
      <c r="C129" s="9">
        <v>107708775</v>
      </c>
      <c r="D129" s="9">
        <v>85353</v>
      </c>
      <c r="E129" s="9" t="s">
        <v>172</v>
      </c>
      <c r="F129" s="9"/>
      <c r="G129" s="9" t="s">
        <v>115</v>
      </c>
      <c r="H129" s="9" t="s">
        <v>15</v>
      </c>
      <c r="I129" s="9" t="s">
        <v>16</v>
      </c>
      <c r="J129" s="11" t="s">
        <v>17</v>
      </c>
      <c r="K129" s="11" t="s">
        <v>164</v>
      </c>
      <c r="L129" s="11">
        <v>0.35</v>
      </c>
    </row>
    <row r="130" spans="1:12" ht="15" customHeight="1" x14ac:dyDescent="0.25">
      <c r="A130" s="6" t="s">
        <v>131</v>
      </c>
      <c r="B130" s="5" t="s">
        <v>66</v>
      </c>
      <c r="C130" s="9">
        <v>107715603</v>
      </c>
      <c r="D130" s="9">
        <v>703726</v>
      </c>
      <c r="E130" s="9" t="s">
        <v>173</v>
      </c>
      <c r="F130" s="10">
        <v>0.35</v>
      </c>
      <c r="G130" s="9" t="s">
        <v>20</v>
      </c>
      <c r="H130" s="9" t="s">
        <v>15</v>
      </c>
      <c r="I130" s="9" t="s">
        <v>16</v>
      </c>
      <c r="J130" s="11" t="s">
        <v>17</v>
      </c>
      <c r="K130" s="11" t="s">
        <v>164</v>
      </c>
      <c r="L130" s="11">
        <v>4</v>
      </c>
    </row>
    <row r="131" spans="1:12" ht="15" customHeight="1" x14ac:dyDescent="0.25">
      <c r="A131" s="5" t="s">
        <v>131</v>
      </c>
      <c r="B131" s="5" t="s">
        <v>66</v>
      </c>
      <c r="C131" s="9">
        <v>107714391</v>
      </c>
      <c r="D131" s="9" t="s">
        <v>175</v>
      </c>
      <c r="E131" s="9" t="s">
        <v>176</v>
      </c>
      <c r="F131" s="10">
        <v>0.35</v>
      </c>
      <c r="G131" s="9" t="s">
        <v>20</v>
      </c>
      <c r="H131" s="9">
        <v>2</v>
      </c>
      <c r="I131" s="9" t="s">
        <v>16</v>
      </c>
      <c r="J131" s="11" t="s">
        <v>17</v>
      </c>
      <c r="K131" s="11">
        <v>25</v>
      </c>
      <c r="L131" s="11">
        <v>14.5</v>
      </c>
    </row>
    <row r="134" spans="1:12" ht="15" customHeight="1" x14ac:dyDescent="0.25">
      <c r="B134" s="5" t="s">
        <v>177</v>
      </c>
    </row>
  </sheetData>
  <conditionalFormatting sqref="D66">
    <cfRule type="duplicateValues" dxfId="10" priority="8"/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a9c6bc5-92dc-4cf8-8aa7-3508258fbd06}" enabled="1" method="Standard" siteId="{57368c21-b8cf-42cf-bd0b-43ecd4bc6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Sandy Flores</dc:creator>
  <cp:keywords/>
  <dc:description/>
  <cp:lastModifiedBy>Sandy Flores</cp:lastModifiedBy>
  <cp:revision/>
  <dcterms:created xsi:type="dcterms:W3CDTF">2026-08-01T21:43:16Z</dcterms:created>
  <dcterms:modified xsi:type="dcterms:W3CDTF">2026-08-29T23:08:17Z</dcterms:modified>
  <cp:category/>
  <cp:contentStatus/>
</cp:coreProperties>
</file>