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5.xml" ContentType="application/vnd.openxmlformats-officedocument.spreadsheetml.query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queryTables/queryTable6.xml" ContentType="application/vnd.openxmlformats-officedocument.spreadsheetml.query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queryTables/queryTable7.xml" ContentType="application/vnd.openxmlformats-officedocument.spreadsheetml.query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queryTables/queryTable8.xml" ContentType="application/vnd.openxmlformats-officedocument.spreadsheetml.query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queryTables/queryTable9.xml" ContentType="application/vnd.openxmlformats-officedocument.spreadsheetml.query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queryTables/queryTable10.xml" ContentType="application/vnd.openxmlformats-officedocument.spreadsheetml.query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queryTables/queryTable11.xml" ContentType="application/vnd.openxmlformats-officedocument.spreadsheetml.query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queryTables/queryTable12.xml" ContentType="application/vnd.openxmlformats-officedocument.spreadsheetml.queryTable+xml"/>
  <Override PartName="/xl/tables/table22.xml" ContentType="application/vnd.openxmlformats-officedocument.spreadsheetml.table+xml"/>
  <Override PartName="/xl/queryTables/queryTable13.xml" ContentType="application/vnd.openxmlformats-officedocument.spreadsheetml.query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queryTables/queryTable14.xml" ContentType="application/vnd.openxmlformats-officedocument.spreadsheetml.queryTable+xml"/>
  <Override PartName="/xl/tables/table25.xml" ContentType="application/vnd.openxmlformats-officedocument.spreadsheetml.table+xml"/>
  <Override PartName="/xl/queryTables/queryTable15.xml" ContentType="application/vnd.openxmlformats-officedocument.spreadsheetml.query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queryTables/queryTable16.xml" ContentType="application/vnd.openxmlformats-officedocument.spreadsheetml.queryTable+xml"/>
  <Override PartName="/xl/tables/table31.xml" ContentType="application/vnd.openxmlformats-officedocument.spreadsheetml.table+xml"/>
  <Override PartName="/xl/queryTables/queryTable17.xml" ContentType="application/vnd.openxmlformats-officedocument.spreadsheetml.query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queryTables/queryTable18.xml" ContentType="application/vnd.openxmlformats-officedocument.spreadsheetml.query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queryTables/queryTable19.xml" ContentType="application/vnd.openxmlformats-officedocument.spreadsheetml.query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queryTables/queryTable20.xml" ContentType="application/vnd.openxmlformats-officedocument.spreadsheetml.query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queryTables/queryTable21.xml" ContentType="application/vnd.openxmlformats-officedocument.spreadsheetml.query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rgillonline-my.sharepoint.com/personal/sandy_flores_cargill_com/Documents/Simulador Inteligente/Data/raw/"/>
    </mc:Choice>
  </mc:AlternateContent>
  <xr:revisionPtr revIDLastSave="1" documentId="8_{8A827227-ABCD-47A4-94B3-04C4BE73E40F}" xr6:coauthVersionLast="47" xr6:coauthVersionMax="47" xr10:uidLastSave="{D14FDB85-EC7D-4D85-BE9A-07D65FAC303C}"/>
  <bookViews>
    <workbookView xWindow="-120" yWindow="-120" windowWidth="20730" windowHeight="11040" tabRatio="601" xr2:uid="{43DAA951-2A79-4F5C-8AD3-AF3B0AD093A6}"/>
  </bookViews>
  <sheets>
    <sheet name="TABU_MASTER" sheetId="58" r:id="rId1"/>
    <sheet name="INTRANSIT" sheetId="60" r:id="rId2"/>
    <sheet name="TABU_MASTER_FLUVIAL" sheetId="75" r:id="rId3"/>
    <sheet name="AGUIRRE (C)" sheetId="46" state="hidden" r:id="rId4"/>
    <sheet name="AGUIRRE" sheetId="2" r:id="rId5"/>
    <sheet name="ARELLANO (C)" sheetId="38" state="hidden" r:id="rId6"/>
    <sheet name="ARELLANO" sheetId="28" r:id="rId7"/>
    <sheet name="AVALOIL (C)" sheetId="36" state="hidden" r:id="rId8"/>
    <sheet name="AVALOIL" sheetId="16" r:id="rId9"/>
    <sheet name="TRANSCORPOSA (C)" sheetId="39" state="hidden" r:id="rId10"/>
    <sheet name="TRANSCORPOSA" sheetId="3" r:id="rId11"/>
    <sheet name="PIPER (C)" sheetId="40" state="hidden" r:id="rId12"/>
    <sheet name="PIPER" sheetId="29" r:id="rId13"/>
    <sheet name="TRANSALOJESA (C)" sheetId="41" state="hidden" r:id="rId14"/>
    <sheet name="TRANSALOJESA" sheetId="6" r:id="rId15"/>
    <sheet name="TRANSMUÑIZ (C)" sheetId="37" state="hidden" r:id="rId16"/>
    <sheet name="TRANSMUÑIZ" sheetId="20" r:id="rId17"/>
    <sheet name="TRANSPEBANOR (C)" sheetId="73" state="hidden" r:id="rId18"/>
    <sheet name="TRANSPEBANOR" sheetId="72" r:id="rId19"/>
    <sheet name="LENTOCARGA (C)" sheetId="49" state="hidden" r:id="rId20"/>
    <sheet name="LENTOCARGA" sheetId="48" r:id="rId21"/>
    <sheet name="LIFTIT (C)" sheetId="59" state="hidden" r:id="rId22"/>
    <sheet name="CONVECTOR (C)" sheetId="44" state="hidden" r:id="rId23"/>
    <sheet name="CONVECTOR" sheetId="31" r:id="rId24"/>
    <sheet name="TRANSGONZALEZ (C)" sheetId="45" state="hidden" r:id="rId25"/>
    <sheet name="RAPSECON (C)" sheetId="51" state="hidden" r:id="rId26"/>
    <sheet name="LIFTIT" sheetId="11" r:id="rId27"/>
    <sheet name="TRANSFREMEC" sheetId="62" r:id="rId28"/>
    <sheet name="TRANSGONZALEZ" sheetId="21" r:id="rId29"/>
    <sheet name="RAPSECON" sheetId="50" r:id="rId30"/>
    <sheet name="TRANSFREMEC (C)" sheetId="66" state="hidden" r:id="rId31"/>
    <sheet name="TRANSVIAL (C)" sheetId="67" state="hidden" r:id="rId32"/>
    <sheet name="TRANSVIAL" sheetId="61" r:id="rId33"/>
    <sheet name="TRANSVELEZ GRANELES" sheetId="13" r:id="rId34"/>
    <sheet name="CONVECTOR GRANELES" sheetId="14" r:id="rId35"/>
    <sheet name="TRANSMAYORGA TANQUERO " sheetId="64" r:id="rId36"/>
    <sheet name="TRANSPEBANOR TANQUERO" sheetId="76" r:id="rId37"/>
    <sheet name="MUÑIZ TANQUERO" sheetId="65" r:id="rId38"/>
    <sheet name="CITIKOL (C)" sheetId="69" state="hidden" r:id="rId39"/>
    <sheet name="CITIKOLD" sheetId="52" r:id="rId40"/>
    <sheet name="RIVERDIESEL (C)" sheetId="70" state="hidden" r:id="rId41"/>
    <sheet name="RIVERDIESEL" sheetId="54" r:id="rId42"/>
    <sheet name="COSTAMARKET (C)" sheetId="71" state="hidden" r:id="rId43"/>
    <sheet name="COSTAMARKET" sheetId="56" r:id="rId44"/>
    <sheet name="SEALDOVA (C)" sheetId="68" state="hidden" r:id="rId45"/>
    <sheet name="SEALDOVA" sheetId="55" r:id="rId46"/>
    <sheet name="% POR PROVEEDOR" sheetId="63" r:id="rId47"/>
    <sheet name="Hoja1" sheetId="74" r:id="rId48"/>
    <sheet name="Hoja3" sheetId="78" r:id="rId49"/>
  </sheets>
  <externalReferences>
    <externalReference r:id="rId50"/>
  </externalReferences>
  <definedNames>
    <definedName name="_xlnm._FilterDatabase" localSheetId="1" hidden="1">INTRANSIT!$A$19:$D$24</definedName>
    <definedName name="_xlnm._FilterDatabase" localSheetId="0" hidden="1">TABU_MASTER!$D$2445:$F$2456</definedName>
    <definedName name="_xlnm._FilterDatabase" localSheetId="16" hidden="1">TRANSMUÑIZ!$A$1:$F$66</definedName>
    <definedName name="DatosExternos_1" localSheetId="3" hidden="1">'AGUIRRE (C)'!$A$1:$K$86</definedName>
    <definedName name="DatosExternos_1" localSheetId="6" hidden="1">ARELLANO!$A$1:$J$95</definedName>
    <definedName name="DatosExternos_1" localSheetId="5" hidden="1">'ARELLANO (C)'!$A$1:$K$95</definedName>
    <definedName name="DatosExternos_1" localSheetId="7" hidden="1">'AVALOIL (C)'!$A$1:$K$26</definedName>
    <definedName name="DatosExternos_1" localSheetId="38" hidden="1">'CITIKOL (C)'!$A$1:$J$9</definedName>
    <definedName name="DatosExternos_1" localSheetId="23" hidden="1">CONVECTOR!$A$1:$J$5</definedName>
    <definedName name="DatosExternos_1" localSheetId="22" hidden="1">'CONVECTOR (C)'!$A$1:$K$5</definedName>
    <definedName name="DatosExternos_1" localSheetId="42" hidden="1">'COSTAMARKET (C)'!$A$1:$J$11</definedName>
    <definedName name="DatosExternos_1" localSheetId="20" hidden="1">LENTOCARGA!$A$1:$J$121</definedName>
    <definedName name="DatosExternos_1" localSheetId="21" hidden="1">'LIFTIT (C)'!$A$1:$K$124</definedName>
    <definedName name="DatosExternos_1" localSheetId="12" hidden="1">PIPER!$A$1:$J$110</definedName>
    <definedName name="DatosExternos_1" localSheetId="11" hidden="1">'PIPER (C)'!$A$1:$K$110</definedName>
    <definedName name="DatosExternos_1" localSheetId="25" hidden="1">'RAPSECON (C)'!$A$1:$K$30</definedName>
    <definedName name="DatosExternos_1" localSheetId="40" hidden="1">'RIVERDIESEL (C)'!$A$1:$J$17</definedName>
    <definedName name="DatosExternos_1" localSheetId="44" hidden="1">'SEALDOVA (C)'!$A$1:$J$9</definedName>
    <definedName name="DatosExternos_1" localSheetId="14" hidden="1">TRANSALOJESA!$A$1:$J$121</definedName>
    <definedName name="DatosExternos_1" localSheetId="13" hidden="1">'TRANSALOJESA (C)'!$A$1:$K$121</definedName>
    <definedName name="DatosExternos_1" localSheetId="9" hidden="1">'TRANSCORPOSA (C)'!$A$1:$K$121</definedName>
    <definedName name="DatosExternos_1" localSheetId="30" hidden="1">'TRANSFREMEC (C)'!$A$1:$K$199</definedName>
    <definedName name="DatosExternos_1" localSheetId="24" hidden="1">'TRANSGONZALEZ (C)'!$A$1:$K$3</definedName>
    <definedName name="DatosExternos_1" localSheetId="15" hidden="1">'TRANSMUÑIZ (C)'!$A$1:$K$66</definedName>
    <definedName name="DatosExternos_1" localSheetId="17" hidden="1">'TRANSPEBANOR (C)'!$A$1:$K$66</definedName>
    <definedName name="DatosExternos_1" localSheetId="32" hidden="1">TRANSVIAL!$A$1:$J$292</definedName>
    <definedName name="DatosExternos_2" localSheetId="19" hidden="1">'LENTOCARGA (C)'!$A$1:$K$121</definedName>
    <definedName name="DatosExternos_2" localSheetId="0" hidden="1">TABU_MASTER!$A$1:$R$2440</definedName>
    <definedName name="DatosExternos_2" localSheetId="2" hidden="1">TABU_MASTER_FLUVIAL!$A$1:$H$183</definedName>
    <definedName name="DatosExternos_2" localSheetId="31" hidden="1">'TRANSVIAL (C)'!$A$1:$K$293</definedName>
    <definedName name="oso">[1]!Tabla1[#All]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016" i="58" l="1"/>
  <c r="U1016" i="58" s="1"/>
  <c r="T1012" i="58"/>
  <c r="U1012" i="58" s="1"/>
  <c r="D3" i="64" l="1"/>
  <c r="B25" i="60"/>
  <c r="D25" i="60" s="1"/>
  <c r="D2" i="64"/>
  <c r="D4" i="64"/>
  <c r="D5" i="64"/>
  <c r="D6" i="64"/>
  <c r="D7" i="64"/>
  <c r="I3" i="60"/>
  <c r="H19" i="60"/>
  <c r="I19" i="60"/>
  <c r="D24" i="60"/>
  <c r="D23" i="60"/>
  <c r="D22" i="60"/>
  <c r="D21" i="60"/>
  <c r="D20" i="60"/>
  <c r="D15" i="60"/>
  <c r="D14" i="60"/>
  <c r="D11" i="60"/>
  <c r="D10" i="60"/>
  <c r="D9" i="60"/>
  <c r="D8" i="60"/>
  <c r="D7" i="60"/>
  <c r="D6" i="60"/>
  <c r="D5" i="60"/>
  <c r="D4" i="60"/>
  <c r="D3" i="60"/>
  <c r="D2" i="76"/>
  <c r="D3" i="76"/>
  <c r="D4" i="76"/>
  <c r="D5" i="76"/>
  <c r="D6" i="76"/>
  <c r="D7" i="76"/>
  <c r="D8" i="76"/>
  <c r="D9" i="76"/>
  <c r="D10" i="76"/>
  <c r="D11" i="76"/>
  <c r="D12" i="76"/>
  <c r="D13" i="76"/>
  <c r="H15" i="60" l="1"/>
  <c r="H14" i="60"/>
  <c r="I8" i="60"/>
  <c r="I9" i="60"/>
  <c r="I6" i="60"/>
  <c r="I7" i="60"/>
  <c r="I5" i="60"/>
  <c r="I2" i="60"/>
  <c r="I4" i="6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7F05-B714-4B05-9B69-F85AADE2A8D0}" keepAlive="1" name="Consulta - AGUIRRE (C)(1)" description="Conexión a la consulta 'AGUIRRE (C)' en el libro." type="5" refreshedVersion="8" background="1" saveData="1">
    <dbPr connection="Provider=Microsoft.Mashup.OleDb.1;Data Source=$Workbook$;Location=&quot;AGUIRRE (C)&quot;;Extended Properties=&quot;&quot;" command="SELECT * FROM [AGUIRRE (C)]"/>
  </connection>
  <connection id="2" xr16:uid="{66A9D0F1-CBFC-441E-B11F-9914C3EFDED8}" keepAlive="1" name="Consulta - Archivo de ejemplo (2)" description="Conexión a la consulta 'Archivo de ejemplo (2)' en el libro." type="5" refreshedVersion="0" background="1">
    <dbPr connection="Provider=Microsoft.Mashup.OleDb.1;Data Source=$Workbook$;Location=&quot;Archivo de ejemplo (2)&quot;;Extended Properties=&quot;&quot;" command="SELECT * FROM [Archivo de ejemplo (2)]"/>
  </connection>
  <connection id="3" xr16:uid="{08945955-CB9D-406D-9403-B418EA9EE5E1}" keepAlive="1" name="Consulta - ARELLANO (C)" description="Conexión a la consulta 'ARELLANO (C)' en el libro." type="5" refreshedVersion="8" background="1" saveData="1">
    <dbPr connection="Provider=Microsoft.Mashup.OleDb.1;Data Source=$Workbook$;Location=&quot;ARELLANO (C)&quot;;Extended Properties=&quot;&quot;" command="SELECT * FROM [ARELLANO (C)]"/>
  </connection>
  <connection id="4" xr16:uid="{860DFF12-BC5B-40DE-B782-56B2F579C546}" keepAlive="1" name="Consulta - AVALOIL (C)" description="Conexión a la consulta 'AVALOIL (C)' en el libro." type="5" refreshedVersion="8" background="1" saveData="1">
    <dbPr connection="Provider=Microsoft.Mashup.OleDb.1;Data Source=$Workbook$;Location=&quot;AVALOIL (C)&quot;;Extended Properties=&quot;&quot;" command="SELECT * FROM [AVALOIL (C)]"/>
  </connection>
  <connection id="5" xr16:uid="{CA171E32-E7F8-4C61-99F3-4C816D2788B1}" keepAlive="1" name="Consulta - CITIKOLD (C)" description="Conexión a la consulta 'CITIKOLD (C)' en el libro." type="5" refreshedVersion="8" background="1" saveData="1">
    <dbPr connection="Provider=Microsoft.Mashup.OleDb.1;Data Source=$Workbook$;Location=&quot;CITIKOLD (C)&quot;;Extended Properties=&quot;&quot;" command="SELECT * FROM [CITIKOLD (C)]"/>
  </connection>
  <connection id="6" xr16:uid="{2A5B9FF1-B99A-486C-B30E-BBF1EB9327E1}" keepAlive="1" name="Consulta - CONVECTOR (C)" description="Conexión a la consulta 'CONVECTOR (C)' en el libro." type="5" refreshedVersion="8" background="1" saveData="1">
    <dbPr connection="Provider=Microsoft.Mashup.OleDb.1;Data Source=$Workbook$;Location=&quot;CONVECTOR (C)&quot;;Extended Properties=&quot;&quot;" command="SELECT * FROM [CONVECTOR (C)]"/>
  </connection>
  <connection id="7" xr16:uid="{1BA49882-C460-4F6A-9BD3-6B65AB26D4AD}" keepAlive="1" name="Consulta - COSTAMARKET (C)" description="Conexión a la consulta 'COSTAMARKET (C)' en el libro." type="5" refreshedVersion="8" background="1" saveData="1">
    <dbPr connection="Provider=Microsoft.Mashup.OleDb.1;Data Source=$Workbook$;Location=&quot;COSTAMARKET (C)&quot;;Extended Properties=&quot;&quot;" command="SELECT * FROM [COSTAMARKET (C)]"/>
  </connection>
  <connection id="8" xr16:uid="{7461C87B-311C-4D06-8619-6E0C43D17A94}" keepAlive="1" name="Consulta - LENTOCARGA (C)" description="Conexión a la consulta 'LENTOCARGA (C)' en el libro." type="5" refreshedVersion="8" background="1" saveData="1">
    <dbPr connection="Provider=Microsoft.Mashup.OleDb.1;Data Source=$Workbook$;Location=&quot;LENTOCARGA (C)&quot;;Extended Properties=&quot;&quot;" command="SELECT * FROM [LENTOCARGA (C)]"/>
  </connection>
  <connection id="9" xr16:uid="{8C1909B7-EAB3-4796-85D6-AA49FC71E23A}" keepAlive="1" name="Consulta - LIFTIT (C)" description="Conexión a la consulta 'LIFTIT (C)' en el libro." type="5" refreshedVersion="8" background="1" saveData="1">
    <dbPr connection="Provider=Microsoft.Mashup.OleDb.1;Data Source=$Workbook$;Location=&quot;LIFTIT (C)&quot;;Extended Properties=&quot;&quot;" command="SELECT * FROM [LIFTIT (C)]"/>
  </connection>
  <connection id="10" xr16:uid="{7C6090F6-D6A4-40DC-8CAC-B16A8F5AA76C}" keepAlive="1" name="Consulta - PIPER (C)" description="Conexión a la consulta 'PIPER (C)' en el libro." type="5" refreshedVersion="8" background="1" saveData="1">
    <dbPr connection="Provider=Microsoft.Mashup.OleDb.1;Data Source=$Workbook$;Location=&quot;PIPER (C)&quot;;Extended Properties=&quot;&quot;" command="SELECT * FROM [PIPER (C)]"/>
  </connection>
  <connection id="11" xr16:uid="{3FE23B27-6BB4-4B85-968E-64CC31BD94B5}" keepAlive="1" name="Consulta - RAPSECON (C)" description="Conexión a la consulta 'RAPSECON (C)' en el libro." type="5" refreshedVersion="8" background="1" saveData="1">
    <dbPr connection="Provider=Microsoft.Mashup.OleDb.1;Data Source=$Workbook$;Location=&quot;RAPSECON (C)&quot;;Extended Properties=&quot;&quot;" command="SELECT * FROM [RAPSECON (C)]"/>
  </connection>
  <connection id="12" xr16:uid="{619F8E97-2D36-4168-8AA7-14CAD1BB170B}" keepAlive="1" name="Consulta - RIVERDIESEL (C)" description="Conexión a la consulta 'RIVERDIESEL (C)' en el libro." type="5" refreshedVersion="8" background="1" saveData="1">
    <dbPr connection="Provider=Microsoft.Mashup.OleDb.1;Data Source=$Workbook$;Location=&quot;RIVERDIESEL (C)&quot;;Extended Properties=&quot;&quot;" command="SELECT * FROM [RIVERDIESEL (C)]"/>
  </connection>
  <connection id="13" xr16:uid="{9A9BC5B7-1ED1-4DFC-8A73-38B0D675BADC}" keepAlive="1" name="Consulta - SEALDOVA (C)" description="Conexión a la consulta 'SEALDOVA (C)' en el libro." type="5" refreshedVersion="8" background="1" saveData="1">
    <dbPr connection="Provider=Microsoft.Mashup.OleDb.1;Data Source=$Workbook$;Location=&quot;SEALDOVA (C)&quot;;Extended Properties=&quot;&quot;" command="SELECT * FROM [SEALDOVA (C)]"/>
  </connection>
  <connection id="14" xr16:uid="{EE300F11-4EF0-4595-99AE-740229F3DA4B}" keepAlive="1" name="Consulta - TABU_MASTER" description="Conexión a la consulta 'TABU_MASTER' en el libro." type="5" refreshedVersion="8" background="1" saveData="1">
    <dbPr connection="Provider=Microsoft.Mashup.OleDb.1;Data Source=$Workbook$;Location=TABU_MASTER;Extended Properties=&quot;&quot;" command="SELECT * FROM [TABU_MASTER]"/>
  </connection>
  <connection id="15" xr16:uid="{A7F47B68-CABC-425A-A2FD-1CA7BE19D304}" keepAlive="1" name="Consulta - TABU_MASTER_FLUVIAL(1)" description="Conexión a la consulta 'TABU_MASTER_FLUVIAL' en el libro." type="5" refreshedVersion="8" background="1" saveData="1">
    <dbPr connection="Provider=Microsoft.Mashup.OleDb.1;Data Source=$Workbook$;Location=TABU_MASTER_FLUVIAL;Extended Properties=&quot;&quot;" command="SELECT * FROM [TABU_MASTER_FLUVIAL]"/>
  </connection>
  <connection id="16" xr16:uid="{118073FD-45D4-49DE-9622-FFCA6F7E8368}" keepAlive="1" name="Consulta - TRANSALOJESA (C)" description="Conexión a la consulta 'TRANSALOJESA (C)' en el libro." type="5" refreshedVersion="8" background="1" saveData="1">
    <dbPr connection="Provider=Microsoft.Mashup.OleDb.1;Data Source=$Workbook$;Location=&quot;TRANSALOJESA (C)&quot;;Extended Properties=&quot;&quot;" command="SELECT * FROM [TRANSALOJESA (C)]"/>
  </connection>
  <connection id="17" xr16:uid="{497A16B7-2784-42A5-9EAF-196E1E9C2FB1}" keepAlive="1" name="Consulta - TRANSCORPOSA (C)" description="Conexión a la consulta 'TRANSCORPOSA (C)' en el libro." type="5" refreshedVersion="8" background="1" saveData="1">
    <dbPr connection="Provider=Microsoft.Mashup.OleDb.1;Data Source=$Workbook$;Location=&quot;TRANSCORPOSA (C)&quot;;Extended Properties=&quot;&quot;" command="SELECT * FROM [TRANSCORPOSA (C)]"/>
  </connection>
  <connection id="18" xr16:uid="{E019F78B-0B61-4EF1-99ED-EF2168B24AC6}" keepAlive="1" name="Consulta - Transformar archivo (2)" description="Conexión a la consulta 'Transformar archivo (2)' en el libro." type="5" refreshedVersion="0" background="1">
    <dbPr connection="Provider=Microsoft.Mashup.OleDb.1;Data Source=$Workbook$;Location=&quot;Transformar archivo (2)&quot;;Extended Properties=&quot;&quot;" command="SELECT * FROM [Transformar archivo (2)]"/>
  </connection>
  <connection id="19" xr16:uid="{0CCBF175-7389-478C-8582-A29352FD8C88}" keepAlive="1" name="Consulta - TRANSFREMEC (C)" description="Conexión a la consulta 'TRANSFREMEC (C)' en el libro." type="5" refreshedVersion="8" background="1" saveData="1">
    <dbPr connection="Provider=Microsoft.Mashup.OleDb.1;Data Source=$Workbook$;Location=&quot;TRANSFREMEC (C)&quot;;Extended Properties=&quot;&quot;" command="SELECT * FROM [TRANSFREMEC (C)]"/>
  </connection>
  <connection id="20" xr16:uid="{B2C59874-730D-4CE0-9452-74700D88345B}" keepAlive="1" name="Consulta - TRANSGONZALEZ (C)" description="Conexión a la consulta 'TRANSGONZALEZ (C)' en el libro." type="5" refreshedVersion="8" background="1" saveData="1">
    <dbPr connection="Provider=Microsoft.Mashup.OleDb.1;Data Source=$Workbook$;Location=&quot;TRANSGONZALEZ (C)&quot;;Extended Properties=&quot;&quot;" command="SELECT * FROM [TRANSGONZALEZ (C)]"/>
  </connection>
  <connection id="21" xr16:uid="{624DE864-36C2-4EA2-B1C3-D5A8C9F5A465}" keepAlive="1" name="Consulta - TRANSMUÑIZ (C)" description="Conexión a la consulta 'TRANSMUÑIZ (C)' en el libro." type="5" refreshedVersion="8" background="1" saveData="1">
    <dbPr connection="Provider=Microsoft.Mashup.OleDb.1;Data Source=$Workbook$;Location=&quot;TRANSMUÑIZ (C)&quot;;Extended Properties=&quot;&quot;" command="SELECT * FROM [TRANSMUÑIZ (C)]"/>
  </connection>
  <connection id="22" xr16:uid="{029DAC6A-3E21-41B2-BD6D-A18936DA9F9B}" keepAlive="1" name="Consulta - TRANSPEBANOR (C)" description="Conexión a la consulta 'TRANSPEBANOR (C)' en el libro." type="5" refreshedVersion="8" background="1" saveData="1">
    <dbPr connection="Provider=Microsoft.Mashup.OleDb.1;Data Source=$Workbook$;Location=&quot;TRANSPEBANOR (C)&quot;;Extended Properties=&quot;&quot;" command="SELECT * FROM [TRANSPEBANOR (C)]"/>
  </connection>
  <connection id="23" xr16:uid="{050030F6-8385-472A-9264-271D65051C5D}" keepAlive="1" name="Consulta - TRANSVIAL (C)" description="Conexión a la consulta 'TRANSVIAL (C)' en el libro." type="5" refreshedVersion="8" background="1" saveData="1">
    <dbPr connection="Provider=Microsoft.Mashup.OleDb.1;Data Source=$Workbook$;Location=&quot;TRANSVIAL (C)&quot;;Extended Properties=&quot;&quot;" command="SELECT * FROM [TRANSVIAL (C)]"/>
  </connection>
</connections>
</file>

<file path=xl/sharedStrings.xml><?xml version="1.0" encoding="utf-8"?>
<sst xmlns="http://schemas.openxmlformats.org/spreadsheetml/2006/main" count="18716" uniqueCount="2930">
  <si>
    <t>ID_MASTER</t>
  </si>
  <si>
    <t>ORIGEN</t>
  </si>
  <si>
    <t>DESTINO</t>
  </si>
  <si>
    <t>RANGO TM</t>
  </si>
  <si>
    <t>LIFTIT</t>
  </si>
  <si>
    <t>TRANSMUÑIZ</t>
  </si>
  <si>
    <t>ARELLANO</t>
  </si>
  <si>
    <t>RAPSECON</t>
  </si>
  <si>
    <t>PIPER</t>
  </si>
  <si>
    <t>AVALOIL</t>
  </si>
  <si>
    <t>TRANSCORPOSA</t>
  </si>
  <si>
    <t>TRANSGONZALES</t>
  </si>
  <si>
    <t>AGUIRRE</t>
  </si>
  <si>
    <t>TRANSLOJANESA</t>
  </si>
  <si>
    <t>LENTOCARGA</t>
  </si>
  <si>
    <t>TRANSVIAL</t>
  </si>
  <si>
    <t>TRANSPEBANOR</t>
  </si>
  <si>
    <t>TRANSFREMEC</t>
  </si>
  <si>
    <t>ADS (DURAN)/CANE/0,00 - 3,39</t>
  </si>
  <si>
    <t>ADS (DURAN)</t>
  </si>
  <si>
    <t>CANE</t>
  </si>
  <si>
    <t>0,00 - 3,39</t>
  </si>
  <si>
    <t>ADS (DURAN)/CANE/10,21 - 13,20</t>
  </si>
  <si>
    <t>10,21 - 13,20</t>
  </si>
  <si>
    <t>ADS (DURAN)/CANE/13,21 - 16,59</t>
  </si>
  <si>
    <t>13,21 - 16,59</t>
  </si>
  <si>
    <t>ADS (DURAN)/CANE/16,60 - 26,49</t>
  </si>
  <si>
    <t>16,60 - 26,49</t>
  </si>
  <si>
    <t>ADS (DURAN)/CANE/3,40 - 5,20</t>
  </si>
  <si>
    <t>3,40 - 5,20</t>
  </si>
  <si>
    <t>ADS (DURAN)/CANE/5,21 - 8,25</t>
  </si>
  <si>
    <t>5,21 - 8,25</t>
  </si>
  <si>
    <t>ADS (DURAN)/CANE/8,26 - 10,20</t>
  </si>
  <si>
    <t>8,26 - 10,20</t>
  </si>
  <si>
    <t>ADS (DURAN)/CANE/mas de 26,49</t>
  </si>
  <si>
    <t>mas de 26,49</t>
  </si>
  <si>
    <t>ADS (DURAN)/DURAN/0,00 - 3,39</t>
  </si>
  <si>
    <t>DURAN</t>
  </si>
  <si>
    <t>ADS (DURAN)/DURAN/10,21 - 13,20</t>
  </si>
  <si>
    <t>ADS (DURAN)/DURAN/13,21 - 16,59</t>
  </si>
  <si>
    <t>ADS (DURAN)/DURAN/16,60 - 26,49</t>
  </si>
  <si>
    <t>ADS (DURAN)/DURAN/3,40 - 5,20</t>
  </si>
  <si>
    <t>ADS (DURAN)/DURAN/5,21 - 8,25</t>
  </si>
  <si>
    <t>ADS (DURAN)/DURAN/8,26 - 10,20</t>
  </si>
  <si>
    <t>ADS (DURAN)/DURAN/mas de 26,49</t>
  </si>
  <si>
    <t>ARENILLAS/AGROGRULED (VIA JUJAN)/0,00 - 3,39</t>
  </si>
  <si>
    <t>ARENILLAS</t>
  </si>
  <si>
    <t>AGROGRULED (VIA JUJAN)</t>
  </si>
  <si>
    <t>ARENILLAS/AGROGRULED (VIA JUJAN)/10,21 - 13,20</t>
  </si>
  <si>
    <t>ARENILLAS/AGROGRULED (VIA JUJAN)/13,21 - 16,59</t>
  </si>
  <si>
    <t>ARENILLAS/AGROGRULED (VIA JUJAN)/16,60 - 26,49</t>
  </si>
  <si>
    <t>ARENILLAS/AGROGRULED (VIA JUJAN)/3,40 - 5,20</t>
  </si>
  <si>
    <t>ARENILLAS/AGROGRULED (VIA JUJAN)/5,21 - 8,25</t>
  </si>
  <si>
    <t>ARENILLAS/AGROGRULED (VIA JUJAN)/8,26 - 10,20</t>
  </si>
  <si>
    <t>ARENILLAS/AGROGRULED (VIA JUJAN)/mas de 26,49</t>
  </si>
  <si>
    <t>ARENILLAS/ANCONCITO/0,00 - 3,39</t>
  </si>
  <si>
    <t>ANCONCITO</t>
  </si>
  <si>
    <t>ARENILLAS/ANCONCITO/10,21 - 13,20</t>
  </si>
  <si>
    <t>ARENILLAS/ANCONCITO/13,21 - 16,59</t>
  </si>
  <si>
    <t>ARENILLAS/ANCONCITO/16,60 - 26,49</t>
  </si>
  <si>
    <t>ARENILLAS/ANCONCITO/3,40 - 5,20</t>
  </si>
  <si>
    <t>ARENILLAS/ANCONCITO/5,21 - 8,25</t>
  </si>
  <si>
    <t>ARENILLAS/ANCONCITO/8,26 - 10,20</t>
  </si>
  <si>
    <t>ARENILLAS/ANCONCITO/mas de 26,49</t>
  </si>
  <si>
    <t>ARENILLAS/ARENILLAS/0,00 - 3,39</t>
  </si>
  <si>
    <t>ARENILLAS/ARENILLAS/10,21 - 13,20</t>
  </si>
  <si>
    <t>ARENILLAS/ARENILLAS/13,21 - 16,59</t>
  </si>
  <si>
    <t>ARENILLAS/ARENILLAS/16,60 - 26,49</t>
  </si>
  <si>
    <t>ARENILLAS/ARENILLAS/3,40 - 5,20</t>
  </si>
  <si>
    <t>ARENILLAS/ARENILLAS/5,21 - 8,25</t>
  </si>
  <si>
    <t>ARENILLAS/ARENILLAS/8,26 - 10,20</t>
  </si>
  <si>
    <t>ARENILLAS/ARENILLAS/mas de 26,49</t>
  </si>
  <si>
    <t>ARENILLAS/ATACAMES/0,00 - 3,39</t>
  </si>
  <si>
    <t>ATACAMES</t>
  </si>
  <si>
    <t>ARENILLAS/ATACAMES/10,21 - 13,20</t>
  </si>
  <si>
    <t>ARENILLAS/ATACAMES/13,21 - 16,59</t>
  </si>
  <si>
    <t>ARENILLAS/ATACAMES/16,60 - 26,49</t>
  </si>
  <si>
    <t>ARENILLAS/ATACAMES/3,40 - 5,20</t>
  </si>
  <si>
    <t>ARENILLAS/ATACAMES/5,21 - 8,25</t>
  </si>
  <si>
    <t>ARENILLAS/ATACAMES/8,26 - 10,20</t>
  </si>
  <si>
    <t>ARENILLAS/ATACAMES/mas de 26,49</t>
  </si>
  <si>
    <t>ARENILLAS/AYALAN/0,00 - 3,39</t>
  </si>
  <si>
    <t>AYALAN</t>
  </si>
  <si>
    <t>ARENILLAS/AYALAN/10,21 - 13,20</t>
  </si>
  <si>
    <t>ARENILLAS/AYALAN/13,21 - 16,59</t>
  </si>
  <si>
    <t>ARENILLAS/AYALAN/16,60 - 26,49</t>
  </si>
  <si>
    <t>ARENILLAS/AYALAN/3,40 - 5,20</t>
  </si>
  <si>
    <t>ARENILLAS/AYALAN/5,21 - 8,25</t>
  </si>
  <si>
    <t>ARENILLAS/AYALAN/8,26 - 10,20</t>
  </si>
  <si>
    <t>ARENILLAS/AYALAN/mas de 26,49</t>
  </si>
  <si>
    <t>ARENILLAS/AYANGUE/0,00 - 3,39</t>
  </si>
  <si>
    <t>AYANGUE</t>
  </si>
  <si>
    <t>ARENILLAS/AYANGUE/10,21 - 13,20</t>
  </si>
  <si>
    <t>ARENILLAS/AYANGUE/13,21 - 16,59</t>
  </si>
  <si>
    <t>ARENILLAS/AYANGUE/16,60 - 26,49</t>
  </si>
  <si>
    <t>ARENILLAS/AYANGUE/3,40 - 5,20</t>
  </si>
  <si>
    <t>ARENILLAS/AYANGUE/5,21 - 8,25</t>
  </si>
  <si>
    <t>ARENILLAS/AYANGUE/8,26 - 10,20</t>
  </si>
  <si>
    <t>ARENILLAS/AYANGUE/mas de 26,49</t>
  </si>
  <si>
    <t>ARENILLAS/BAHIA/0,00 - 3,39</t>
  </si>
  <si>
    <t>BAHIA</t>
  </si>
  <si>
    <t>ARENILLAS/BAHIA/10,21 - 13,20</t>
  </si>
  <si>
    <t>ARENILLAS/BAHIA/13,21 - 16,59</t>
  </si>
  <si>
    <t>ARENILLAS/BAHIA/16,60 - 26,49</t>
  </si>
  <si>
    <t>ARENILLAS/BAHIA/3,40 - 5,20</t>
  </si>
  <si>
    <t>ARENILLAS/BAHIA/5,21 - 8,25</t>
  </si>
  <si>
    <t>ARENILLAS/BAHIA/8,26 - 10,20</t>
  </si>
  <si>
    <t>ARENILLAS/BAHIA/mas de 26,49</t>
  </si>
  <si>
    <t>ARENILLAS/BAJO ALTO/0,00 - 3,39</t>
  </si>
  <si>
    <t>BAJO ALTO</t>
  </si>
  <si>
    <t>ARENILLAS/BAJO ALTO/10,21 - 13,20</t>
  </si>
  <si>
    <t>ARENILLAS/BAJO ALTO/13,21 - 16,59</t>
  </si>
  <si>
    <t>ARENILLAS/BAJO ALTO/16,60 - 26,49</t>
  </si>
  <si>
    <t>ARENILLAS/BAJO ALTO/3,40 - 5,20</t>
  </si>
  <si>
    <t>ARENILLAS/BAJO ALTO/5,21 - 8,25</t>
  </si>
  <si>
    <t>ARENILLAS/BAJO ALTO/8,26 - 10,20</t>
  </si>
  <si>
    <t>ARENILLAS/BAJO ALTO/mas de 26,49</t>
  </si>
  <si>
    <t>ARENILLAS/BALAO/0,00 - 3,39</t>
  </si>
  <si>
    <t>BALAO</t>
  </si>
  <si>
    <t>ARENILLAS/BALAO/10,21 - 13,20</t>
  </si>
  <si>
    <t>ARENILLAS/BALAO/13,21 - 16,59</t>
  </si>
  <si>
    <t>ARENILLAS/BALAO/16,60 - 26,49</t>
  </si>
  <si>
    <t>ARENILLAS/BALAO/3,40 - 5,20</t>
  </si>
  <si>
    <t>ARENILLAS/BALAO/5,21 - 8,25</t>
  </si>
  <si>
    <t>ARENILLAS/BALAO/8,26 - 10,20</t>
  </si>
  <si>
    <t>ARENILLAS/BALAO/mas de 26,49</t>
  </si>
  <si>
    <t>ARENILLAS/BALOSA/0,00 - 3,39</t>
  </si>
  <si>
    <t>BALOSA</t>
  </si>
  <si>
    <t>ARENILLAS/BALOSA/10,21 - 13,20</t>
  </si>
  <si>
    <t>ARENILLAS/BALOSA/13,21 - 16,59</t>
  </si>
  <si>
    <t>ARENILLAS/BALOSA/16,60 - 26,49</t>
  </si>
  <si>
    <t>ARENILLAS/BALOSA/3,40 - 5,20</t>
  </si>
  <si>
    <t>ARENILLAS/BALOSA/5,21 - 8,25</t>
  </si>
  <si>
    <t>ARENILLAS/BALOSA/8,26 - 10,20</t>
  </si>
  <si>
    <t>ARENILLAS/BALOSA/mas de 26,49</t>
  </si>
  <si>
    <t>ARENILLAS/BARBONES/0,00 - 3,39</t>
  </si>
  <si>
    <t>BARBONES</t>
  </si>
  <si>
    <t>ARENILLAS/BARBONES/10,21 - 13,20</t>
  </si>
  <si>
    <t>ARENILLAS/BARBONES/13,21 - 16,59</t>
  </si>
  <si>
    <t>ARENILLAS/BARBONES/16,60 - 26,49</t>
  </si>
  <si>
    <t>ARENILLAS/BARBONES/3,40 - 5,20</t>
  </si>
  <si>
    <t>ARENILLAS/BARBONES/5,21 - 8,25</t>
  </si>
  <si>
    <t>ARENILLAS/BARBONES/8,26 - 10,20</t>
  </si>
  <si>
    <t>ARENILLAS/BARBONES/mas de 26,49</t>
  </si>
  <si>
    <t>ARENILLAS/BOCA DE BRISEÑO/0,00 - 3,39</t>
  </si>
  <si>
    <t>BOCA DE BRISEÑO</t>
  </si>
  <si>
    <t>ARENILLAS/BOCA DE BRISEÑO/10,21 - 13,20</t>
  </si>
  <si>
    <t>ARENILLAS/BOCA DE BRISEÑO/13,21 - 16,59</t>
  </si>
  <si>
    <t>ARENILLAS/BOCA DE BRISEÑO/16,60 - 26,49</t>
  </si>
  <si>
    <t>ARENILLAS/BOCA DE BRISEÑO/3,40 - 5,20</t>
  </si>
  <si>
    <t>ARENILLAS/BOCA DE BRISEÑO/5,21 - 8,25</t>
  </si>
  <si>
    <t>ARENILLAS/BOCA DE BRISEÑO/8,26 - 10,20</t>
  </si>
  <si>
    <t>ARENILLAS/BOCA DE BRISEÑO/mas de 26,49</t>
  </si>
  <si>
    <t>ARENILLAS/BOLA DE ORO/0,00 - 3,39</t>
  </si>
  <si>
    <t>BOLA DE ORO</t>
  </si>
  <si>
    <t>ARENILLAS/BOLA DE ORO/10,21 - 13,20</t>
  </si>
  <si>
    <t>ARENILLAS/BOLA DE ORO/13,21 - 16,59</t>
  </si>
  <si>
    <t>ARENILLAS/BOLA DE ORO/16,60 - 26,49</t>
  </si>
  <si>
    <t>ARENILLAS/BOLA DE ORO/3,40 - 5,20</t>
  </si>
  <si>
    <t>ARENILLAS/BOLA DE ORO/5,21 - 8,25</t>
  </si>
  <si>
    <t>ARENILLAS/BOLA DE ORO/8,26 - 10,20</t>
  </si>
  <si>
    <t>ARENILLAS/BOLA DE ORO/mas de 26,49</t>
  </si>
  <si>
    <t>ARENILLAS/BORBON/0,00 - 3,39</t>
  </si>
  <si>
    <t>BORBON</t>
  </si>
  <si>
    <t>ARENILLAS/BORBON/10,21 - 13,20</t>
  </si>
  <si>
    <t>ARENILLAS/BORBON/13,21 - 16,59</t>
  </si>
  <si>
    <t>ARENILLAS/BORBON/16,60 - 26,49</t>
  </si>
  <si>
    <t>ARENILLAS/BORBON/3,40 - 5,20</t>
  </si>
  <si>
    <t>ARENILLAS/BORBON/5,21 - 8,25</t>
  </si>
  <si>
    <t>ARENILLAS/BORBON/8,26 - 10,20</t>
  </si>
  <si>
    <t>ARENILLAS/BORBON/mas de 26,49</t>
  </si>
  <si>
    <t>ARENILLAS/CANOA/0,00 - 3,39</t>
  </si>
  <si>
    <t>CANOA</t>
  </si>
  <si>
    <t>ARENILLAS/CANOA/10,21 - 13,20</t>
  </si>
  <si>
    <t>ARENILLAS/CANOA/13,21 - 16,59</t>
  </si>
  <si>
    <t>ARENILLAS/CANOA/16,60 - 26,49</t>
  </si>
  <si>
    <t>ARENILLAS/CANOA/3,40 - 5,20</t>
  </si>
  <si>
    <t>ARENILLAS/CANOA/5,21 - 8,25</t>
  </si>
  <si>
    <t>ARENILLAS/CANOA/8,26 - 10,20</t>
  </si>
  <si>
    <t>ARENILLAS/CANOA/mas de 26,49</t>
  </si>
  <si>
    <t>ARENILLAS/CERECITA/0,00 - 3,39</t>
  </si>
  <si>
    <t>CERECITA</t>
  </si>
  <si>
    <t>ARENILLAS/CERECITA/10,21 - 13,20</t>
  </si>
  <si>
    <t>ARENILLAS/CERECITA/13,21 - 16,59</t>
  </si>
  <si>
    <t>ARENILLAS/CERECITA/16,60 - 26,49</t>
  </si>
  <si>
    <t>ARENILLAS/CERECITA/3,40 - 5,20</t>
  </si>
  <si>
    <t>ARENILLAS/CERECITA/5,21 - 8,25</t>
  </si>
  <si>
    <t>ARENILLAS/CERECITA/8,26 - 10,20</t>
  </si>
  <si>
    <t>ARENILLAS/CERECITA/mas de 26,49</t>
  </si>
  <si>
    <t>ARENILLAS/CHANDUY/0,00 - 3,39</t>
  </si>
  <si>
    <t>CHANDUY</t>
  </si>
  <si>
    <t>ARENILLAS/CHANDUY/10,21 - 13,20</t>
  </si>
  <si>
    <t>ARENILLAS/CHANDUY/13,21 - 16,59</t>
  </si>
  <si>
    <t>ARENILLAS/CHANDUY/16,60 - 26,49</t>
  </si>
  <si>
    <t>ARENILLAS/CHANDUY/3,40 - 5,20</t>
  </si>
  <si>
    <t>ARENILLAS/CHANDUY/5,21 - 8,25</t>
  </si>
  <si>
    <t>ARENILLAS/CHANDUY/8,26 - 10,20</t>
  </si>
  <si>
    <t>ARENILLAS/CHANDUY/mas de 26,49</t>
  </si>
  <si>
    <t>ARENILLAS/CHONE/0,00 - 3,39</t>
  </si>
  <si>
    <t>CHONE</t>
  </si>
  <si>
    <t>ARENILLAS/CHONE/10,21 - 13,20</t>
  </si>
  <si>
    <t>ARENILLAS/CHONE/13,21 - 16,59</t>
  </si>
  <si>
    <t>ARENILLAS/CHONE/16,60 - 26,49</t>
  </si>
  <si>
    <t>ARENILLAS/CHONE/3,40 - 5,20</t>
  </si>
  <si>
    <t>ARENILLAS/CHONE/5,21 - 8,25</t>
  </si>
  <si>
    <t>ARENILLAS/CHONE/8,26 - 10,20</t>
  </si>
  <si>
    <t>ARENILLAS/CHONE/mas de 26,49</t>
  </si>
  <si>
    <t>ARENILLAS/CHONGON/0,00 - 3,39</t>
  </si>
  <si>
    <t>CHONGON</t>
  </si>
  <si>
    <t>ARENILLAS/CHONGON/10,21 - 13,20</t>
  </si>
  <si>
    <t>ARENILLAS/CHONGON/13,21 - 16,59</t>
  </si>
  <si>
    <t>ARENILLAS/CHONGON/16,60 - 26,49</t>
  </si>
  <si>
    <t>ARENILLAS/CHONGON/3,40 - 5,20</t>
  </si>
  <si>
    <t>ARENILLAS/CHONGON/5,21 - 8,25</t>
  </si>
  <si>
    <t>ARENILLAS/CHONGON/8,26 - 10,20</t>
  </si>
  <si>
    <t>ARENILLAS/CHONGON/mas de 26,49</t>
  </si>
  <si>
    <t>ARENILLAS/CHURUTE/0,00 - 3,39</t>
  </si>
  <si>
    <t>CHURUTE</t>
  </si>
  <si>
    <t>ARENILLAS/CHURUTE/10,21 - 13,20</t>
  </si>
  <si>
    <t>ARENILLAS/CHURUTE/13,21 - 16,59</t>
  </si>
  <si>
    <t>ARENILLAS/CHURUTE/16,60 - 26,49</t>
  </si>
  <si>
    <t>ARENILLAS/CHURUTE/3,40 - 5,20</t>
  </si>
  <si>
    <t>ARENILLAS/CHURUTE/5,21 - 8,25</t>
  </si>
  <si>
    <t>ARENILLAS/CHURUTE/8,26 - 10,20</t>
  </si>
  <si>
    <t>ARENILLAS/CHURUTE/mas de 26,49</t>
  </si>
  <si>
    <t>ARENILLAS/CIEN FAMILIAS/0,00 - 3,39</t>
  </si>
  <si>
    <t>CIEN FAMILIAS</t>
  </si>
  <si>
    <t>ARENILLAS/CIEN FAMILIAS/10,21 - 13,20</t>
  </si>
  <si>
    <t>ARENILLAS/CIEN FAMILIAS/13,21 - 16,59</t>
  </si>
  <si>
    <t>ARENILLAS/CIEN FAMILIAS/16,60 - 26,49</t>
  </si>
  <si>
    <t>ARENILLAS/CIEN FAMILIAS/3,40 - 5,20</t>
  </si>
  <si>
    <t>ARENILLAS/CIEN FAMILIAS/5,21 - 8,25</t>
  </si>
  <si>
    <t>ARENILLAS/CIEN FAMILIAS/8,26 - 10,20</t>
  </si>
  <si>
    <t>ARENILLAS/CIEN FAMILIAS/mas de 26,49</t>
  </si>
  <si>
    <t>ARENILLAS/COJIMIES/0,00 - 3,39</t>
  </si>
  <si>
    <t>COJIMIES</t>
  </si>
  <si>
    <t>ARENILLAS/COJIMIES/10,21 - 13,20</t>
  </si>
  <si>
    <t>ARENILLAS/COJIMIES/13,21 - 16,59</t>
  </si>
  <si>
    <t>ARENILLAS/COJIMIES/16,60 - 26,49</t>
  </si>
  <si>
    <t>ARENILLAS/COJIMIES/3,40 - 5,20</t>
  </si>
  <si>
    <t>ARENILLAS/COJIMIES/5,21 - 8,25</t>
  </si>
  <si>
    <t>ARENILLAS/COJIMIES/8,26 - 10,20</t>
  </si>
  <si>
    <t>ARENILLAS/COJIMIES/mas de 26,49</t>
  </si>
  <si>
    <t>ARENILLAS/DAULAR/0,00 - 3,39</t>
  </si>
  <si>
    <t>DAULAR</t>
  </si>
  <si>
    <t>ARENILLAS/DAULAR/10,21 - 13,20</t>
  </si>
  <si>
    <t>ARENILLAS/DAULAR/13,21 - 16,59</t>
  </si>
  <si>
    <t>ARENILLAS/DAULAR/16,60 - 26,49</t>
  </si>
  <si>
    <t>ARENILLAS/DAULAR/3,40 - 5,20</t>
  </si>
  <si>
    <t>ARENILLAS/DAULAR/5,21 - 8,25</t>
  </si>
  <si>
    <t>ARENILLAS/DAULAR/8,26 - 10,20</t>
  </si>
  <si>
    <t>ARENILLAS/DAULAR/mas de 26,49</t>
  </si>
  <si>
    <t>ARENILLAS/DAULE/0,00 - 3,39</t>
  </si>
  <si>
    <t>DAULE</t>
  </si>
  <si>
    <t>ARENILLAS/DAULE/10,21 - 13,20</t>
  </si>
  <si>
    <t>ARENILLAS/DAULE/13,21 - 16,59</t>
  </si>
  <si>
    <t>ARENILLAS/DAULE/16,60 - 26,49</t>
  </si>
  <si>
    <t>ARENILLAS/DAULE/3,40 - 5,20</t>
  </si>
  <si>
    <t>ARENILLAS/DAULE/5,21 - 8,25</t>
  </si>
  <si>
    <t>ARENILLAS/DAULE/8,26 - 10,20</t>
  </si>
  <si>
    <t>ARENILLAS/DAULE/mas de 26,49</t>
  </si>
  <si>
    <t>ARENILLAS/DURAN/0,00 - 3,39</t>
  </si>
  <si>
    <t>ARENILLAS/DURAN/10,21 - 13,20</t>
  </si>
  <si>
    <t>ARENILLAS/DURAN/13,21 - 16,59</t>
  </si>
  <si>
    <t>ARENILLAS/DURAN/16,60 - 26,49</t>
  </si>
  <si>
    <t>ARENILLAS/DURAN/3,40 - 5,20</t>
  </si>
  <si>
    <t>ARENILLAS/DURAN/5,21 - 8,25</t>
  </si>
  <si>
    <t>ARENILLAS/DURAN/8,26 - 10,20</t>
  </si>
  <si>
    <t>ARENILLAS/DURAN/mas de 26,49</t>
  </si>
  <si>
    <t>ARENILLAS/EL MANGO/0,00 - 3,39</t>
  </si>
  <si>
    <t>EL MANGO</t>
  </si>
  <si>
    <t>ARENILLAS/EL MANGO/10,21 - 13,20</t>
  </si>
  <si>
    <t>ARENILLAS/EL MANGO/13,21 - 16,59</t>
  </si>
  <si>
    <t>ARENILLAS/EL MANGO/16,60 - 26,49</t>
  </si>
  <si>
    <t>ARENILLAS/EL MANGO/3,40 - 5,20</t>
  </si>
  <si>
    <t>ARENILLAS/EL MANGO/5,21 - 8,25</t>
  </si>
  <si>
    <t>ARENILLAS/EL MANGO/8,26 - 10,20</t>
  </si>
  <si>
    <t>ARENILLAS/EL MANGO/mas de 26,49</t>
  </si>
  <si>
    <t>ARENILLAS/EL MORRO/0,00 - 3,39</t>
  </si>
  <si>
    <t>EL MORRO</t>
  </si>
  <si>
    <t>ARENILLAS/EL MORRO/10,21 - 13,20</t>
  </si>
  <si>
    <t>ARENILLAS/EL MORRO/13,21 - 16,59</t>
  </si>
  <si>
    <t>ARENILLAS/EL MORRO/16,60 - 26,49</t>
  </si>
  <si>
    <t>ARENILLAS/EL MORRO/3,40 - 5,20</t>
  </si>
  <si>
    <t>ARENILLAS/EL MORRO/5,21 - 8,25</t>
  </si>
  <si>
    <t>ARENILLAS/EL MORRO/8,26 - 10,20</t>
  </si>
  <si>
    <t>ARENILLAS/EL MORRO/mas de 26,49</t>
  </si>
  <si>
    <t>ARENILLAS/EL RETIRO/0,00 - 3,39</t>
  </si>
  <si>
    <t>EL RETIRO</t>
  </si>
  <si>
    <t>ARENILLAS/EL RETIRO/10,21 - 13,20</t>
  </si>
  <si>
    <t>ARENILLAS/EL RETIRO/13,21 - 16,59</t>
  </si>
  <si>
    <t>ARENILLAS/EL RETIRO/16,60 - 26,49</t>
  </si>
  <si>
    <t>ARENILLAS/EL RETIRO/3,40 - 5,20</t>
  </si>
  <si>
    <t>ARENILLAS/EL RETIRO/5,21 - 8,25</t>
  </si>
  <si>
    <t>ARENILLAS/EL RETIRO/8,26 - 10,20</t>
  </si>
  <si>
    <t>ARENILLAS/EL RETIRO/mas de 26,49</t>
  </si>
  <si>
    <t>ARENILLAS/ENGABAO/0,00 - 3,39</t>
  </si>
  <si>
    <t>ENGABAO</t>
  </si>
  <si>
    <t>ARENILLAS/ENGABAO/10,21 - 13,20</t>
  </si>
  <si>
    <t>ARENILLAS/ENGABAO/13,21 - 16,59</t>
  </si>
  <si>
    <t>ARENILLAS/ENGABAO/16,60 - 26,49</t>
  </si>
  <si>
    <t>ARENILLAS/ENGABAO/3,40 - 5,20</t>
  </si>
  <si>
    <t>ARENILLAS/ENGABAO/5,21 - 8,25</t>
  </si>
  <si>
    <t>ARENILLAS/ENGABAO/8,26 - 10,20</t>
  </si>
  <si>
    <t>ARENILLAS/ENGABAO/mas de 26,49</t>
  </si>
  <si>
    <t>ARENILLAS/ENGUNGA/0,00 - 3,39</t>
  </si>
  <si>
    <t>ENGUNGA</t>
  </si>
  <si>
    <t>ARENILLAS/ENGUNGA/10,21 - 13,20</t>
  </si>
  <si>
    <t>ARENILLAS/ENGUNGA/13,21 - 16,59</t>
  </si>
  <si>
    <t>ARENILLAS/ENGUNGA/16,60 - 26,49</t>
  </si>
  <si>
    <t>ARENILLAS/ENGUNGA/3,40 - 5,20</t>
  </si>
  <si>
    <t>ARENILLAS/ENGUNGA/5,21 - 8,25</t>
  </si>
  <si>
    <t>ARENILLAS/ENGUNGA/8,26 - 10,20</t>
  </si>
  <si>
    <t>ARENILLAS/ENGUNGA/mas de 26,49</t>
  </si>
  <si>
    <t>ARENILLAS/ESMERALDAS/0,00 - 3,39</t>
  </si>
  <si>
    <t>ESMERALDAS</t>
  </si>
  <si>
    <t>ARENILLAS/ESMERALDAS/10,21 - 13,20</t>
  </si>
  <si>
    <t>ARENILLAS/ESMERALDAS/13,21 - 16,59</t>
  </si>
  <si>
    <t>ARENILLAS/ESMERALDAS/16,60 - 26,49</t>
  </si>
  <si>
    <t>ARENILLAS/ESMERALDAS/3,40 - 5,20</t>
  </si>
  <si>
    <t>ARENILLAS/ESMERALDAS/5,21 - 8,25</t>
  </si>
  <si>
    <t>ARENILLAS/ESMERALDAS/8,26 - 10,20</t>
  </si>
  <si>
    <t>ARENILLAS/ESMERALDAS/mas de 26,49</t>
  </si>
  <si>
    <t>ARENILLAS/FLAVIO ALFARO/0,00 - 3,39</t>
  </si>
  <si>
    <t>FLAVIO ALFARO</t>
  </si>
  <si>
    <t>ARENILLAS/FLAVIO ALFARO/10,21 - 13,20</t>
  </si>
  <si>
    <t>ARENILLAS/FLAVIO ALFARO/13,21 - 16,59</t>
  </si>
  <si>
    <t>ARENILLAS/FLAVIO ALFARO/16,60 - 26,49</t>
  </si>
  <si>
    <t>ARENILLAS/FLAVIO ALFARO/3,40 - 5,20</t>
  </si>
  <si>
    <t>ARENILLAS/FLAVIO ALFARO/5,21 - 8,25</t>
  </si>
  <si>
    <t>ARENILLAS/FLAVIO ALFARO/8,26 - 10,20</t>
  </si>
  <si>
    <t>ARENILLAS/FLAVIO ALFARO/mas de 26,49</t>
  </si>
  <si>
    <t>ARENILLAS/GUAYAQUIL/0,00 - 3,39</t>
  </si>
  <si>
    <t>GUAYAQUIL</t>
  </si>
  <si>
    <t>ARENILLAS/GUAYAQUIL/10,21 - 13,20</t>
  </si>
  <si>
    <t>ARENILLAS/GUAYAQUIL/13,21 - 16,59</t>
  </si>
  <si>
    <t>ARENILLAS/GUAYAQUIL/16,60 - 26,49</t>
  </si>
  <si>
    <t>ARENILLAS/GUAYAQUIL/3,40 - 5,20</t>
  </si>
  <si>
    <t>ARENILLAS/GUAYAQUIL/5,21 - 8,25</t>
  </si>
  <si>
    <t>ARENILLAS/GUAYAQUIL/8,26 - 10,20</t>
  </si>
  <si>
    <t>ARENILLAS/GUAYAQUIL/mas de 26,49</t>
  </si>
  <si>
    <t>ARENILLAS/GUNILLA/0,00 - 3,39</t>
  </si>
  <si>
    <t>GUNILLA</t>
  </si>
  <si>
    <t>ARENILLAS/GUNILLA/10,21 - 13,20</t>
  </si>
  <si>
    <t>ARENILLAS/GUNILLA/13,21 - 16,59</t>
  </si>
  <si>
    <t>ARENILLAS/GUNILLA/16,60 - 26,49</t>
  </si>
  <si>
    <t>ARENILLAS/GUNILLA/3,40 - 5,20</t>
  </si>
  <si>
    <t>ARENILLAS/GUNILLA/5,21 - 8,25</t>
  </si>
  <si>
    <t>ARENILLAS/GUNILLA/8,26 - 10,20</t>
  </si>
  <si>
    <t>ARENILLAS/GUNILLA/mas de 26,49</t>
  </si>
  <si>
    <t>ARENILLAS/HUALTACO/0,00 - 3,39</t>
  </si>
  <si>
    <t>HUALTACO</t>
  </si>
  <si>
    <t>ARENILLAS/HUALTACO/10,21 - 13,20</t>
  </si>
  <si>
    <t>ARENILLAS/HUALTACO/13,21 - 16,59</t>
  </si>
  <si>
    <t>ARENILLAS/HUALTACO/16,60 - 26,49</t>
  </si>
  <si>
    <t>ARENILLAS/HUALTACO/3,40 - 5,20</t>
  </si>
  <si>
    <t>ARENILLAS/HUALTACO/5,21 - 8,25</t>
  </si>
  <si>
    <t>ARENILLAS/HUALTACO/8,26 - 10,20</t>
  </si>
  <si>
    <t>ARENILLAS/HUALTACO/mas de 26,49</t>
  </si>
  <si>
    <t>ARENILLAS/HUAQUILLAS/0,00 - 3,39</t>
  </si>
  <si>
    <t>HUAQUILLAS</t>
  </si>
  <si>
    <t>ARENILLAS/HUAQUILLAS/10,21 - 13,20</t>
  </si>
  <si>
    <t>ARENILLAS/HUAQUILLAS/13,21 - 16,59</t>
  </si>
  <si>
    <t>ARENILLAS/HUAQUILLAS/16,60 - 26,49</t>
  </si>
  <si>
    <t>ARENILLAS/HUAQUILLAS/3,40 - 5,20</t>
  </si>
  <si>
    <t>ARENILLAS/HUAQUILLAS/5,21 - 8,25</t>
  </si>
  <si>
    <t>ARENILLAS/HUAQUILLAS/8,26 - 10,20</t>
  </si>
  <si>
    <t>ARENILLAS/HUAQUILLAS/mas de 26,49</t>
  </si>
  <si>
    <t>ARENILLAS/JAMA/0,00 - 3,39</t>
  </si>
  <si>
    <t>JAMA</t>
  </si>
  <si>
    <t>ARENILLAS/JAMA/10,21 - 13,20</t>
  </si>
  <si>
    <t>ARENILLAS/JAMA/13,21 - 16,59</t>
  </si>
  <si>
    <t>ARENILLAS/JAMA/16,60 - 26,49</t>
  </si>
  <si>
    <t>ARENILLAS/JAMA/3,40 - 5,20</t>
  </si>
  <si>
    <t>ARENILLAS/JAMA/5,21 - 8,25</t>
  </si>
  <si>
    <t>ARENILLAS/JAMA/8,26 - 10,20</t>
  </si>
  <si>
    <t>ARENILLAS/JAMA/mas de 26,49</t>
  </si>
  <si>
    <t>ARENILLAS/JIPIJAPA/0,00 - 3,39</t>
  </si>
  <si>
    <t>JIPIJAPA</t>
  </si>
  <si>
    <t>ARENILLAS/JIPIJAPA/10,21 - 13,20</t>
  </si>
  <si>
    <t>ARENILLAS/JIPIJAPA/13,21 - 16,59</t>
  </si>
  <si>
    <t>ARENILLAS/JIPIJAPA/16,60 - 26,49</t>
  </si>
  <si>
    <t>ARENILLAS/JIPIJAPA/3,40 - 5,20</t>
  </si>
  <si>
    <t>ARENILLAS/JIPIJAPA/5,21 - 8,25</t>
  </si>
  <si>
    <t>ARENILLAS/JIPIJAPA/8,26 - 10,20</t>
  </si>
  <si>
    <t>ARENILLAS/JIPIJAPA/mas de 26,49</t>
  </si>
  <si>
    <t>ARENILLAS/JUJAN/0,00 - 3,39</t>
  </si>
  <si>
    <t>JUJAN</t>
  </si>
  <si>
    <t>ARENILLAS/JUJAN/10,21 - 13,20</t>
  </si>
  <si>
    <t>ARENILLAS/JUJAN/13,21 - 16,59</t>
  </si>
  <si>
    <t>ARENILLAS/JUJAN/16,60 - 26,49</t>
  </si>
  <si>
    <t>ARENILLAS/JUJAN/3,40 - 5,20</t>
  </si>
  <si>
    <t>ARENILLAS/JUJAN/5,21 - 8,25</t>
  </si>
  <si>
    <t>ARENILLAS/JUJAN/8,26 - 10,20</t>
  </si>
  <si>
    <t>ARENILLAS/JUJAN/mas de 26,49</t>
  </si>
  <si>
    <t>ARENILLAS/LA CUCA/0,00 - 3,39</t>
  </si>
  <si>
    <t>LA CUCA</t>
  </si>
  <si>
    <t>ARENILLAS/LA CUCA/10,21 - 13,20</t>
  </si>
  <si>
    <t>ARENILLAS/LA CUCA/13,21 - 16,59</t>
  </si>
  <si>
    <t>ARENILLAS/LA CUCA/16,60 - 26,49</t>
  </si>
  <si>
    <t>ARENILLAS/LA CUCA/3,40 - 5,20</t>
  </si>
  <si>
    <t>ARENILLAS/LA CUCA/5,21 - 8,25</t>
  </si>
  <si>
    <t>ARENILLAS/LA CUCA/8,26 - 10,20</t>
  </si>
  <si>
    <t>ARENILLAS/LA CUCA/mas de 26,49</t>
  </si>
  <si>
    <t>ARENILLAS/LA DELICIA - DIOSMAR/0,00 - 3,39</t>
  </si>
  <si>
    <t>LA DELICIA - DIOSMAR</t>
  </si>
  <si>
    <t>ARENILLAS/LA DELICIA - DIOSMAR/10,21 - 13,20</t>
  </si>
  <si>
    <t>ARENILLAS/LA DELICIA - DIOSMAR/13,21 - 16,59</t>
  </si>
  <si>
    <t>ARENILLAS/LA DELICIA - DIOSMAR/16,60 - 26,49</t>
  </si>
  <si>
    <t>ARENILLAS/LA DELICIA - DIOSMAR/3,40 - 5,20</t>
  </si>
  <si>
    <t>ARENILLAS/LA DELICIA - DIOSMAR/5,21 - 8,25</t>
  </si>
  <si>
    <t>ARENILLAS/LA DELICIA - DIOSMAR/8,26 - 10,20</t>
  </si>
  <si>
    <t>ARENILLAS/LA DELICIA - DIOSMAR/mas de 26,49</t>
  </si>
  <si>
    <t>ARENILLAS/LA FLORA/0,00 - 3,39</t>
  </si>
  <si>
    <t>LA FLORA</t>
  </si>
  <si>
    <t>ARENILLAS/LA FLORA/10,21 - 13,20</t>
  </si>
  <si>
    <t>ARENILLAS/LA FLORA/13,21 - 16,59</t>
  </si>
  <si>
    <t>ARENILLAS/LA FLORA/16,60 - 26,49</t>
  </si>
  <si>
    <t>ARENILLAS/LA FLORA/3,40 - 5,20</t>
  </si>
  <si>
    <t>ARENILLAS/LA FLORA/5,21 - 8,25</t>
  </si>
  <si>
    <t>ARENILLAS/LA FLORA/8,26 - 10,20</t>
  </si>
  <si>
    <t>ARENILLAS/LA FLORA/mas de 26,49</t>
  </si>
  <si>
    <t>ARENILLAS/LA HUADA/0,00 - 3,39</t>
  </si>
  <si>
    <t>LA HUADA</t>
  </si>
  <si>
    <t>ARENILLAS/LA HUADA/10,21 - 13,20</t>
  </si>
  <si>
    <t>ARENILLAS/LA HUADA/13,21 - 16,59</t>
  </si>
  <si>
    <t>ARENILLAS/LA HUADA/16,60 - 26,49</t>
  </si>
  <si>
    <t>ARENILLAS/LA HUADA/3,40 - 5,20</t>
  </si>
  <si>
    <t>ARENILLAS/LA HUADA/5,21 - 8,25</t>
  </si>
  <si>
    <t>ARENILLAS/LA HUADA/8,26 - 10,20</t>
  </si>
  <si>
    <t>ARENILLAS/LA HUADA/mas de 26,49</t>
  </si>
  <si>
    <t>ARENILLAS/LAS ESCLUSAS/0,00 - 3,39</t>
  </si>
  <si>
    <t>LAS ESCLUSAS</t>
  </si>
  <si>
    <t>ARENILLAS/LAS ESCLUSAS/10,21 - 13,20</t>
  </si>
  <si>
    <t>ARENILLAS/LAS ESCLUSAS/13,21 - 16,59</t>
  </si>
  <si>
    <t>ARENILLAS/LAS ESCLUSAS/16,60 - 26,49</t>
  </si>
  <si>
    <t>ARENILLAS/LAS ESCLUSAS/3,40 - 5,20</t>
  </si>
  <si>
    <t>ARENILLAS/LAS ESCLUSAS/5,21 - 8,25</t>
  </si>
  <si>
    <t>ARENILLAS/LAS ESCLUSAS/8,26 - 10,20</t>
  </si>
  <si>
    <t>ARENILLAS/LAS ESCLUSAS/mas de 26,49</t>
  </si>
  <si>
    <t>ARENILLAS/LIBERTAD/0,00 - 3,39</t>
  </si>
  <si>
    <t>LIBERTAD</t>
  </si>
  <si>
    <t>ARENILLAS/LIBERTAD/10,21 - 13,20</t>
  </si>
  <si>
    <t>ARENILLAS/LIBERTAD/13,21 - 16,59</t>
  </si>
  <si>
    <t>ARENILLAS/LIBERTAD/16,60 - 26,49</t>
  </si>
  <si>
    <t>ARENILLAS/LIBERTAD/3,40 - 5,20</t>
  </si>
  <si>
    <t>ARENILLAS/LIBERTAD/5,21 - 8,25</t>
  </si>
  <si>
    <t>ARENILLAS/LIBERTAD/8,26 - 10,20</t>
  </si>
  <si>
    <t>ARENILLAS/LIBERTAD/mas de 26,49</t>
  </si>
  <si>
    <t>ARENILLAS/MACHALA/0,00 - 3,39</t>
  </si>
  <si>
    <t>MACHALA</t>
  </si>
  <si>
    <t>ARENILLAS/MACHALA/10,21 - 13,20</t>
  </si>
  <si>
    <t>ARENILLAS/MACHALA/13,21 - 16,59</t>
  </si>
  <si>
    <t>ARENILLAS/MACHALA/16,60 - 26,49</t>
  </si>
  <si>
    <t>ARENILLAS/MACHALA/3,40 - 5,20</t>
  </si>
  <si>
    <t>ARENILLAS/MACHALA/5,21 - 8,25</t>
  </si>
  <si>
    <t>ARENILLAS/MACHALA/8,26 - 10,20</t>
  </si>
  <si>
    <t>ARENILLAS/MACHALA/mas de 26,49</t>
  </si>
  <si>
    <t>ARENILLAS/MANGLARALTO/0,00 - 3,39</t>
  </si>
  <si>
    <t>MANGLARALTO</t>
  </si>
  <si>
    <t>ARENILLAS/MANGLARALTO/10,21 - 13,20</t>
  </si>
  <si>
    <t>ARENILLAS/MANGLARALTO/13,21 - 16,59</t>
  </si>
  <si>
    <t>ARENILLAS/MANGLARALTO/16,60 - 26,49</t>
  </si>
  <si>
    <t>ARENILLAS/MANGLARALTO/3,40 - 5,20</t>
  </si>
  <si>
    <t>ARENILLAS/MANGLARALTO/5,21 - 8,25</t>
  </si>
  <si>
    <t>ARENILLAS/MANGLARALTO/8,26 - 10,20</t>
  </si>
  <si>
    <t>ARENILLAS/MANGLARALTO/mas de 26,49</t>
  </si>
  <si>
    <t>ARENILLAS/MANTA/0,00 - 3,39</t>
  </si>
  <si>
    <t>MANTA</t>
  </si>
  <si>
    <t>ARENILLAS/MANTA/10,21 - 13,20</t>
  </si>
  <si>
    <t>ARENILLAS/MANTA/13,21 - 16,59</t>
  </si>
  <si>
    <t>ARENILLAS/MANTA/16,60 - 26,49</t>
  </si>
  <si>
    <t>ARENILLAS/MANTA/3,40 - 5,20</t>
  </si>
  <si>
    <t>ARENILLAS/MANTA/5,21 - 8,25</t>
  </si>
  <si>
    <t>ARENILLAS/MANTA/8,26 - 10,20</t>
  </si>
  <si>
    <t>ARENILLAS/MANTA/mas de 26,49</t>
  </si>
  <si>
    <t>ARENILLAS/MAR BRAVO/0,00 - 3,39</t>
  </si>
  <si>
    <t>MAR BRAVO</t>
  </si>
  <si>
    <t>ARENILLAS/MAR BRAVO/10,21 - 13,20</t>
  </si>
  <si>
    <t>ARENILLAS/MAR BRAVO/13,21 - 16,59</t>
  </si>
  <si>
    <t>ARENILLAS/MAR BRAVO/16,60 - 26,49</t>
  </si>
  <si>
    <t>ARENILLAS/MAR BRAVO/3,40 - 5,20</t>
  </si>
  <si>
    <t>ARENILLAS/MAR BRAVO/5,21 - 8,25</t>
  </si>
  <si>
    <t>ARENILLAS/MAR BRAVO/8,26 - 10,20</t>
  </si>
  <si>
    <t>ARENILLAS/MAR BRAVO/mas de 26,49</t>
  </si>
  <si>
    <t>ARENILLAS/MILAGRO/0,00 - 3,39</t>
  </si>
  <si>
    <t>MILAGRO</t>
  </si>
  <si>
    <t>ARENILLAS/MILAGRO/10,21 - 13,20</t>
  </si>
  <si>
    <t>ARENILLAS/MILAGRO/13,21 - 16,59</t>
  </si>
  <si>
    <t>ARENILLAS/MILAGRO/16,60 - 26,49</t>
  </si>
  <si>
    <t>ARENILLAS/MILAGRO/3,40 - 5,20</t>
  </si>
  <si>
    <t>ARENILLAS/MILAGRO/5,21 - 8,25</t>
  </si>
  <si>
    <t>ARENILLAS/MILAGRO/8,26 - 10,20</t>
  </si>
  <si>
    <t>ARENILLAS/MILAGRO/mas de 26,49</t>
  </si>
  <si>
    <t>ARENILLAS/MONTAÑITA/0,00 - 3,39</t>
  </si>
  <si>
    <t>MONTAÑITA</t>
  </si>
  <si>
    <t>ARENILLAS/MONTAÑITA/10,21 - 13,20</t>
  </si>
  <si>
    <t>ARENILLAS/MONTAÑITA/13,21 - 16,59</t>
  </si>
  <si>
    <t>ARENILLAS/MONTAÑITA/16,60 - 26,49</t>
  </si>
  <si>
    <t>ARENILLAS/MONTAÑITA/3,40 - 5,20</t>
  </si>
  <si>
    <t>ARENILLAS/MONTAÑITA/5,21 - 8,25</t>
  </si>
  <si>
    <t>ARENILLAS/MONTAÑITA/8,26 - 10,20</t>
  </si>
  <si>
    <t>ARENILLAS/MONTAÑITA/mas de 26,49</t>
  </si>
  <si>
    <t>ARENILLAS/MONTEVERDE/0,00 - 3,39</t>
  </si>
  <si>
    <t>MONTEVERDE</t>
  </si>
  <si>
    <t>ARENILLAS/MONTEVERDE/10,21 - 13,20</t>
  </si>
  <si>
    <t>ARENILLAS/MONTEVERDE/13,21 - 16,59</t>
  </si>
  <si>
    <t>ARENILLAS/MONTEVERDE/16,60 - 26,49</t>
  </si>
  <si>
    <t>ARENILLAS/MONTEVERDE/3,40 - 5,20</t>
  </si>
  <si>
    <t>ARENILLAS/MONTEVERDE/5,21 - 8,25</t>
  </si>
  <si>
    <t>ARENILLAS/MONTEVERDE/8,26 - 10,20</t>
  </si>
  <si>
    <t>ARENILLAS/MONTEVERDE/mas de 26,49</t>
  </si>
  <si>
    <t>ARENILLAS/MUISNE/0,00 - 3,39</t>
  </si>
  <si>
    <t>MUISNE</t>
  </si>
  <si>
    <t>ARENILLAS/MUISNE/10,21 - 13,20</t>
  </si>
  <si>
    <t>ARENILLAS/MUISNE/13,21 - 16,59</t>
  </si>
  <si>
    <t>ARENILLAS/MUISNE/16,60 - 26,49</t>
  </si>
  <si>
    <t>ARENILLAS/MUISNE/3,40 - 5,20</t>
  </si>
  <si>
    <t>ARENILLAS/MUISNE/5,21 - 8,25</t>
  </si>
  <si>
    <t>ARENILLAS/MUISNE/8,26 - 10,20</t>
  </si>
  <si>
    <t>ARENILLAS/MUISNE/mas de 26,49</t>
  </si>
  <si>
    <t>ARENILLAS/NARANJAL/0,00 - 3,39</t>
  </si>
  <si>
    <t>NARANJAL</t>
  </si>
  <si>
    <t>ARENILLAS/NARANJAL/10,21 - 13,20</t>
  </si>
  <si>
    <t>ARENILLAS/NARANJAL/13,21 - 16,59</t>
  </si>
  <si>
    <t>ARENILLAS/NARANJAL/16,60 - 26,49</t>
  </si>
  <si>
    <t>ARENILLAS/NARANJAL/3,40 - 5,20</t>
  </si>
  <si>
    <t>ARENILLAS/NARANJAL/5,21 - 8,25</t>
  </si>
  <si>
    <t>ARENILLAS/NARANJAL/8,26 - 10,20</t>
  </si>
  <si>
    <t>ARENILLAS/NARANJAL/mas de 26,49</t>
  </si>
  <si>
    <t>ARENILLAS/NOBOL/0,00 - 3,39</t>
  </si>
  <si>
    <t>NOBOL</t>
  </si>
  <si>
    <t>ARENILLAS/NOBOL/10,21 - 13,20</t>
  </si>
  <si>
    <t>ARENILLAS/NOBOL/13,21 - 16,59</t>
  </si>
  <si>
    <t>ARENILLAS/NOBOL/16,60 - 26,49</t>
  </si>
  <si>
    <t>ARENILLAS/NOBOL/3,40 - 5,20</t>
  </si>
  <si>
    <t>ARENILLAS/NOBOL/5,21 - 8,25</t>
  </si>
  <si>
    <t>ARENILLAS/NOBOL/8,26 - 10,20</t>
  </si>
  <si>
    <t>ARENILLAS/NOBOL/mas de 26,49</t>
  </si>
  <si>
    <t>ARENILLAS/PAGUA/0,00 - 3,39</t>
  </si>
  <si>
    <t>PAGUA</t>
  </si>
  <si>
    <t>ARENILLAS/PAGUA/10,21 - 13,20</t>
  </si>
  <si>
    <t>ARENILLAS/PAGUA/13,21 - 16,59</t>
  </si>
  <si>
    <t>ARENILLAS/PAGUA/16,60 - 26,49</t>
  </si>
  <si>
    <t>ARENILLAS/PAGUA/3,40 - 5,20</t>
  </si>
  <si>
    <t>ARENILLAS/PAGUA/5,21 - 8,25</t>
  </si>
  <si>
    <t>ARENILLAS/PAGUA/8,26 - 10,20</t>
  </si>
  <si>
    <t>ARENILLAS/PAGUA/mas de 26,49</t>
  </si>
  <si>
    <t>ARENILLAS/PALESTINA/0,00 - 3,39</t>
  </si>
  <si>
    <t>PALESTINA</t>
  </si>
  <si>
    <t>ARENILLAS/PALESTINA/10,21 - 13,20</t>
  </si>
  <si>
    <t>ARENILLAS/PALESTINA/13,21 - 16,59</t>
  </si>
  <si>
    <t>ARENILLAS/PALESTINA/16,60 - 26,49</t>
  </si>
  <si>
    <t>ARENILLAS/PALESTINA/3,40 - 5,20</t>
  </si>
  <si>
    <t>ARENILLAS/PALESTINA/5,21 - 8,25</t>
  </si>
  <si>
    <t>ARENILLAS/PALESTINA/8,26 - 10,20</t>
  </si>
  <si>
    <t>ARENILLAS/PALESTINA/mas de 26,49</t>
  </si>
  <si>
    <t>ARENILLAS/PALMAR/0,00 - 3,39</t>
  </si>
  <si>
    <t>PALMAR</t>
  </si>
  <si>
    <t>ARENILLAS/PALMAR/10,21 - 13,20</t>
  </si>
  <si>
    <t>ARENILLAS/PALMAR/13,21 - 16,59</t>
  </si>
  <si>
    <t>ARENILLAS/PALMAR/16,60 - 26,49</t>
  </si>
  <si>
    <t>ARENILLAS/PALMAR/3,40 - 5,20</t>
  </si>
  <si>
    <t>ARENILLAS/PALMAR/5,21 - 8,25</t>
  </si>
  <si>
    <t>ARENILLAS/PALMAR/8,26 - 10,20</t>
  </si>
  <si>
    <t>ARENILLAS/PALMAR/mas de 26,49</t>
  </si>
  <si>
    <t>ARENILLAS/PAPAYAL - TAURA/0,00 - 3,39</t>
  </si>
  <si>
    <t>PAPAYAL - TAURA</t>
  </si>
  <si>
    <t>ARENILLAS/PAPAYAL - TAURA/10,21 - 13,20</t>
  </si>
  <si>
    <t>ARENILLAS/PAPAYAL - TAURA/13,21 - 16,59</t>
  </si>
  <si>
    <t>ARENILLAS/PAPAYAL - TAURA/16,60 - 26,49</t>
  </si>
  <si>
    <t>ARENILLAS/PAPAYAL - TAURA/3,40 - 5,20</t>
  </si>
  <si>
    <t>ARENILLAS/PAPAYAL - TAURA/5,21 - 8,25</t>
  </si>
  <si>
    <t>ARENILLAS/PAPAYAL - TAURA/8,26 - 10,20</t>
  </si>
  <si>
    <t>ARENILLAS/PAPAYAL - TAURA/mas de 26,49</t>
  </si>
  <si>
    <t>ARENILLAS/PASAJE /0,00 - 3,39</t>
  </si>
  <si>
    <t xml:space="preserve">PASAJE </t>
  </si>
  <si>
    <t>ARENILLAS/PASAJE /10,21 - 13,20</t>
  </si>
  <si>
    <t>ARENILLAS/PASAJE /13,21 - 16,59</t>
  </si>
  <si>
    <t>ARENILLAS/PASAJE /16,60 - 26,49</t>
  </si>
  <si>
    <t>ARENILLAS/PASAJE /3,40 - 5,20</t>
  </si>
  <si>
    <t>ARENILLAS/PASAJE /5,21 - 8,25</t>
  </si>
  <si>
    <t>ARENILLAS/PASAJE /8,26 - 10,20</t>
  </si>
  <si>
    <t>ARENILLAS/PASAJE /mas de 26,49</t>
  </si>
  <si>
    <t>ARENILLAS/PASAJE/0,00 - 3,39</t>
  </si>
  <si>
    <t>PASAJE</t>
  </si>
  <si>
    <t>ARENILLAS/PASAJE/10,21 - 13,20</t>
  </si>
  <si>
    <t>ARENILLAS/PASAJE/13,21 - 16,59</t>
  </si>
  <si>
    <t>ARENILLAS/PASAJE/16,60 - 26,49</t>
  </si>
  <si>
    <t>ARENILLAS/PASAJE/3,40 - 5,20</t>
  </si>
  <si>
    <t>ARENILLAS/PASAJE/5,21 - 8,25</t>
  </si>
  <si>
    <t>ARENILLAS/PASAJE/8,26 - 10,20</t>
  </si>
  <si>
    <t>ARENILLAS/PASAJE/mas de 26,49</t>
  </si>
  <si>
    <t>ARENILLAS/PEDERNALES/0,00 - 3,39</t>
  </si>
  <si>
    <t>PEDERNALES</t>
  </si>
  <si>
    <t>ARENILLAS/PEDERNALES/10,21 - 13,20</t>
  </si>
  <si>
    <t>ARENILLAS/PEDERNALES/13,21 - 16,59</t>
  </si>
  <si>
    <t>ARENILLAS/PEDERNALES/16,60 - 26,49</t>
  </si>
  <si>
    <t>ARENILLAS/PEDERNALES/3,40 - 5,20</t>
  </si>
  <si>
    <t>ARENILLAS/PEDERNALES/5,21 - 8,25</t>
  </si>
  <si>
    <t>ARENILLAS/PEDERNALES/8,26 - 10,20</t>
  </si>
  <si>
    <t>ARENILLAS/PEDERNALES/mas de 26,49</t>
  </si>
  <si>
    <t>ARENILLAS/PLAYAS/0,00 - 3,39</t>
  </si>
  <si>
    <t>PLAYAS</t>
  </si>
  <si>
    <t>ARENILLAS/PLAYAS/10,21 - 13,20</t>
  </si>
  <si>
    <t>ARENILLAS/PLAYAS/13,21 - 16,59</t>
  </si>
  <si>
    <t>ARENILLAS/PLAYAS/16,60 - 26,49</t>
  </si>
  <si>
    <t>ARENILLAS/PLAYAS/3,40 - 5,20</t>
  </si>
  <si>
    <t>ARENILLAS/PLAYAS/5,21 - 8,25</t>
  </si>
  <si>
    <t>ARENILLAS/PLAYAS/8,26 - 10,20</t>
  </si>
  <si>
    <t>ARENILLAS/PLAYAS/mas de 26,49</t>
  </si>
  <si>
    <t>ARENILLAS/POCOS PALOS - TAURA/0,00 - 3,39</t>
  </si>
  <si>
    <t>POCOS PALOS - TAURA</t>
  </si>
  <si>
    <t>ARENILLAS/POCOS PALOS - TAURA/10,21 - 13,20</t>
  </si>
  <si>
    <t>ARENILLAS/POCOS PALOS - TAURA/13,21 - 16,59</t>
  </si>
  <si>
    <t>ARENILLAS/POCOS PALOS - TAURA/16,60 - 26,49</t>
  </si>
  <si>
    <t>ARENILLAS/POCOS PALOS - TAURA/3,40 - 5,20</t>
  </si>
  <si>
    <t>ARENILLAS/POCOS PALOS - TAURA/5,21 - 8,25</t>
  </si>
  <si>
    <t>ARENILLAS/POCOS PALOS - TAURA/8,26 - 10,20</t>
  </si>
  <si>
    <t>ARENILLAS/POCOS PALOS - TAURA/mas de 26,49</t>
  </si>
  <si>
    <t>ARENILLAS/PORTOVIEJO/0,00 - 3,39</t>
  </si>
  <si>
    <t>PORTOVIEJO</t>
  </si>
  <si>
    <t>ARENILLAS/PORTOVIEJO/10,21 - 13,20</t>
  </si>
  <si>
    <t>ARENILLAS/PORTOVIEJO/13,21 - 16,59</t>
  </si>
  <si>
    <t>ARENILLAS/PORTOVIEJO/16,60 - 26,49</t>
  </si>
  <si>
    <t>ARENILLAS/PORTOVIEJO/3,40 - 5,20</t>
  </si>
  <si>
    <t>ARENILLAS/PORTOVIEJO/5,21 - 8,25</t>
  </si>
  <si>
    <t>ARENILLAS/PORTOVIEJO/8,26 - 10,20</t>
  </si>
  <si>
    <t>ARENILLAS/PORTOVIEJO/mas de 26,49</t>
  </si>
  <si>
    <t>ARENILLAS/POSORJA/0,00 - 3,39</t>
  </si>
  <si>
    <t>POSORJA</t>
  </si>
  <si>
    <t>ARENILLAS/POSORJA/10,21 - 13,20</t>
  </si>
  <si>
    <t>ARENILLAS/POSORJA/13,21 - 16,59</t>
  </si>
  <si>
    <t>ARENILLAS/POSORJA/16,60 - 26,49</t>
  </si>
  <si>
    <t>ARENILLAS/POSORJA/3,40 - 5,20</t>
  </si>
  <si>
    <t>ARENILLAS/POSORJA/5,21 - 8,25</t>
  </si>
  <si>
    <t>ARENILLAS/POSORJA/8,26 - 10,20</t>
  </si>
  <si>
    <t>ARENILLAS/POSORJA/mas de 26,49</t>
  </si>
  <si>
    <t>ARENILLAS/PUERTO BOLIVAR/0,00 - 3,39</t>
  </si>
  <si>
    <t>PUERTO BOLIVAR</t>
  </si>
  <si>
    <t>ARENILLAS/PUERTO BOLIVAR/10,21 - 13,20</t>
  </si>
  <si>
    <t>ARENILLAS/PUERTO BOLIVAR/13,21 - 16,59</t>
  </si>
  <si>
    <t>ARENILLAS/PUERTO BOLIVAR/16,60 - 26,49</t>
  </si>
  <si>
    <t>ARENILLAS/PUERTO BOLIVAR/3,40 - 5,20</t>
  </si>
  <si>
    <t>ARENILLAS/PUERTO BOLIVAR/5,21 - 8,25</t>
  </si>
  <si>
    <t>ARENILLAS/PUERTO BOLIVAR/8,26 - 10,20</t>
  </si>
  <si>
    <t>ARENILLAS/PUERTO BOLIVAR/mas de 26,49</t>
  </si>
  <si>
    <t>ARENILLAS/PUERTO CAYO/0,00 - 3,39</t>
  </si>
  <si>
    <t>PUERTO CAYO</t>
  </si>
  <si>
    <t>ARENILLAS/PUERTO CAYO/10,21 - 13,20</t>
  </si>
  <si>
    <t>ARENILLAS/PUERTO CAYO/13,21 - 16,59</t>
  </si>
  <si>
    <t>ARENILLAS/PUERTO CAYO/16,60 - 26,49</t>
  </si>
  <si>
    <t>ARENILLAS/PUERTO CAYO/3,40 - 5,20</t>
  </si>
  <si>
    <t>ARENILLAS/PUERTO CAYO/5,21 - 8,25</t>
  </si>
  <si>
    <t>ARENILLAS/PUERTO CAYO/8,26 - 10,20</t>
  </si>
  <si>
    <t>ARENILLAS/PUERTO CAYO/mas de 26,49</t>
  </si>
  <si>
    <t>ARENILLAS/PUERTO GRANDE/0,00 - 3,39</t>
  </si>
  <si>
    <t>PUERTO GRANDE</t>
  </si>
  <si>
    <t>ARENILLAS/PUERTO GRANDE/10,21 - 13,20</t>
  </si>
  <si>
    <t>ARENILLAS/PUERTO GRANDE/13,21 - 16,59</t>
  </si>
  <si>
    <t>ARENILLAS/PUERTO GRANDE/16,60 - 26,49</t>
  </si>
  <si>
    <t>ARENILLAS/PUERTO GRANDE/3,40 - 5,20</t>
  </si>
  <si>
    <t>ARENILLAS/PUERTO GRANDE/5,21 - 8,25</t>
  </si>
  <si>
    <t>ARENILLAS/PUERTO GRANDE/8,26 - 10,20</t>
  </si>
  <si>
    <t>ARENILLAS/PUERTO GRANDE/mas de 26,49</t>
  </si>
  <si>
    <t>ARENILLAS/PUERTO HUALTACO/0,00 - 3,39</t>
  </si>
  <si>
    <t>PUERTO HUALTACO</t>
  </si>
  <si>
    <t>ARENILLAS/PUERTO HUALTACO/10,21 - 13,20</t>
  </si>
  <si>
    <t>ARENILLAS/PUERTO HUALTACO/13,21 - 16,59</t>
  </si>
  <si>
    <t>ARENILLAS/PUERTO HUALTACO/16,60 - 26,49</t>
  </si>
  <si>
    <t>ARENILLAS/PUERTO HUALTACO/3,40 - 5,20</t>
  </si>
  <si>
    <t>ARENILLAS/PUERTO HUALTACO/5,21 - 8,25</t>
  </si>
  <si>
    <t>ARENILLAS/PUERTO HUALTACO/8,26 - 10,20</t>
  </si>
  <si>
    <t>ARENILLAS/PUERTO HUALTACO/mas de 26,49</t>
  </si>
  <si>
    <t>ARENILLAS/PUERTO INCA/0,00 - 3,39</t>
  </si>
  <si>
    <t>PUERTO INCA</t>
  </si>
  <si>
    <t>ARENILLAS/PUERTO INCA/10,21 - 13,20</t>
  </si>
  <si>
    <t>ARENILLAS/PUERTO INCA/13,21 - 16,59</t>
  </si>
  <si>
    <t>ARENILLAS/PUERTO INCA/16,60 - 26,49</t>
  </si>
  <si>
    <t>ARENILLAS/PUERTO INCA/3,40 - 5,20</t>
  </si>
  <si>
    <t>ARENILLAS/PUERTO INCA/5,21 - 8,25</t>
  </si>
  <si>
    <t>ARENILLAS/PUERTO INCA/8,26 - 10,20</t>
  </si>
  <si>
    <t>ARENILLAS/PUERTO INCA/mas de 26,49</t>
  </si>
  <si>
    <t>ARENILLAS/PUERTO JELI/0,00 - 3,39</t>
  </si>
  <si>
    <t>PUERTO JELI</t>
  </si>
  <si>
    <t>ARENILLAS/PUERTO JELI/10,21 - 13,20</t>
  </si>
  <si>
    <t>ARENILLAS/PUERTO JELI/13,21 - 16,59</t>
  </si>
  <si>
    <t>ARENILLAS/PUERTO JELI/16,60 - 26,49</t>
  </si>
  <si>
    <t>ARENILLAS/PUERTO JELI/3,40 - 5,20</t>
  </si>
  <si>
    <t>ARENILLAS/PUERTO JELI/5,21 - 8,25</t>
  </si>
  <si>
    <t>ARENILLAS/PUERTO JELI/8,26 - 10,20</t>
  </si>
  <si>
    <t>ARENILLAS/PUERTO JELI/mas de 26,49</t>
  </si>
  <si>
    <t>ARENILLAS/PUERTO LOPEZ/0,00 - 3,39</t>
  </si>
  <si>
    <t>PUERTO LOPEZ</t>
  </si>
  <si>
    <t>ARENILLAS/PUERTO LOPEZ/10,21 - 13,20</t>
  </si>
  <si>
    <t>ARENILLAS/PUERTO LOPEZ/13,21 - 16,59</t>
  </si>
  <si>
    <t>ARENILLAS/PUERTO LOPEZ/16,60 - 26,49</t>
  </si>
  <si>
    <t>ARENILLAS/PUERTO LOPEZ/3,40 - 5,20</t>
  </si>
  <si>
    <t>ARENILLAS/PUERTO LOPEZ/5,21 - 8,25</t>
  </si>
  <si>
    <t>ARENILLAS/PUERTO LOPEZ/8,26 - 10,20</t>
  </si>
  <si>
    <t>ARENILLAS/PUERTO LOPEZ/mas de 26,49</t>
  </si>
  <si>
    <t>ARENILLAS/PUERTO PITAHAYA/0,00 - 3,39</t>
  </si>
  <si>
    <t>PUERTO PITAHAYA</t>
  </si>
  <si>
    <t>ARENILLAS/PUERTO PITAHAYA/10,21 - 13,20</t>
  </si>
  <si>
    <t>ARENILLAS/PUERTO PITAHAYA/13,21 - 16,59</t>
  </si>
  <si>
    <t>ARENILLAS/PUERTO PITAHAYA/16,60 - 26,49</t>
  </si>
  <si>
    <t>ARENILLAS/PUERTO PITAHAYA/3,40 - 5,20</t>
  </si>
  <si>
    <t>ARENILLAS/PUERTO PITAHAYA/5,21 - 8,25</t>
  </si>
  <si>
    <t>ARENILLAS/PUERTO PITAHAYA/8,26 - 10,20</t>
  </si>
  <si>
    <t>ARENILLAS/PUERTO PITAHAYA/mas de 26,49</t>
  </si>
  <si>
    <t>ARENILLAS/PUNTA CARNERO/0,00 - 3,39</t>
  </si>
  <si>
    <t>PUNTA CARNERO</t>
  </si>
  <si>
    <t>ARENILLAS/PUNTA CARNERO/10,21 - 13,20</t>
  </si>
  <si>
    <t>ARENILLAS/PUNTA CARNERO/13,21 - 16,59</t>
  </si>
  <si>
    <t>ARENILLAS/PUNTA CARNERO/16,60 - 26,49</t>
  </si>
  <si>
    <t>ARENILLAS/PUNTA CARNERO/3,40 - 5,20</t>
  </si>
  <si>
    <t>ARENILLAS/PUNTA CARNERO/5,21 - 8,25</t>
  </si>
  <si>
    <t>ARENILLAS/PUNTA CARNERO/8,26 - 10,20</t>
  </si>
  <si>
    <t>ARENILLAS/PUNTA CARNERO/mas de 26,49</t>
  </si>
  <si>
    <t>ARENILLAS/ROCAFUERTE/0,00 - 3,39</t>
  </si>
  <si>
    <t>ROCAFUERTE</t>
  </si>
  <si>
    <t>ARENILLAS/ROCAFUERTE/10,21 - 13,20</t>
  </si>
  <si>
    <t>ARENILLAS/ROCAFUERTE/13,21 - 16,59</t>
  </si>
  <si>
    <t>ARENILLAS/ROCAFUERTE/16,60 - 26,49</t>
  </si>
  <si>
    <t>ARENILLAS/ROCAFUERTE/3,40 - 5,20</t>
  </si>
  <si>
    <t>ARENILLAS/ROCAFUERTE/5,21 - 8,25</t>
  </si>
  <si>
    <t>ARENILLAS/ROCAFUERTE/8,26 - 10,20</t>
  </si>
  <si>
    <t>ARENILLAS/ROCAFUERTE/mas de 26,49</t>
  </si>
  <si>
    <t>ARENILLAS/SABANA GRANDE/0,00 - 3,39</t>
  </si>
  <si>
    <t>SABANA GRANDE</t>
  </si>
  <si>
    <t>ARENILLAS/SABANA GRANDE/10,21 - 13,20</t>
  </si>
  <si>
    <t>ARENILLAS/SABANA GRANDE/13,21 - 16,59</t>
  </si>
  <si>
    <t>ARENILLAS/SABANA GRANDE/16,60 - 26,49</t>
  </si>
  <si>
    <t>ARENILLAS/SABANA GRANDE/3,40 - 5,20</t>
  </si>
  <si>
    <t>ARENILLAS/SABANA GRANDE/5,21 - 8,25</t>
  </si>
  <si>
    <t>ARENILLAS/SABANA GRANDE/8,26 - 10,20</t>
  </si>
  <si>
    <t>ARENILLAS/SABANA GRANDE/mas de 26,49</t>
  </si>
  <si>
    <t>ARENILLAS/SAFANDO/0,00 - 3,39</t>
  </si>
  <si>
    <t>SAFANDO</t>
  </si>
  <si>
    <t>ARENILLAS/SAFANDO/10,21 - 13,20</t>
  </si>
  <si>
    <t>ARENILLAS/SAFANDO/13,21 - 16,59</t>
  </si>
  <si>
    <t>ARENILLAS/SAFANDO/16,60 - 26,49</t>
  </si>
  <si>
    <t>ARENILLAS/SAFANDO/3,40 - 5,20</t>
  </si>
  <si>
    <t>ARENILLAS/SAFANDO/5,21 - 8,25</t>
  </si>
  <si>
    <t>ARENILLAS/SAFANDO/8,26 - 10,20</t>
  </si>
  <si>
    <t>ARENILLAS/SAFANDO/mas de 26,49</t>
  </si>
  <si>
    <t>ARENILLAS/SALINAS/0,00 - 3,39</t>
  </si>
  <si>
    <t>SALINAS</t>
  </si>
  <si>
    <t>ARENILLAS/SALINAS/10,21 - 13,20</t>
  </si>
  <si>
    <t>ARENILLAS/SALINAS/13,21 - 16,59</t>
  </si>
  <si>
    <t>ARENILLAS/SALINAS/16,60 - 26,49</t>
  </si>
  <si>
    <t>ARENILLAS/SALINAS/3,40 - 5,20</t>
  </si>
  <si>
    <t>ARENILLAS/SALINAS/5,21 - 8,25</t>
  </si>
  <si>
    <t>ARENILLAS/SALINAS/8,26 - 10,20</t>
  </si>
  <si>
    <t>ARENILLAS/SALINAS/mas de 26,49</t>
  </si>
  <si>
    <t>ARENILLAS/SAN ELOY/0,00 - 3,39</t>
  </si>
  <si>
    <t>SAN ELOY</t>
  </si>
  <si>
    <t>ARENILLAS/SAN ELOY/10,21 - 13,20</t>
  </si>
  <si>
    <t>ARENILLAS/SAN ELOY/13,21 - 16,59</t>
  </si>
  <si>
    <t>ARENILLAS/SAN ELOY/16,60 - 26,49</t>
  </si>
  <si>
    <t>ARENILLAS/SAN ELOY/3,40 - 5,20</t>
  </si>
  <si>
    <t>ARENILLAS/SAN ELOY/5,21 - 8,25</t>
  </si>
  <si>
    <t>ARENILLAS/SAN ELOY/8,26 - 10,20</t>
  </si>
  <si>
    <t>ARENILLAS/SAN ELOY/mas de 26,49</t>
  </si>
  <si>
    <t>ARENILLAS/SAN LORENZO ESMERALDAS/0,00 - 3,39</t>
  </si>
  <si>
    <t>SAN LORENZO ESMERALDAS</t>
  </si>
  <si>
    <t>ARENILLAS/SAN LORENZO ESMERALDAS/10,21 - 13,20</t>
  </si>
  <si>
    <t>ARENILLAS/SAN LORENZO ESMERALDAS/13,21 - 16,59</t>
  </si>
  <si>
    <t>ARENILLAS/SAN LORENZO ESMERALDAS/16,60 - 26,49</t>
  </si>
  <si>
    <t>ARENILLAS/SAN LORENZO ESMERALDAS/3,40 - 5,20</t>
  </si>
  <si>
    <t>ARENILLAS/SAN LORENZO ESMERALDAS/5,21 - 8,25</t>
  </si>
  <si>
    <t>ARENILLAS/SAN LORENZO ESMERALDAS/8,26 - 10,20</t>
  </si>
  <si>
    <t>ARENILLAS/SAN LORENZO ESMERALDAS/mas de 26,49</t>
  </si>
  <si>
    <t>ARENILLAS/SAN LORENZO MANABI/0,00 - 3,39</t>
  </si>
  <si>
    <t>SAN LORENZO MANABI</t>
  </si>
  <si>
    <t>ARENILLAS/SAN LORENZO MANABI/10,21 - 13,20</t>
  </si>
  <si>
    <t>ARENILLAS/SAN LORENZO MANABI/13,21 - 16,59</t>
  </si>
  <si>
    <t>ARENILLAS/SAN LORENZO MANABI/16,60 - 26,49</t>
  </si>
  <si>
    <t>ARENILLAS/SAN LORENZO MANABI/3,40 - 5,20</t>
  </si>
  <si>
    <t>ARENILLAS/SAN LORENZO MANABI/5,21 - 8,25</t>
  </si>
  <si>
    <t>ARENILLAS/SAN LORENZO MANABI/8,26 - 10,20</t>
  </si>
  <si>
    <t>ARENILLAS/SAN LORENZO MANABI/mas de 26,49</t>
  </si>
  <si>
    <t>ARENILLAS/SAN PABLO/0,00 - 3,39</t>
  </si>
  <si>
    <t>SAN PABLO</t>
  </si>
  <si>
    <t>ARENILLAS/SAN PABLO/10,21 - 13,20</t>
  </si>
  <si>
    <t>ARENILLAS/SAN PABLO/13,21 - 16,59</t>
  </si>
  <si>
    <t>ARENILLAS/SAN PABLO/16,60 - 26,49</t>
  </si>
  <si>
    <t>ARENILLAS/SAN PABLO/3,40 - 5,20</t>
  </si>
  <si>
    <t>ARENILLAS/SAN PABLO/5,21 - 8,25</t>
  </si>
  <si>
    <t>ARENILLAS/SAN PABLO/8,26 - 10,20</t>
  </si>
  <si>
    <t>ARENILLAS/SAN PABLO/mas de 26,49</t>
  </si>
  <si>
    <t>ARENILLAS/SAN VICENTE/0,00 - 3,39</t>
  </si>
  <si>
    <t>SAN VICENTE</t>
  </si>
  <si>
    <t>ARENILLAS/SAN VICENTE/10,21 - 13,20</t>
  </si>
  <si>
    <t>ARENILLAS/SAN VICENTE/13,21 - 16,59</t>
  </si>
  <si>
    <t>ARENILLAS/SAN VICENTE/16,60 - 26,49</t>
  </si>
  <si>
    <t>ARENILLAS/SAN VICENTE/3,40 - 5,20</t>
  </si>
  <si>
    <t>ARENILLAS/SAN VICENTE/5,21 - 8,25</t>
  </si>
  <si>
    <t>ARENILLAS/SAN VICENTE/8,26 - 10,20</t>
  </si>
  <si>
    <t>ARENILLAS/SAN VICENTE/mas de 26,49</t>
  </si>
  <si>
    <t>ARENILLAS/SANTA ELENA/0,00 - 3,39</t>
  </si>
  <si>
    <t>SANTA ELENA</t>
  </si>
  <si>
    <t>ARENILLAS/SANTA ELENA/10,21 - 13,20</t>
  </si>
  <si>
    <t>ARENILLAS/SANTA ELENA/13,21 - 16,59</t>
  </si>
  <si>
    <t>ARENILLAS/SANTA ELENA/16,60 - 26,49</t>
  </si>
  <si>
    <t>ARENILLAS/SANTA ELENA/3,40 - 5,20</t>
  </si>
  <si>
    <t>ARENILLAS/SANTA ELENA/5,21 - 8,25</t>
  </si>
  <si>
    <t>ARENILLAS/SANTA ELENA/8,26 - 10,20</t>
  </si>
  <si>
    <t>ARENILLAS/SANTA ELENA/mas de 26,49</t>
  </si>
  <si>
    <t>ARENILLAS/SANTA LUCIA/0,00 - 3,39</t>
  </si>
  <si>
    <t>SANTA LUCIA</t>
  </si>
  <si>
    <t>ARENILLAS/SANTA LUCIA/10,21 - 13,20</t>
  </si>
  <si>
    <t>ARENILLAS/SANTA LUCIA/13,21 - 16,59</t>
  </si>
  <si>
    <t>ARENILLAS/SANTA LUCIA/16,60 - 26,49</t>
  </si>
  <si>
    <t>ARENILLAS/SANTA LUCIA/3,40 - 5,20</t>
  </si>
  <si>
    <t>ARENILLAS/SANTA LUCIA/5,21 - 8,25</t>
  </si>
  <si>
    <t>ARENILLAS/SANTA LUCIA/8,26 - 10,20</t>
  </si>
  <si>
    <t>ARENILLAS/SANTA LUCIA/mas de 26,49</t>
  </si>
  <si>
    <t>ARENILLAS/SANTA ROSA/0,00 - 3,39</t>
  </si>
  <si>
    <t>SANTA ROSA</t>
  </si>
  <si>
    <t>ARENILLAS/SANTA ROSA/10,21 - 13,20</t>
  </si>
  <si>
    <t>ARENILLAS/SANTA ROSA/13,21 - 16,59</t>
  </si>
  <si>
    <t>ARENILLAS/SANTA ROSA/16,60 - 26,49</t>
  </si>
  <si>
    <t>ARENILLAS/SANTA ROSA/3,40 - 5,20</t>
  </si>
  <si>
    <t>ARENILLAS/SANTA ROSA/5,21 - 8,25</t>
  </si>
  <si>
    <t>ARENILLAS/SANTA ROSA/8,26 - 10,20</t>
  </si>
  <si>
    <t>ARENILLAS/SANTA ROSA/mas de 26,49</t>
  </si>
  <si>
    <t>ARENILLAS/SEIS DE JULIO/0,00 - 3,39</t>
  </si>
  <si>
    <t>SEIS DE JULIO</t>
  </si>
  <si>
    <t>ARENILLAS/SEIS DE JULIO/10,21 - 13,20</t>
  </si>
  <si>
    <t>ARENILLAS/SEIS DE JULIO/13,21 - 16,59</t>
  </si>
  <si>
    <t>ARENILLAS/SEIS DE JULIO/16,60 - 26,49</t>
  </si>
  <si>
    <t>ARENILLAS/SEIS DE JULIO/3,40 - 5,20</t>
  </si>
  <si>
    <t>ARENILLAS/SEIS DE JULIO/5,21 - 8,25</t>
  </si>
  <si>
    <t>ARENILLAS/SEIS DE JULIO/8,26 - 10,20</t>
  </si>
  <si>
    <t>ARENILLAS/SEIS DE JULIO/mas de 26,49</t>
  </si>
  <si>
    <t>ARENILLAS/SITIO NUEVO - AYALAN/0,00 - 3,39</t>
  </si>
  <si>
    <t>SITIO NUEVO - AYALAN</t>
  </si>
  <si>
    <t>ARENILLAS/SITIO NUEVO - AYALAN/10,21 - 13,20</t>
  </si>
  <si>
    <t>ARENILLAS/SITIO NUEVO - AYALAN/13,21 - 16,59</t>
  </si>
  <si>
    <t>ARENILLAS/SITIO NUEVO - AYALAN/16,60 - 26,49</t>
  </si>
  <si>
    <t>ARENILLAS/SITIO NUEVO - AYALAN/3,40 - 5,20</t>
  </si>
  <si>
    <t>ARENILLAS/SITIO NUEVO - AYALAN/5,21 - 8,25</t>
  </si>
  <si>
    <t>ARENILLAS/SITIO NUEVO - AYALAN/8,26 - 10,20</t>
  </si>
  <si>
    <t>ARENILLAS/SITIO NUEVO - AYALAN/mas de 26,49</t>
  </si>
  <si>
    <t>ARENILLAS/TAURA/0,00 - 3,39</t>
  </si>
  <si>
    <t>TAURA</t>
  </si>
  <si>
    <t>ARENILLAS/TAURA/10,21 - 13,20</t>
  </si>
  <si>
    <t>ARENILLAS/TAURA/13,21 - 16,59</t>
  </si>
  <si>
    <t>ARENILLAS/TAURA/16,60 - 26,49</t>
  </si>
  <si>
    <t>ARENILLAS/TAURA/3,40 - 5,20</t>
  </si>
  <si>
    <t>ARENILLAS/TAURA/5,21 - 8,25</t>
  </si>
  <si>
    <t>ARENILLAS/TAURA/8,26 - 10,20</t>
  </si>
  <si>
    <t>ARENILLAS/TAURA/mas de 26,49</t>
  </si>
  <si>
    <t>ARENILLAS/TENDALES/0,00 - 3,39</t>
  </si>
  <si>
    <t>TENDALES</t>
  </si>
  <si>
    <t>ARENILLAS/TENDALES/10,21 - 13,20</t>
  </si>
  <si>
    <t>ARENILLAS/TENDALES/13,21 - 16,59</t>
  </si>
  <si>
    <t>ARENILLAS/TENDALES/16,60 - 26,49</t>
  </si>
  <si>
    <t>ARENILLAS/TENDALES/3,40 - 5,20</t>
  </si>
  <si>
    <t>ARENILLAS/TENDALES/5,21 - 8,25</t>
  </si>
  <si>
    <t>ARENILLAS/TENDALES/8,26 - 10,20</t>
  </si>
  <si>
    <t>ARENILLAS/TENDALES/mas de 26,49</t>
  </si>
  <si>
    <t>ARENILLAS/TENGUEL/0,00 - 3,39</t>
  </si>
  <si>
    <t>TENGUEL</t>
  </si>
  <si>
    <t>ARENILLAS/TENGUEL/10,21 - 13,20</t>
  </si>
  <si>
    <t>ARENILLAS/TENGUEL/13,21 - 16,59</t>
  </si>
  <si>
    <t>ARENILLAS/TENGUEL/16,60 - 26,49</t>
  </si>
  <si>
    <t>ARENILLAS/TENGUEL/3,40 - 5,20</t>
  </si>
  <si>
    <t>ARENILLAS/TENGUEL/5,21 - 8,25</t>
  </si>
  <si>
    <t>ARENILLAS/TENGUEL/8,26 - 10,20</t>
  </si>
  <si>
    <t>ARENILLAS/TENGUEL/mas de 26,49</t>
  </si>
  <si>
    <t>ARENILLAS/TONGUICHE/0,00 - 3,39</t>
  </si>
  <si>
    <t>TONGUICHE</t>
  </si>
  <si>
    <t>ARENILLAS/TONGUICHE/10,21 - 13,20</t>
  </si>
  <si>
    <t>ARENILLAS/TONGUICHE/13,21 - 16,59</t>
  </si>
  <si>
    <t>ARENILLAS/TONGUICHE/16,60 - 26,49</t>
  </si>
  <si>
    <t>ARENILLAS/TONGUICHE/3,40 - 5,20</t>
  </si>
  <si>
    <t>ARENILLAS/TONGUICHE/5,21 - 8,25</t>
  </si>
  <si>
    <t>ARENILLAS/TONGUICHE/8,26 - 10,20</t>
  </si>
  <si>
    <t>ARENILLAS/TONGUICHE/mas de 26,49</t>
  </si>
  <si>
    <t>ARENILLAS/TOSAGUA/0,00 - 3,39</t>
  </si>
  <si>
    <t>TOSAGUA</t>
  </si>
  <si>
    <t>ARENILLAS/TOSAGUA/10,21 - 13,20</t>
  </si>
  <si>
    <t>ARENILLAS/TOSAGUA/13,21 - 16,59</t>
  </si>
  <si>
    <t>ARENILLAS/TOSAGUA/16,60 - 26,49</t>
  </si>
  <si>
    <t>ARENILLAS/TOSAGUA/3,40 - 5,20</t>
  </si>
  <si>
    <t>ARENILLAS/TOSAGUA/5,21 - 8,25</t>
  </si>
  <si>
    <t>ARENILLAS/TOSAGUA/8,26 - 10,20</t>
  </si>
  <si>
    <t>ARENILLAS/TOSAGUA/mas de 26,49</t>
  </si>
  <si>
    <t>ARENILLAS/VILLA NUEVA ALAMOS/0,00 - 3,39</t>
  </si>
  <si>
    <t>VILLA NUEVA ALAMOS</t>
  </si>
  <si>
    <t>ARENILLAS/VILLA NUEVA ALAMOS/10,21 - 13,20</t>
  </si>
  <si>
    <t>ARENILLAS/VILLA NUEVA ALAMOS/13,21 - 16,59</t>
  </si>
  <si>
    <t>ARENILLAS/VILLA NUEVA ALAMOS/16,60 - 26,49</t>
  </si>
  <si>
    <t>ARENILLAS/VILLA NUEVA ALAMOS/3,40 - 5,20</t>
  </si>
  <si>
    <t>ARENILLAS/VILLA NUEVA ALAMOS/5,21 - 8,25</t>
  </si>
  <si>
    <t>ARENILLAS/VILLA NUEVA ALAMOS/8,26 - 10,20</t>
  </si>
  <si>
    <t>ARENILLAS/VILLA NUEVA ALAMOS/mas de 26,49</t>
  </si>
  <si>
    <t>ARENILLAS/VUELTA LARGA - TAURA/0,00 - 3,39</t>
  </si>
  <si>
    <t>VUELTA LARGA - TAURA</t>
  </si>
  <si>
    <t>ARENILLAS/VUELTA LARGA - TAURA/10,21 - 13,20</t>
  </si>
  <si>
    <t>ARENILLAS/VUELTA LARGA - TAURA/13,21 - 16,59</t>
  </si>
  <si>
    <t>ARENILLAS/VUELTA LARGA - TAURA/16,60 - 26,49</t>
  </si>
  <si>
    <t>ARENILLAS/VUELTA LARGA - TAURA/3,40 - 5,20</t>
  </si>
  <si>
    <t>ARENILLAS/VUELTA LARGA - TAURA/5,21 - 8,25</t>
  </si>
  <si>
    <t>ARENILLAS/VUELTA LARGA - TAURA/8,26 - 10,20</t>
  </si>
  <si>
    <t>ARENILLAS/VUELTA LARGA - TAURA/mas de 26,49</t>
  </si>
  <si>
    <t>ARENILLAS/YAGUACHI/0,00 - 3,39</t>
  </si>
  <si>
    <t>YAGUACHI</t>
  </si>
  <si>
    <t>ARENILLAS/YAGUACHI/10,21 - 13,20</t>
  </si>
  <si>
    <t>ARENILLAS/YAGUACHI/13,21 - 16,59</t>
  </si>
  <si>
    <t>ARENILLAS/YAGUACHI/16,60 - 26,49</t>
  </si>
  <si>
    <t>ARENILLAS/YAGUACHI/3,40 - 5,20</t>
  </si>
  <si>
    <t>ARENILLAS/YAGUACHI/5,21 - 8,25</t>
  </si>
  <si>
    <t>ARENILLAS/YAGUACHI/8,26 - 10,20</t>
  </si>
  <si>
    <t>ARENILLAS/YAGUACHI/mas de 26,49</t>
  </si>
  <si>
    <t>AVIPAZ/DURAN/0,00 - 3,39</t>
  </si>
  <si>
    <t>AVIPAZ</t>
  </si>
  <si>
    <t>AVIPAZ/DURAN/10,21 - 13,20</t>
  </si>
  <si>
    <t>AVIPAZ/DURAN/13,21 - 16,59</t>
  </si>
  <si>
    <t>AVIPAZ/DURAN/16,60 - 26,49</t>
  </si>
  <si>
    <t>AVIPAZ/DURAN/3,40 - 5,20</t>
  </si>
  <si>
    <t>AVIPAZ/DURAN/5,21 - 8,25</t>
  </si>
  <si>
    <t>AVIPAZ/DURAN/8,26 - 10,20</t>
  </si>
  <si>
    <t>AVIPAZ/DURAN/mas de 26,49</t>
  </si>
  <si>
    <t>AVIPAZ/GUAYAQUIL/0,00 - 3,39</t>
  </si>
  <si>
    <t>AVIPAZ/GUAYAQUIL/10,21 - 13,20</t>
  </si>
  <si>
    <t>AVIPAZ/GUAYAQUIL/13,21 - 16,59</t>
  </si>
  <si>
    <t>AVIPAZ/GUAYAQUIL/16,60 - 26,49</t>
  </si>
  <si>
    <t>AVIPAZ/GUAYAQUIL/3,40 - 5,20</t>
  </si>
  <si>
    <t>AVIPAZ/GUAYAQUIL/5,21 - 8,25</t>
  </si>
  <si>
    <t>AVIPAZ/GUAYAQUIL/8,26 - 10,20</t>
  </si>
  <si>
    <t>AVIPAZ/GUAYAQUIL/mas de 26,49</t>
  </si>
  <si>
    <t>DURAN /PUERTO BOLIVAR/0,00 - 3,39</t>
  </si>
  <si>
    <t xml:space="preserve">DURAN </t>
  </si>
  <si>
    <t>DURAN /PUERTO BOLIVAR/10,21 - 13,20</t>
  </si>
  <si>
    <t>DURAN /PUERTO BOLIVAR/13,21 - 16,59</t>
  </si>
  <si>
    <t>DURAN /PUERTO BOLIVAR/16,60 - 26,49</t>
  </si>
  <si>
    <t>DURAN /PUERTO BOLIVAR/3,40 - 5,20</t>
  </si>
  <si>
    <t>DURAN /PUERTO BOLIVAR/5,21 - 8,25</t>
  </si>
  <si>
    <t>DURAN /PUERTO BOLIVAR/8,26 - 10,20</t>
  </si>
  <si>
    <t>DURAN /PUERTO BOLIVAR/mas de 26,49</t>
  </si>
  <si>
    <t>DURAN/AGROGRULED (VIA JUJAN)/0,00 - 3,39</t>
  </si>
  <si>
    <t>DURAN/AGROGRULED (VIA JUJAN)/10,21 - 13,20</t>
  </si>
  <si>
    <t>DURAN/AGROGRULED (VIA JUJAN)/13,21 - 16,59</t>
  </si>
  <si>
    <t>DURAN/AGROGRULED (VIA JUJAN)/16,60 - 26,49</t>
  </si>
  <si>
    <t>DURAN/AGROGRULED (VIA JUJAN)/3,40 - 5,20</t>
  </si>
  <si>
    <t>DURAN/AGROGRULED (VIA JUJAN)/5,21 - 8,25</t>
  </si>
  <si>
    <t>DURAN/AGROGRULED (VIA JUJAN)/8,26 - 10,20</t>
  </si>
  <si>
    <t>DURAN/AGROGRULED (VIA JUJAN)/mas de 26,49</t>
  </si>
  <si>
    <t>DURAN/ANCONCITO/0,00 - 3,39</t>
  </si>
  <si>
    <t>DURAN/ANCONCITO/10,21 - 13,20</t>
  </si>
  <si>
    <t>DURAN/ANCONCITO/13,21 - 16,59</t>
  </si>
  <si>
    <t>DURAN/ANCONCITO/16,60 - 26,49</t>
  </si>
  <si>
    <t>DURAN/ANCONCITO/3,40 - 5,20</t>
  </si>
  <si>
    <t>DURAN/ANCONCITO/5,21 - 8,25</t>
  </si>
  <si>
    <t>DURAN/ANCONCITO/8,26 - 10,20</t>
  </si>
  <si>
    <t>DURAN/ANCONCITO/mas de 26,49</t>
  </si>
  <si>
    <t>DURAN/ARENILLAS/0,00 - 3,39</t>
  </si>
  <si>
    <t>DURAN/ARENILLAS/10,21 - 13,20</t>
  </si>
  <si>
    <t>DURAN/ARENILLAS/13,21 - 16,59</t>
  </si>
  <si>
    <t>DURAN/ARENILLAS/16,60 - 26,49</t>
  </si>
  <si>
    <t>DURAN/ARENILLAS/3,40 - 5,20</t>
  </si>
  <si>
    <t>DURAN/ARENILLAS/5,21 - 8,25</t>
  </si>
  <si>
    <t>DURAN/ARENILLAS/8,26 - 10,20</t>
  </si>
  <si>
    <t>DURAN/ARENILLAS/mas de 26,49</t>
  </si>
  <si>
    <t>DURAN/ATACAMES/0,00 - 3,39</t>
  </si>
  <si>
    <t>DURAN/ATACAMES/10,21 - 13,20</t>
  </si>
  <si>
    <t>DURAN/ATACAMES/13,21 - 16,59</t>
  </si>
  <si>
    <t>DURAN/ATACAMES/16,60 - 26,49</t>
  </si>
  <si>
    <t>DURAN/ATACAMES/3,40 - 5,20</t>
  </si>
  <si>
    <t>DURAN/ATACAMES/5,21 - 8,25</t>
  </si>
  <si>
    <t>DURAN/ATACAMES/8,26 - 10,20</t>
  </si>
  <si>
    <t>DURAN/ATACAMES/mas de 26,49</t>
  </si>
  <si>
    <t>DURAN/AVIPAZ/0,00 - 3,39</t>
  </si>
  <si>
    <t>DURAN/AVIPAZ/10,21 - 13,20</t>
  </si>
  <si>
    <t>DURAN/AVIPAZ/13,21 - 16,59</t>
  </si>
  <si>
    <t>DURAN/AVIPAZ/16,60 - 26,49</t>
  </si>
  <si>
    <t>DURAN/AVIPAZ/3,40 - 5,20</t>
  </si>
  <si>
    <t>DURAN/AVIPAZ/5,21 - 8,25</t>
  </si>
  <si>
    <t>DURAN/AVIPAZ/8,26 - 10,20</t>
  </si>
  <si>
    <t>DURAN/AVIPAZ/mas de 26,49</t>
  </si>
  <si>
    <t>DURAN/AYALAN/0,00 - 3,39</t>
  </si>
  <si>
    <t>DURAN/AYALAN/10,21 - 13,20</t>
  </si>
  <si>
    <t>DURAN/AYALAN/13,21 - 16,59</t>
  </si>
  <si>
    <t>DURAN/AYALAN/16,60 - 26,49</t>
  </si>
  <si>
    <t>DURAN/AYALAN/3,40 - 5,20</t>
  </si>
  <si>
    <t>DURAN/AYALAN/5,21 - 8,25</t>
  </si>
  <si>
    <t>DURAN/AYALAN/8,26 - 10,20</t>
  </si>
  <si>
    <t>DURAN/AYALAN/mas de 26,49</t>
  </si>
  <si>
    <t>DURAN/AYANGUE/0,00 - 3,39</t>
  </si>
  <si>
    <t>DURAN/AYANGUE/10,21 - 13,20</t>
  </si>
  <si>
    <t>DURAN/AYANGUE/13,21 - 16,59</t>
  </si>
  <si>
    <t>DURAN/AYANGUE/16,60 - 26,49</t>
  </si>
  <si>
    <t>DURAN/AYANGUE/3,40 - 5,20</t>
  </si>
  <si>
    <t>DURAN/AYANGUE/5,21 - 8,25</t>
  </si>
  <si>
    <t>DURAN/AYANGUE/8,26 - 10,20</t>
  </si>
  <si>
    <t>DURAN/AYANGUE/mas de 26,49</t>
  </si>
  <si>
    <t>DURAN/BAHIA/0,00 - 3,39</t>
  </si>
  <si>
    <t>DURAN/BAHIA/10,21 - 13,20</t>
  </si>
  <si>
    <t>DURAN/BAHIA/13,21 - 16,59</t>
  </si>
  <si>
    <t>DURAN/BAHIA/16,60 - 26,49</t>
  </si>
  <si>
    <t>DURAN/BAHIA/3,40 - 5,20</t>
  </si>
  <si>
    <t>DURAN/BAHIA/5,21 - 8,25</t>
  </si>
  <si>
    <t>DURAN/BAHIA/8,26 - 10,20</t>
  </si>
  <si>
    <t>DURAN/BAHIA/mas de 26,49</t>
  </si>
  <si>
    <t>DURAN/BAJO ALTO/0,00 - 3,39</t>
  </si>
  <si>
    <t>DURAN/BAJO ALTO/10,21 - 13,20</t>
  </si>
  <si>
    <t>DURAN/BAJO ALTO/13,21 - 16,59</t>
  </si>
  <si>
    <t>DURAN/BAJO ALTO/16,60 - 26,49</t>
  </si>
  <si>
    <t>DURAN/BAJO ALTO/3,40 - 5,20</t>
  </si>
  <si>
    <t>DURAN/BAJO ALTO/5,21 - 8,25</t>
  </si>
  <si>
    <t>DURAN/BAJO ALTO/8,26 - 10,20</t>
  </si>
  <si>
    <t>DURAN/BAJO ALTO/mas de 26,49</t>
  </si>
  <si>
    <t>DURAN/BALAO/0,00 - 3,39</t>
  </si>
  <si>
    <t>DURAN/BALAO/10,21 - 13,20</t>
  </si>
  <si>
    <t>DURAN/BALAO/13,21 - 16,59</t>
  </si>
  <si>
    <t>DURAN/BALAO/16,60 - 26,49</t>
  </si>
  <si>
    <t>DURAN/BALAO/3,40 - 5,20</t>
  </si>
  <si>
    <t>DURAN/BALAO/5,21 - 8,25</t>
  </si>
  <si>
    <t>DURAN/BALAO/8,26 - 10,20</t>
  </si>
  <si>
    <t>DURAN/BALAO/mas de 26,49</t>
  </si>
  <si>
    <t>DURAN/BALOSA/0,00 - 3,39</t>
  </si>
  <si>
    <t>DURAN/BALOSA/10,21 - 13,20</t>
  </si>
  <si>
    <t>DURAN/BALOSA/13,21 - 16,59</t>
  </si>
  <si>
    <t>DURAN/BALOSA/16,60 - 26,49</t>
  </si>
  <si>
    <t>DURAN/BALOSA/3,40 - 5,20</t>
  </si>
  <si>
    <t>DURAN/BALOSA/5,21 - 8,25</t>
  </si>
  <si>
    <t>DURAN/BALOSA/8,26 - 10,20</t>
  </si>
  <si>
    <t>DURAN/BALOSA/mas de 26,49</t>
  </si>
  <si>
    <t>DURAN/BARBONES/0,00 - 3,39</t>
  </si>
  <si>
    <t>DURAN/BARBONES/10,21 - 13,20</t>
  </si>
  <si>
    <t>DURAN/BARBONES/13,21 - 16,59</t>
  </si>
  <si>
    <t>DURAN/BARBONES/16,60 - 26,49</t>
  </si>
  <si>
    <t>DURAN/BARBONES/3,40 - 5,20</t>
  </si>
  <si>
    <t>DURAN/BARBONES/5,21 - 8,25</t>
  </si>
  <si>
    <t>DURAN/BARBONES/8,26 - 10,20</t>
  </si>
  <si>
    <t>DURAN/BARBONES/mas de 26,49</t>
  </si>
  <si>
    <t>DURAN/BOCA DE BRISEÑO/0,00 - 3,39</t>
  </si>
  <si>
    <t>DURAN/BOCA DE BRISEÑO/10,21 - 13,20</t>
  </si>
  <si>
    <t>DURAN/BOCA DE BRISEÑO/13,21 - 16,59</t>
  </si>
  <si>
    <t>DURAN/BOCA DE BRISEÑO/16,60 - 26,49</t>
  </si>
  <si>
    <t>DURAN/BOCA DE BRISEÑO/3,40 - 5,20</t>
  </si>
  <si>
    <t>DURAN/BOCA DE BRISEÑO/5,21 - 8,25</t>
  </si>
  <si>
    <t>DURAN/BOCA DE BRISEÑO/8,26 - 10,20</t>
  </si>
  <si>
    <t>DURAN/BOCA DE BRISEÑO/mas de 26,49</t>
  </si>
  <si>
    <t>DURAN/BOLA DE ORO/0,00 - 3,39</t>
  </si>
  <si>
    <t>DURAN/BOLA DE ORO/10,21 - 13,20</t>
  </si>
  <si>
    <t>DURAN/BOLA DE ORO/13,21 - 16,59</t>
  </si>
  <si>
    <t>DURAN/BOLA DE ORO/16,60 - 26,49</t>
  </si>
  <si>
    <t>DURAN/BOLA DE ORO/3,40 - 5,20</t>
  </si>
  <si>
    <t>DURAN/BOLA DE ORO/5,21 - 8,25</t>
  </si>
  <si>
    <t>DURAN/BOLA DE ORO/8,26 - 10,20</t>
  </si>
  <si>
    <t>DURAN/BOLA DE ORO/mas de 26,49</t>
  </si>
  <si>
    <t>DURAN/BORBON/0,00 - 3,39</t>
  </si>
  <si>
    <t>DURAN/BORBON/10,21 - 13,20</t>
  </si>
  <si>
    <t>DURAN/BORBON/13,21 - 16,59</t>
  </si>
  <si>
    <t>DURAN/BORBON/16,60 - 26,49</t>
  </si>
  <si>
    <t>DURAN/BORBON/3,40 - 5,20</t>
  </si>
  <si>
    <t>DURAN/BORBON/5,21 - 8,25</t>
  </si>
  <si>
    <t>DURAN/BORBON/8,26 - 10,20</t>
  </si>
  <si>
    <t>DURAN/BORBON/mas de 26,49</t>
  </si>
  <si>
    <t>DURAN/CAMDELICIAS/0,00 - 3,39</t>
  </si>
  <si>
    <t>CAMDELICIAS</t>
  </si>
  <si>
    <t>DURAN/CAMDELICIAS/10,21 - 13,20</t>
  </si>
  <si>
    <t>DURAN/CAMDELICIAS/13,21 - 16,59</t>
  </si>
  <si>
    <t>DURAN/CAMDELICIAS/16,60 - 26,49</t>
  </si>
  <si>
    <t>DURAN/CAMDELICIAS/3,40 - 5,20</t>
  </si>
  <si>
    <t>DURAN/CAMDELICIAS/5,21 - 8,25</t>
  </si>
  <si>
    <t>DURAN/CAMDELICIAS/8,26 - 10,20</t>
  </si>
  <si>
    <t>DURAN/CAMDELICIAS/mas de 26,49</t>
  </si>
  <si>
    <t>DURAN/CANOA/0,00 - 3,39</t>
  </si>
  <si>
    <t>DURAN/CANOA/10,21 - 13,20</t>
  </si>
  <si>
    <t>DURAN/CANOA/13,21 - 16,59</t>
  </si>
  <si>
    <t>DURAN/CANOA/16,60 - 26,49</t>
  </si>
  <si>
    <t>DURAN/CANOA/3,40 - 5,20</t>
  </si>
  <si>
    <t>DURAN/CANOA/5,21 - 8,25</t>
  </si>
  <si>
    <t>DURAN/CANOA/8,26 - 10,20</t>
  </si>
  <si>
    <t>DURAN/CANOA/mas de 26,49</t>
  </si>
  <si>
    <t>DURAN/CERECITA/0,00 - 3,39</t>
  </si>
  <si>
    <t>DURAN/CERECITA/10,21 - 13,20</t>
  </si>
  <si>
    <t>DURAN/CERECITA/13,21 - 16,59</t>
  </si>
  <si>
    <t>DURAN/CERECITA/16,60 - 26,49</t>
  </si>
  <si>
    <t>DURAN/CERECITA/3,40 - 5,20</t>
  </si>
  <si>
    <t>DURAN/CERECITA/5,21 - 8,25</t>
  </si>
  <si>
    <t>DURAN/CERECITA/8,26 - 10,20</t>
  </si>
  <si>
    <t>DURAN/CERECITA/mas de 26,49</t>
  </si>
  <si>
    <t>DURAN/CHANDUY/0,00 - 3,39</t>
  </si>
  <si>
    <t>DURAN/CHANDUY/10,21 - 13,20</t>
  </si>
  <si>
    <t>DURAN/CHANDUY/13,21 - 16,59</t>
  </si>
  <si>
    <t>DURAN/CHANDUY/16,60 - 26,49</t>
  </si>
  <si>
    <t>DURAN/CHANDUY/3,40 - 5,20</t>
  </si>
  <si>
    <t>DURAN/CHANDUY/5,21 - 8,25</t>
  </si>
  <si>
    <t>DURAN/CHANDUY/8,26 - 10,20</t>
  </si>
  <si>
    <t>DURAN/CHANDUY/mas de 26,49</t>
  </si>
  <si>
    <t>DURAN/CHONE/0,00 - 3,39</t>
  </si>
  <si>
    <t>DURAN/CHONE/10,21 - 13,20</t>
  </si>
  <si>
    <t>DURAN/CHONE/13,21 - 16,59</t>
  </si>
  <si>
    <t>DURAN/CHONE/16,60 - 26,49</t>
  </si>
  <si>
    <t>DURAN/CHONE/3,40 - 5,20</t>
  </si>
  <si>
    <t>DURAN/CHONE/5,21 - 8,25</t>
  </si>
  <si>
    <t>DURAN/CHONE/8,26 - 10,20</t>
  </si>
  <si>
    <t>DURAN/CHONE/mas de 26,49</t>
  </si>
  <si>
    <t>DURAN/CHONGON/0,00 - 3,39</t>
  </si>
  <si>
    <t>DURAN/CHONGON/10,21 - 13,20</t>
  </si>
  <si>
    <t>DURAN/CHONGON/13,21 - 16,59</t>
  </si>
  <si>
    <t>DURAN/CHONGON/16,60 - 26,49</t>
  </si>
  <si>
    <t>DURAN/CHONGON/3,40 - 5,20</t>
  </si>
  <si>
    <t>DURAN/CHONGON/5,21 - 8,25</t>
  </si>
  <si>
    <t>DURAN/CHONGON/8,26 - 10,20</t>
  </si>
  <si>
    <t>DURAN/CHONGON/mas de 26,49</t>
  </si>
  <si>
    <t>DURAN/CHURUTE/0,00 - 3,39</t>
  </si>
  <si>
    <t>DURAN/CHURUTE/10,21 - 13,20</t>
  </si>
  <si>
    <t>DURAN/CHURUTE/13,21 - 16,59</t>
  </si>
  <si>
    <t>DURAN/CHURUTE/16,60 - 26,49</t>
  </si>
  <si>
    <t>DURAN/CHURUTE/3,40 - 5,20</t>
  </si>
  <si>
    <t>DURAN/CHURUTE/5,21 - 8,25</t>
  </si>
  <si>
    <t>DURAN/CHURUTE/8,26 - 10,20</t>
  </si>
  <si>
    <t>DURAN/CHURUTE/mas de 26,49</t>
  </si>
  <si>
    <t>DURAN/CIEN FAMILIAS /0,00 - 3,39</t>
  </si>
  <si>
    <t xml:space="preserve">CIEN FAMILIAS </t>
  </si>
  <si>
    <t>DURAN/CIEN FAMILIAS /10,21 - 13,20</t>
  </si>
  <si>
    <t>DURAN/CIEN FAMILIAS /13,21 - 16,59</t>
  </si>
  <si>
    <t>DURAN/CIEN FAMILIAS /16,60 - 26,49</t>
  </si>
  <si>
    <t>DURAN/CIEN FAMILIAS /3,40 - 5,20</t>
  </si>
  <si>
    <t>DURAN/CIEN FAMILIAS /5,21 - 8,25</t>
  </si>
  <si>
    <t>DURAN/CIEN FAMILIAS /8,26 - 10,20</t>
  </si>
  <si>
    <t>DURAN/CIEN FAMILIAS /mas de 26,49</t>
  </si>
  <si>
    <t>DURAN/CIEN FAMILIAS/0,00 - 3,39</t>
  </si>
  <si>
    <t>DURAN/CIEN FAMILIAS/10,21 - 13,20</t>
  </si>
  <si>
    <t>DURAN/CIEN FAMILIAS/13,21 - 16,59</t>
  </si>
  <si>
    <t>DURAN/CIEN FAMILIAS/16,60 - 26,49</t>
  </si>
  <si>
    <t>DURAN/CIEN FAMILIAS/3,40 - 5,20</t>
  </si>
  <si>
    <t>DURAN/CIEN FAMILIAS/5,21 - 8,25</t>
  </si>
  <si>
    <t>DURAN/CIEN FAMILIAS/8,26 - 10,20</t>
  </si>
  <si>
    <t>DURAN/CIEN FAMILIAS/mas de 26,49</t>
  </si>
  <si>
    <t>DURAN/COJIMIES/0,00 - 3,39</t>
  </si>
  <si>
    <t>DURAN/COJIMIES/10,21 - 13,20</t>
  </si>
  <si>
    <t>DURAN/COJIMIES/13,21 - 16,59</t>
  </si>
  <si>
    <t>DURAN/COJIMIES/16,60 - 26,49</t>
  </si>
  <si>
    <t>DURAN/COJIMIES/3,40 - 5,20</t>
  </si>
  <si>
    <t>DURAN/COJIMIES/5,21 - 8,25</t>
  </si>
  <si>
    <t>DURAN/COJIMIES/8,26 - 10,20</t>
  </si>
  <si>
    <t>DURAN/COJIMIES/mas de 26,49</t>
  </si>
  <si>
    <t>DURAN/DAULAR/0,00 - 3,39</t>
  </si>
  <si>
    <t>DURAN/DAULAR/10,21 - 13,20</t>
  </si>
  <si>
    <t>DURAN/DAULAR/13,21 - 16,59</t>
  </si>
  <si>
    <t>DURAN/DAULAR/16,60 - 26,49</t>
  </si>
  <si>
    <t>DURAN/DAULAR/3,40 - 5,20</t>
  </si>
  <si>
    <t>DURAN/DAULAR/5,21 - 8,25</t>
  </si>
  <si>
    <t>DURAN/DAULAR/8,26 - 10,20</t>
  </si>
  <si>
    <t>DURAN/DAULAR/mas de 26,49</t>
  </si>
  <si>
    <t>DURAN/DAULE/0,00 - 3,39</t>
  </si>
  <si>
    <t>DURAN/DAULE/10,21 - 13,20</t>
  </si>
  <si>
    <t>DURAN/DAULE/13,21 - 16,59</t>
  </si>
  <si>
    <t>DURAN/DAULE/16,60 - 26,49</t>
  </si>
  <si>
    <t>DURAN/DAULE/3,40 - 5,20</t>
  </si>
  <si>
    <t>DURAN/DAULE/5,21 - 8,25</t>
  </si>
  <si>
    <t>DURAN/DAULE/8,26 - 10,20</t>
  </si>
  <si>
    <t>DURAN/DAULE/mas de 26,49</t>
  </si>
  <si>
    <t>DURAN/DURAN/0,00 - 3,39</t>
  </si>
  <si>
    <t>DURAN/DURAN/10,21 - 13,20</t>
  </si>
  <si>
    <t>DURAN/DURAN/13,21 - 16,59</t>
  </si>
  <si>
    <t>DURAN/DURAN/16,60 - 26,49</t>
  </si>
  <si>
    <t>DURAN/DURAN/3,40 - 5,20</t>
  </si>
  <si>
    <t>DURAN/DURAN/5,21 - 8,25</t>
  </si>
  <si>
    <t>DURAN/DURAN/8,26 - 10,20</t>
  </si>
  <si>
    <t>DURAN/DURAN/mas de 26,49</t>
  </si>
  <si>
    <t>DURAN/EL MANGO/0,00 - 3,39</t>
  </si>
  <si>
    <t>DURAN/EL MANGO/10,21 - 13,20</t>
  </si>
  <si>
    <t>DURAN/EL MANGO/13,21 - 16,59</t>
  </si>
  <si>
    <t>DURAN/EL MANGO/16,60 - 26,49</t>
  </si>
  <si>
    <t>DURAN/EL MANGO/3,40 - 5,20</t>
  </si>
  <si>
    <t>DURAN/EL MANGO/5,21 - 8,25</t>
  </si>
  <si>
    <t>DURAN/EL MANGO/8,26 - 10,20</t>
  </si>
  <si>
    <t>DURAN/EL MANGO/mas de 26,49</t>
  </si>
  <si>
    <t>DURAN/EL MORRO/0,00 - 3,39</t>
  </si>
  <si>
    <t>DURAN/EL MORRO/10,21 - 13,20</t>
  </si>
  <si>
    <t>DURAN/EL MORRO/13,21 - 16,59</t>
  </si>
  <si>
    <t>DURAN/EL MORRO/16,60 - 26,49</t>
  </si>
  <si>
    <t>DURAN/EL MORRO/3,40 - 5,20</t>
  </si>
  <si>
    <t>DURAN/EL MORRO/5,21 - 8,25</t>
  </si>
  <si>
    <t>DURAN/EL MORRO/8,26 - 10,20</t>
  </si>
  <si>
    <t>DURAN/EL MORRO/mas de 26,49</t>
  </si>
  <si>
    <t>DURAN/EL RETIRO/0,00 - 3,39</t>
  </si>
  <si>
    <t>DURAN/EL RETIRO/10,21 - 13,20</t>
  </si>
  <si>
    <t>DURAN/EL RETIRO/13,21 - 16,59</t>
  </si>
  <si>
    <t>DURAN/EL RETIRO/16,60 - 26,49</t>
  </si>
  <si>
    <t>DURAN/EL RETIRO/3,40 - 5,20</t>
  </si>
  <si>
    <t>DURAN/EL RETIRO/5,21 - 8,25</t>
  </si>
  <si>
    <t>DURAN/EL RETIRO/8,26 - 10,20</t>
  </si>
  <si>
    <t>DURAN/EL RETIRO/mas de 26,49</t>
  </si>
  <si>
    <t>DURAN/ENGABAO/0,00 - 3,39</t>
  </si>
  <si>
    <t>DURAN/ENGABAO/10,21 - 13,20</t>
  </si>
  <si>
    <t>DURAN/ENGABAO/13,21 - 16,59</t>
  </si>
  <si>
    <t>DURAN/ENGABAO/16,60 - 26,49</t>
  </si>
  <si>
    <t>DURAN/ENGABAO/3,40 - 5,20</t>
  </si>
  <si>
    <t>DURAN/ENGABAO/5,21 - 8,25</t>
  </si>
  <si>
    <t>DURAN/ENGABAO/8,26 - 10,20</t>
  </si>
  <si>
    <t>DURAN/ENGABAO/mas de 26,49</t>
  </si>
  <si>
    <t>DURAN/ENGUNGA/0,00 - 3,39</t>
  </si>
  <si>
    <t>DURAN/ENGUNGA/10,21 - 13,20</t>
  </si>
  <si>
    <t>DURAN/ENGUNGA/13,21 - 16,59</t>
  </si>
  <si>
    <t>DURAN/ENGUNGA/16,60 - 26,49</t>
  </si>
  <si>
    <t>DURAN/ENGUNGA/3,40 - 5,20</t>
  </si>
  <si>
    <t>DURAN/ENGUNGA/5,21 - 8,25</t>
  </si>
  <si>
    <t>DURAN/ENGUNGA/8,26 - 10,20</t>
  </si>
  <si>
    <t>DURAN/ENGUNGA/mas de 26,49</t>
  </si>
  <si>
    <t>DURAN/ESMERALDAS/0,00 - 3,39</t>
  </si>
  <si>
    <t>DURAN/ESMERALDAS/10,21 - 13,20</t>
  </si>
  <si>
    <t>DURAN/ESMERALDAS/13,21 - 16,59</t>
  </si>
  <si>
    <t>DURAN/ESMERALDAS/16,60 - 26,49</t>
  </si>
  <si>
    <t>DURAN/ESMERALDAS/3,40 - 5,20</t>
  </si>
  <si>
    <t>DURAN/ESMERALDAS/5,21 - 8,25</t>
  </si>
  <si>
    <t>DURAN/ESMERALDAS/8,26 - 10,20</t>
  </si>
  <si>
    <t>DURAN/ESMERALDAS/mas de 26,49</t>
  </si>
  <si>
    <t>DURAN/FLAVIO ALFARO/0,00 - 3,39</t>
  </si>
  <si>
    <t>DURAN/FLAVIO ALFARO/10,21 - 13,20</t>
  </si>
  <si>
    <t>DURAN/FLAVIO ALFARO/13,21 - 16,59</t>
  </si>
  <si>
    <t>DURAN/FLAVIO ALFARO/16,60 - 26,49</t>
  </si>
  <si>
    <t>DURAN/FLAVIO ALFARO/3,40 - 5,20</t>
  </si>
  <si>
    <t>DURAN/FLAVIO ALFARO/5,21 - 8,25</t>
  </si>
  <si>
    <t>DURAN/FLAVIO ALFARO/8,26 - 10,20</t>
  </si>
  <si>
    <t>DURAN/FLAVIO ALFARO/mas de 26,49</t>
  </si>
  <si>
    <t>DURAN/GUAYAQUIL/0,00 - 3,39</t>
  </si>
  <si>
    <t>DURAN/GUAYAQUIL/10,21 - 13,20</t>
  </si>
  <si>
    <t>DURAN/GUAYAQUIL/13,21 - 16,59</t>
  </si>
  <si>
    <t>DURAN/GUAYAQUIL/16,60 - 26,49</t>
  </si>
  <si>
    <t>DURAN/GUAYAQUIL/3,40 - 5,20</t>
  </si>
  <si>
    <t>DURAN/GUAYAQUIL/5,21 - 8,25</t>
  </si>
  <si>
    <t>DURAN/GUAYAQUIL/8,26 - 10,20</t>
  </si>
  <si>
    <t>DURAN/GUAYAQUIL/mas de 26,49</t>
  </si>
  <si>
    <t>DURAN/GUNILLA/0,00 - 3,39</t>
  </si>
  <si>
    <t>DURAN/GUNILLA/10,21 - 13,20</t>
  </si>
  <si>
    <t>DURAN/GUNILLA/13,21 - 16,59</t>
  </si>
  <si>
    <t>DURAN/GUNILLA/16,60 - 26,49</t>
  </si>
  <si>
    <t>DURAN/GUNILLA/3,40 - 5,20</t>
  </si>
  <si>
    <t>DURAN/GUNILLA/5,21 - 8,25</t>
  </si>
  <si>
    <t>DURAN/GUNILLA/8,26 - 10,20</t>
  </si>
  <si>
    <t>DURAN/GUNILLA/mas de 26,49</t>
  </si>
  <si>
    <t>DURAN/HUALTACO/0,00 - 3,39</t>
  </si>
  <si>
    <t>DURAN/HUALTACO/10,21 - 13,20</t>
  </si>
  <si>
    <t>DURAN/HUALTACO/13,21 - 16,59</t>
  </si>
  <si>
    <t>DURAN/HUALTACO/16,60 - 26,49</t>
  </si>
  <si>
    <t>DURAN/HUALTACO/3,40 - 5,20</t>
  </si>
  <si>
    <t>DURAN/HUALTACO/5,21 - 8,25</t>
  </si>
  <si>
    <t>DURAN/HUALTACO/8,26 - 10,20</t>
  </si>
  <si>
    <t>DURAN/HUALTACO/mas de 26,49</t>
  </si>
  <si>
    <t>DURAN/HUAQUILLAS/0,00 - 3,39</t>
  </si>
  <si>
    <t>DURAN/HUAQUILLAS/10,21 - 13,20</t>
  </si>
  <si>
    <t>DURAN/HUAQUILLAS/13,21 - 16,59</t>
  </si>
  <si>
    <t>DURAN/HUAQUILLAS/16,60 - 26,49</t>
  </si>
  <si>
    <t>DURAN/HUAQUILLAS/3,40 - 5,20</t>
  </si>
  <si>
    <t>DURAN/HUAQUILLAS/5,21 - 8,25</t>
  </si>
  <si>
    <t>DURAN/HUAQUILLAS/8,26 - 10,20</t>
  </si>
  <si>
    <t>DURAN/HUAQUILLAS/mas de 26,49</t>
  </si>
  <si>
    <t>DURAN/JAMA/0,00 - 3,39</t>
  </si>
  <si>
    <t>DURAN/JAMA/10,21 - 13,20</t>
  </si>
  <si>
    <t>DURAN/JAMA/13,21 - 16,59</t>
  </si>
  <si>
    <t>DURAN/JAMA/16,60 - 26,49</t>
  </si>
  <si>
    <t>DURAN/JAMA/3,40 - 5,20</t>
  </si>
  <si>
    <t>DURAN/JAMA/5,21 - 8,25</t>
  </si>
  <si>
    <t>DURAN/JAMA/8,26 - 10,20</t>
  </si>
  <si>
    <t>DURAN/JAMA/mas de 26,49</t>
  </si>
  <si>
    <t>DURAN/JIPIJAPA/0,00 - 3,39</t>
  </si>
  <si>
    <t>DURAN/JIPIJAPA/10,21 - 13,20</t>
  </si>
  <si>
    <t>DURAN/JIPIJAPA/13,21 - 16,59</t>
  </si>
  <si>
    <t>DURAN/JIPIJAPA/16,60 - 26,49</t>
  </si>
  <si>
    <t>DURAN/JIPIJAPA/3,40 - 5,20</t>
  </si>
  <si>
    <t>DURAN/JIPIJAPA/5,21 - 8,25</t>
  </si>
  <si>
    <t>DURAN/JIPIJAPA/8,26 - 10,20</t>
  </si>
  <si>
    <t>DURAN/JIPIJAPA/mas de 26,49</t>
  </si>
  <si>
    <t>DURAN/JUJAN/0,00 - 3,39</t>
  </si>
  <si>
    <t>DURAN/JUJAN/10,21 - 13,20</t>
  </si>
  <si>
    <t>DURAN/JUJAN/13,21 - 16,59</t>
  </si>
  <si>
    <t>DURAN/JUJAN/16,60 - 26,49</t>
  </si>
  <si>
    <t>DURAN/JUJAN/3,40 - 5,20</t>
  </si>
  <si>
    <t>DURAN/JUJAN/5,21 - 8,25</t>
  </si>
  <si>
    <t>DURAN/JUJAN/8,26 - 10,20</t>
  </si>
  <si>
    <t>DURAN/JUJAN/mas de 26,49</t>
  </si>
  <si>
    <t>DURAN/LA CUCA/0,00 - 3,39</t>
  </si>
  <si>
    <t>DURAN/LA CUCA/10,21 - 13,20</t>
  </si>
  <si>
    <t>DURAN/LA CUCA/13,21 - 16,59</t>
  </si>
  <si>
    <t>DURAN/LA CUCA/16,60 - 26,49</t>
  </si>
  <si>
    <t>DURAN/LA CUCA/3,40 - 5,20</t>
  </si>
  <si>
    <t>DURAN/LA CUCA/5,21 - 8,25</t>
  </si>
  <si>
    <t>DURAN/LA CUCA/8,26 - 10,20</t>
  </si>
  <si>
    <t>DURAN/LA CUCA/mas de 26,49</t>
  </si>
  <si>
    <t>DURAN/LA DELICIA - DIOSMAR/0,00 - 3,39</t>
  </si>
  <si>
    <t>DURAN/LA DELICIA - DIOSMAR/10,21 - 13,20</t>
  </si>
  <si>
    <t>DURAN/LA DELICIA - DIOSMAR/13,21 - 16,59</t>
  </si>
  <si>
    <t>DURAN/LA DELICIA - DIOSMAR/16,60 - 26,49</t>
  </si>
  <si>
    <t>DURAN/LA DELICIA - DIOSMAR/3,40 - 5,20</t>
  </si>
  <si>
    <t>DURAN/LA DELICIA - DIOSMAR/5,21 - 8,25</t>
  </si>
  <si>
    <t>DURAN/LA DELICIA - DIOSMAR/8,26 - 10,20</t>
  </si>
  <si>
    <t>DURAN/LA DELICIA - DIOSMAR/mas de 26,49</t>
  </si>
  <si>
    <t>DURAN/LA FLORA/0,00 - 3,39</t>
  </si>
  <si>
    <t>DURAN/LA FLORA/10,21 - 13,20</t>
  </si>
  <si>
    <t>DURAN/LA FLORA/13,21 - 16,59</t>
  </si>
  <si>
    <t>DURAN/LA FLORA/16,60 - 26,49</t>
  </si>
  <si>
    <t>DURAN/LA FLORA/3,40 - 5,20</t>
  </si>
  <si>
    <t>DURAN/LA FLORA/5,21 - 8,25</t>
  </si>
  <si>
    <t>DURAN/LA FLORA/8,26 - 10,20</t>
  </si>
  <si>
    <t>DURAN/LA FLORA/mas de 26,49</t>
  </si>
  <si>
    <t>DURAN/LA HUADA/0,00 - 3,39</t>
  </si>
  <si>
    <t>DURAN/LA HUADA/10,21 - 13,20</t>
  </si>
  <si>
    <t>DURAN/LA HUADA/13,21 - 16,59</t>
  </si>
  <si>
    <t>DURAN/LA HUADA/16,60 - 26,49</t>
  </si>
  <si>
    <t>DURAN/LA HUADA/3,40 - 5,20</t>
  </si>
  <si>
    <t>DURAN/LA HUADA/5,21 - 8,25</t>
  </si>
  <si>
    <t>DURAN/LA HUADA/8,26 - 10,20</t>
  </si>
  <si>
    <t>DURAN/LA HUADA/mas de 26,49</t>
  </si>
  <si>
    <t>DURAN/LAS ESCLUSAS/0,00 - 3,39</t>
  </si>
  <si>
    <t>DURAN/LAS ESCLUSAS/10,21 - 13,20</t>
  </si>
  <si>
    <t>DURAN/LAS ESCLUSAS/13,21 - 16,59</t>
  </si>
  <si>
    <t>DURAN/LAS ESCLUSAS/16,60 - 26,49</t>
  </si>
  <si>
    <t>DURAN/LAS ESCLUSAS/3,40 - 5,20</t>
  </si>
  <si>
    <t>DURAN/LAS ESCLUSAS/5,21 - 8,25</t>
  </si>
  <si>
    <t>DURAN/LAS ESCLUSAS/8,26 - 10,20</t>
  </si>
  <si>
    <t>DURAN/LAS ESCLUSAS/mas de 26,49</t>
  </si>
  <si>
    <t>DURAN/LIBERTAD/0,00 - 3,39</t>
  </si>
  <si>
    <t>DURAN/LIBERTAD/10,21 - 13,20</t>
  </si>
  <si>
    <t>DURAN/LIBERTAD/13,21 - 16,59</t>
  </si>
  <si>
    <t>DURAN/LIBERTAD/16,60 - 26,49</t>
  </si>
  <si>
    <t>DURAN/LIBERTAD/3,40 - 5,20</t>
  </si>
  <si>
    <t>DURAN/LIBERTAD/5,21 - 8,25</t>
  </si>
  <si>
    <t>DURAN/LIBERTAD/8,26 - 10,20</t>
  </si>
  <si>
    <t>DURAN/LIBERTAD/mas de 26,49</t>
  </si>
  <si>
    <t>DURAN/MACHALA/0,00 - 3,39</t>
  </si>
  <si>
    <t>DURAN/MACHALA/10,21 - 13,20</t>
  </si>
  <si>
    <t>DURAN/MACHALA/13,21 - 16,59</t>
  </si>
  <si>
    <t>DURAN/MACHALA/16,60 - 26,49</t>
  </si>
  <si>
    <t>DURAN/MACHALA/3,40 - 5,20</t>
  </si>
  <si>
    <t>DURAN/MACHALA/5,21 - 8,25</t>
  </si>
  <si>
    <t>DURAN/MACHALA/8,26 - 10,20</t>
  </si>
  <si>
    <t>DURAN/MACHALA/mas de 26,49</t>
  </si>
  <si>
    <t>DURAN/MANGLARALTO/0,00 - 3,39</t>
  </si>
  <si>
    <t>DURAN/MANGLARALTO/10,21 - 13,20</t>
  </si>
  <si>
    <t>DURAN/MANGLARALTO/13,21 - 16,59</t>
  </si>
  <si>
    <t>DURAN/MANGLARALTO/16,60 - 26,49</t>
  </si>
  <si>
    <t>DURAN/MANGLARALTO/3,40 - 5,20</t>
  </si>
  <si>
    <t>DURAN/MANGLARALTO/5,21 - 8,25</t>
  </si>
  <si>
    <t>DURAN/MANGLARALTO/8,26 - 10,20</t>
  </si>
  <si>
    <t>DURAN/MANGLARALTO/mas de 26,49</t>
  </si>
  <si>
    <t>DURAN/MANTA/0,00 - 3,39</t>
  </si>
  <si>
    <t>DURAN/MANTA/10,21 - 13,20</t>
  </si>
  <si>
    <t>DURAN/MANTA/13,21 - 16,59</t>
  </si>
  <si>
    <t>DURAN/MANTA/16,60 - 26,49</t>
  </si>
  <si>
    <t>DURAN/MANTA/3,40 - 5,20</t>
  </si>
  <si>
    <t>DURAN/MANTA/5,21 - 8,25</t>
  </si>
  <si>
    <t>DURAN/MANTA/8,26 - 10,20</t>
  </si>
  <si>
    <t>DURAN/MANTA/mas de 26,49</t>
  </si>
  <si>
    <t>DURAN/MAR BRAVO/0,00 - 3,39</t>
  </si>
  <si>
    <t>DURAN/MAR BRAVO/10,21 - 13,20</t>
  </si>
  <si>
    <t>DURAN/MAR BRAVO/13,21 - 16,59</t>
  </si>
  <si>
    <t>DURAN/MAR BRAVO/16,60 - 26,49</t>
  </si>
  <si>
    <t>DURAN/MAR BRAVO/3,40 - 5,20</t>
  </si>
  <si>
    <t>DURAN/MAR BRAVO/5,21 - 8,25</t>
  </si>
  <si>
    <t>DURAN/MAR BRAVO/8,26 - 10,20</t>
  </si>
  <si>
    <t>DURAN/MAR BRAVO/mas de 26,49</t>
  </si>
  <si>
    <t>DURAN/MILAGRO/0,00 - 3,39</t>
  </si>
  <si>
    <t>DURAN/MILAGRO/10,21 - 13,20</t>
  </si>
  <si>
    <t>DURAN/MILAGRO/13,21 - 16,59</t>
  </si>
  <si>
    <t>DURAN/MILAGRO/16,60 - 26,49</t>
  </si>
  <si>
    <t>DURAN/MILAGRO/3,40 - 5,20</t>
  </si>
  <si>
    <t>DURAN/MILAGRO/5,21 - 8,25</t>
  </si>
  <si>
    <t>DURAN/MILAGRO/8,26 - 10,20</t>
  </si>
  <si>
    <t>DURAN/MILAGRO/mas de 26,49</t>
  </si>
  <si>
    <t>DURAN/MONTAÑITA/0,00 - 3,39</t>
  </si>
  <si>
    <t>DURAN/MONTAÑITA/10,21 - 13,20</t>
  </si>
  <si>
    <t>DURAN/MONTAÑITA/13,21 - 16,59</t>
  </si>
  <si>
    <t>DURAN/MONTAÑITA/16,60 - 26,49</t>
  </si>
  <si>
    <t>DURAN/MONTAÑITA/3,40 - 5,20</t>
  </si>
  <si>
    <t>DURAN/MONTAÑITA/5,21 - 8,25</t>
  </si>
  <si>
    <t>DURAN/MONTAÑITA/8,26 - 10,20</t>
  </si>
  <si>
    <t>DURAN/MONTAÑITA/mas de 26,49</t>
  </si>
  <si>
    <t>DURAN/MONTEVERDE/0,00 - 3,39</t>
  </si>
  <si>
    <t>DURAN/MONTEVERDE/10,21 - 13,20</t>
  </si>
  <si>
    <t>DURAN/MONTEVERDE/13,21 - 16,59</t>
  </si>
  <si>
    <t>DURAN/MONTEVERDE/16,60 - 26,49</t>
  </si>
  <si>
    <t>DURAN/MONTEVERDE/3,40 - 5,20</t>
  </si>
  <si>
    <t>DURAN/MONTEVERDE/5,21 - 8,25</t>
  </si>
  <si>
    <t>DURAN/MONTEVERDE/8,26 - 10,20</t>
  </si>
  <si>
    <t>DURAN/MONTEVERDE/mas de 26,49</t>
  </si>
  <si>
    <t>DURAN/MUISNE/0,00 - 3,39</t>
  </si>
  <si>
    <t>DURAN/MUISNE/10,21 - 13,20</t>
  </si>
  <si>
    <t>DURAN/MUISNE/13,21 - 16,59</t>
  </si>
  <si>
    <t>DURAN/MUISNE/16,60 - 26,49</t>
  </si>
  <si>
    <t>DURAN/MUISNE/3,40 - 5,20</t>
  </si>
  <si>
    <t>DURAN/MUISNE/5,21 - 8,25</t>
  </si>
  <si>
    <t>DURAN/MUISNE/8,26 - 10,20</t>
  </si>
  <si>
    <t>DURAN/MUISNE/mas de 26,49</t>
  </si>
  <si>
    <t>DURAN/NARANJAL/0,00 - 3,39</t>
  </si>
  <si>
    <t>DURAN/NARANJAL/10,21 - 13,20</t>
  </si>
  <si>
    <t>DURAN/NARANJAL/13,21 - 16,59</t>
  </si>
  <si>
    <t>DURAN/NARANJAL/16,60 - 26,49</t>
  </si>
  <si>
    <t>DURAN/NARANJAL/3,40 - 5,20</t>
  </si>
  <si>
    <t>DURAN/NARANJAL/5,21 - 8,25</t>
  </si>
  <si>
    <t>DURAN/NARANJAL/8,26 - 10,20</t>
  </si>
  <si>
    <t>DURAN/NARANJAL/mas de 26,49</t>
  </si>
  <si>
    <t>DURAN/NOBOL/0,00 - 3,39</t>
  </si>
  <si>
    <t>DURAN/NOBOL/10,21 - 13,20</t>
  </si>
  <si>
    <t>DURAN/NOBOL/13,21 - 16,59</t>
  </si>
  <si>
    <t>DURAN/NOBOL/16,60 - 26,49</t>
  </si>
  <si>
    <t>DURAN/NOBOL/3,40 - 5,20</t>
  </si>
  <si>
    <t>DURAN/NOBOL/5,21 - 8,25</t>
  </si>
  <si>
    <t>DURAN/NOBOL/8,26 - 10,20</t>
  </si>
  <si>
    <t>DURAN/NOBOL/mas de 26,49</t>
  </si>
  <si>
    <t>DURAN/PAGUA/0,00 - 3,39</t>
  </si>
  <si>
    <t>DURAN/PAGUA/10,21 - 13,20</t>
  </si>
  <si>
    <t>DURAN/PAGUA/13,21 - 16,59</t>
  </si>
  <si>
    <t>DURAN/PAGUA/16,60 - 26,49</t>
  </si>
  <si>
    <t>DURAN/PAGUA/3,40 - 5,20</t>
  </si>
  <si>
    <t>DURAN/PAGUA/5,21 - 8,25</t>
  </si>
  <si>
    <t>DURAN/PAGUA/8,26 - 10,20</t>
  </si>
  <si>
    <t>DURAN/PAGUA/mas de 26,49</t>
  </si>
  <si>
    <t>DURAN/PALESTINA/0,00 - 3,39</t>
  </si>
  <si>
    <t>DURAN/PALESTINA/10,21 - 13,20</t>
  </si>
  <si>
    <t>DURAN/PALESTINA/13,21 - 16,59</t>
  </si>
  <si>
    <t>DURAN/PALESTINA/16,60 - 26,49</t>
  </si>
  <si>
    <t>DURAN/PALESTINA/3,40 - 5,20</t>
  </si>
  <si>
    <t>DURAN/PALESTINA/5,21 - 8,25</t>
  </si>
  <si>
    <t>DURAN/PALESTINA/8,26 - 10,20</t>
  </si>
  <si>
    <t>DURAN/PALESTINA/mas de 26,49</t>
  </si>
  <si>
    <t>DURAN/PALMAR/0,00 - 3,39</t>
  </si>
  <si>
    <t>DURAN/PALMAR/10,21 - 13,20</t>
  </si>
  <si>
    <t>DURAN/PALMAR/13,21 - 16,59</t>
  </si>
  <si>
    <t>DURAN/PALMAR/16,60 - 26,49</t>
  </si>
  <si>
    <t>DURAN/PALMAR/3,40 - 5,20</t>
  </si>
  <si>
    <t>DURAN/PALMAR/5,21 - 8,25</t>
  </si>
  <si>
    <t>DURAN/PALMAR/8,26 - 10,20</t>
  </si>
  <si>
    <t>DURAN/PALMAR/mas de 26,49</t>
  </si>
  <si>
    <t>DURAN/PAPAYAL - TAURA/0,00 - 3,39</t>
  </si>
  <si>
    <t>DURAN/PAPAYAL - TAURA/10,21 - 13,20</t>
  </si>
  <si>
    <t>DURAN/PAPAYAL - TAURA/13,21 - 16,59</t>
  </si>
  <si>
    <t>DURAN/PAPAYAL - TAURA/16,60 - 26,49</t>
  </si>
  <si>
    <t>DURAN/PAPAYAL - TAURA/3,40 - 5,20</t>
  </si>
  <si>
    <t>DURAN/PAPAYAL - TAURA/5,21 - 8,25</t>
  </si>
  <si>
    <t>DURAN/PAPAYAL - TAURA/8,26 - 10,20</t>
  </si>
  <si>
    <t>DURAN/PAPAYAL - TAURA/mas de 26,49</t>
  </si>
  <si>
    <t>DURAN/PASAJE /0,00 - 3,39</t>
  </si>
  <si>
    <t>DURAN/PASAJE /10,21 - 13,20</t>
  </si>
  <si>
    <t>DURAN/PASAJE /13,21 - 16,59</t>
  </si>
  <si>
    <t>DURAN/PASAJE /16,60 - 26,49</t>
  </si>
  <si>
    <t>DURAN/PASAJE /3,40 - 5,20</t>
  </si>
  <si>
    <t>DURAN/PASAJE /5,21 - 8,25</t>
  </si>
  <si>
    <t>DURAN/PASAJE /8,26 - 10,20</t>
  </si>
  <si>
    <t>DURAN/PASAJE /mas de 26,49</t>
  </si>
  <si>
    <t>DURAN/PASAJE/0,00 - 3,39</t>
  </si>
  <si>
    <t>DURAN/PASAJE/10,21 - 13,20</t>
  </si>
  <si>
    <t>DURAN/PASAJE/13,21 - 16,59</t>
  </si>
  <si>
    <t>DURAN/PASAJE/16,60 - 26,49</t>
  </si>
  <si>
    <t>DURAN/PASAJE/3,40 - 5,20</t>
  </si>
  <si>
    <t>DURAN/PASAJE/5,21 - 8,25</t>
  </si>
  <si>
    <t>DURAN/PASAJE/8,26 - 10,20</t>
  </si>
  <si>
    <t>DURAN/PASAJE/mas de 26,49</t>
  </si>
  <si>
    <t>DURAN/PEDERNALES/0,00 - 3,39</t>
  </si>
  <si>
    <t>DURAN/PEDERNALES/10,21 - 13,20</t>
  </si>
  <si>
    <t>DURAN/PEDERNALES/13,21 - 16,59</t>
  </si>
  <si>
    <t>DURAN/PEDERNALES/16,60 - 26,49</t>
  </si>
  <si>
    <t>DURAN/PEDERNALES/3,40 - 5,20</t>
  </si>
  <si>
    <t>DURAN/PEDERNALES/5,21 - 8,25</t>
  </si>
  <si>
    <t>DURAN/PEDERNALES/8,26 - 10,20</t>
  </si>
  <si>
    <t>DURAN/PEDERNALES/mas de 26,49</t>
  </si>
  <si>
    <t>DURAN/PLAYAS/0,00 - 3,39</t>
  </si>
  <si>
    <t>DURAN/PLAYAS/10,21 - 13,20</t>
  </si>
  <si>
    <t>DURAN/PLAYAS/13,21 - 16,59</t>
  </si>
  <si>
    <t>DURAN/PLAYAS/16,60 - 26,49</t>
  </si>
  <si>
    <t>DURAN/PLAYAS/3,40 - 5,20</t>
  </si>
  <si>
    <t>DURAN/PLAYAS/5,21 - 8,25</t>
  </si>
  <si>
    <t>DURAN/PLAYAS/8,26 - 10,20</t>
  </si>
  <si>
    <t>DURAN/PLAYAS/mas de 26,49</t>
  </si>
  <si>
    <t>DURAN/POCOS PALOS - TAURA/0,00 - 3,39</t>
  </si>
  <si>
    <t>DURAN/POCOS PALOS - TAURA/10,21 - 13,20</t>
  </si>
  <si>
    <t>DURAN/POCOS PALOS - TAURA/13,21 - 16,59</t>
  </si>
  <si>
    <t>DURAN/POCOS PALOS - TAURA/16,60 - 26,49</t>
  </si>
  <si>
    <t>DURAN/POCOS PALOS - TAURA/3,40 - 5,20</t>
  </si>
  <si>
    <t>DURAN/POCOS PALOS - TAURA/5,21 - 8,25</t>
  </si>
  <si>
    <t>DURAN/POCOS PALOS - TAURA/8,26 - 10,20</t>
  </si>
  <si>
    <t>DURAN/POCOS PALOS - TAURA/mas de 26,49</t>
  </si>
  <si>
    <t>DURAN/PORTOVIEJO/0,00 - 3,39</t>
  </si>
  <si>
    <t>DURAN/PORTOVIEJO/10,21 - 13,20</t>
  </si>
  <si>
    <t>DURAN/PORTOVIEJO/13,21 - 16,59</t>
  </si>
  <si>
    <t>DURAN/PORTOVIEJO/16,60 - 26,49</t>
  </si>
  <si>
    <t>DURAN/PORTOVIEJO/3,40 - 5,20</t>
  </si>
  <si>
    <t>DURAN/PORTOVIEJO/5,21 - 8,25</t>
  </si>
  <si>
    <t>DURAN/PORTOVIEJO/8,26 - 10,20</t>
  </si>
  <si>
    <t>DURAN/PORTOVIEJO/mas de 26,49</t>
  </si>
  <si>
    <t>DURAN/POSORJA/0,00 - 3,39</t>
  </si>
  <si>
    <t>DURAN/POSORJA/10,21 - 13,20</t>
  </si>
  <si>
    <t>DURAN/POSORJA/13,21 - 16,59</t>
  </si>
  <si>
    <t>DURAN/POSORJA/16,60 - 26,49</t>
  </si>
  <si>
    <t>DURAN/POSORJA/3,40 - 5,20</t>
  </si>
  <si>
    <t>DURAN/POSORJA/5,21 - 8,25</t>
  </si>
  <si>
    <t>DURAN/POSORJA/8,26 - 10,20</t>
  </si>
  <si>
    <t>DURAN/POSORJA/mas de 26,49</t>
  </si>
  <si>
    <t>DURAN/PUERTO BOLIVAR/0,00 - 3,39</t>
  </si>
  <si>
    <t>DURAN/PUERTO BOLIVAR/10,21 - 13,20</t>
  </si>
  <si>
    <t>DURAN/PUERTO BOLIVAR/13,21 - 16,59</t>
  </si>
  <si>
    <t>DURAN/PUERTO BOLIVAR/16,60 - 26,49</t>
  </si>
  <si>
    <t>DURAN/PUERTO BOLIVAR/3,40 - 5,20</t>
  </si>
  <si>
    <t>DURAN/PUERTO BOLIVAR/5,21 - 8,25</t>
  </si>
  <si>
    <t>DURAN/PUERTO BOLIVAR/8,26 - 10,20</t>
  </si>
  <si>
    <t>DURAN/PUERTO BOLIVAR/mas de 26,49</t>
  </si>
  <si>
    <t>DURAN/PUERTO CAYO/0,00 - 3,39</t>
  </si>
  <si>
    <t>DURAN/PUERTO CAYO/10,21 - 13,20</t>
  </si>
  <si>
    <t>DURAN/PUERTO CAYO/13,21 - 16,59</t>
  </si>
  <si>
    <t>DURAN/PUERTO CAYO/16,60 - 26,49</t>
  </si>
  <si>
    <t>DURAN/PUERTO CAYO/3,40 - 5,20</t>
  </si>
  <si>
    <t>DURAN/PUERTO CAYO/5,21 - 8,25</t>
  </si>
  <si>
    <t>DURAN/PUERTO CAYO/8,26 - 10,20</t>
  </si>
  <si>
    <t>DURAN/PUERTO CAYO/mas de 26,49</t>
  </si>
  <si>
    <t>DURAN/PUERTO GRANDE/0,00 - 3,39</t>
  </si>
  <si>
    <t>DURAN/PUERTO GRANDE/10,21 - 13,20</t>
  </si>
  <si>
    <t>DURAN/PUERTO GRANDE/13,21 - 16,59</t>
  </si>
  <si>
    <t>DURAN/PUERTO GRANDE/16,60 - 26,49</t>
  </si>
  <si>
    <t>DURAN/PUERTO GRANDE/3,40 - 5,20</t>
  </si>
  <si>
    <t>DURAN/PUERTO GRANDE/5,21 - 8,25</t>
  </si>
  <si>
    <t>DURAN/PUERTO GRANDE/8,26 - 10,20</t>
  </si>
  <si>
    <t>DURAN/PUERTO GRANDE/mas de 26,49</t>
  </si>
  <si>
    <t>DURAN/PUERTO HUALTACO/0,00 - 3,39</t>
  </si>
  <si>
    <t>DURAN/PUERTO HUALTACO/10,21 - 13,20</t>
  </si>
  <si>
    <t>DURAN/PUERTO HUALTACO/13,21 - 16,59</t>
  </si>
  <si>
    <t>DURAN/PUERTO HUALTACO/16,60 - 26,49</t>
  </si>
  <si>
    <t>DURAN/PUERTO HUALTACO/3,40 - 5,20</t>
  </si>
  <si>
    <t>DURAN/PUERTO HUALTACO/5,21 - 8,25</t>
  </si>
  <si>
    <t>DURAN/PUERTO HUALTACO/8,26 - 10,20</t>
  </si>
  <si>
    <t>DURAN/PUERTO HUALTACO/mas de 26,49</t>
  </si>
  <si>
    <t>DURAN/PUERTO INCA/0,00 - 3,39</t>
  </si>
  <si>
    <t>DURAN/PUERTO INCA/10,21 - 13,20</t>
  </si>
  <si>
    <t>DURAN/PUERTO INCA/13,21 - 16,59</t>
  </si>
  <si>
    <t>DURAN/PUERTO INCA/16,60 - 26,49</t>
  </si>
  <si>
    <t>DURAN/PUERTO INCA/3,40 - 5,20</t>
  </si>
  <si>
    <t>DURAN/PUERTO INCA/5,21 - 8,25</t>
  </si>
  <si>
    <t>DURAN/PUERTO INCA/8,26 - 10,20</t>
  </si>
  <si>
    <t>DURAN/PUERTO INCA/mas de 26,49</t>
  </si>
  <si>
    <t>DURAN/PUERTO JELI/0,00 - 3,39</t>
  </si>
  <si>
    <t>DURAN/PUERTO JELI/10,21 - 13,20</t>
  </si>
  <si>
    <t>DURAN/PUERTO JELI/13,21 - 16,59</t>
  </si>
  <si>
    <t>DURAN/PUERTO JELI/16,60 - 26,49</t>
  </si>
  <si>
    <t>DURAN/PUERTO JELI/3,40 - 5,20</t>
  </si>
  <si>
    <t>DURAN/PUERTO JELI/5,21 - 8,25</t>
  </si>
  <si>
    <t>DURAN/PUERTO JELI/8,26 - 10,20</t>
  </si>
  <si>
    <t>DURAN/PUERTO JELI/mas de 26,49</t>
  </si>
  <si>
    <t>DURAN/PUERTO LOPEZ/0,00 - 3,39</t>
  </si>
  <si>
    <t>DURAN/PUERTO LOPEZ/10,21 - 13,20</t>
  </si>
  <si>
    <t>DURAN/PUERTO LOPEZ/13,21 - 16,59</t>
  </si>
  <si>
    <t>DURAN/PUERTO LOPEZ/16,60 - 26,49</t>
  </si>
  <si>
    <t>DURAN/PUERTO LOPEZ/3,40 - 5,20</t>
  </si>
  <si>
    <t>DURAN/PUERTO LOPEZ/5,21 - 8,25</t>
  </si>
  <si>
    <t>DURAN/PUERTO LOPEZ/8,26 - 10,20</t>
  </si>
  <si>
    <t>DURAN/PUERTO LOPEZ/mas de 26,49</t>
  </si>
  <si>
    <t>DURAN/PUERTO PITAHAYA/0,00 - 3,39</t>
  </si>
  <si>
    <t>DURAN/PUERTO PITAHAYA/10,21 - 13,20</t>
  </si>
  <si>
    <t>DURAN/PUERTO PITAHAYA/13,21 - 16,59</t>
  </si>
  <si>
    <t>DURAN/PUERTO PITAHAYA/16,60 - 26,49</t>
  </si>
  <si>
    <t>DURAN/PUERTO PITAHAYA/3,40 - 5,20</t>
  </si>
  <si>
    <t>DURAN/PUERTO PITAHAYA/5,21 - 8,25</t>
  </si>
  <si>
    <t>DURAN/PUERTO PITAHAYA/8,26 - 10,20</t>
  </si>
  <si>
    <t>DURAN/PUERTO PITAHAYA/mas de 26,49</t>
  </si>
  <si>
    <t>DURAN/PUNTA CARNERO/0,00 - 3,39</t>
  </si>
  <si>
    <t>DURAN/PUNTA CARNERO/10,21 - 13,20</t>
  </si>
  <si>
    <t>DURAN/PUNTA CARNERO/13,21 - 16,59</t>
  </si>
  <si>
    <t>DURAN/PUNTA CARNERO/16,60 - 26,49</t>
  </si>
  <si>
    <t>DURAN/PUNTA CARNERO/3,40 - 5,20</t>
  </si>
  <si>
    <t>DURAN/PUNTA CARNERO/5,21 - 8,25</t>
  </si>
  <si>
    <t>DURAN/PUNTA CARNERO/8,26 - 10,20</t>
  </si>
  <si>
    <t>DURAN/PUNTA CARNERO/mas de 26,49</t>
  </si>
  <si>
    <t>DURAN/ROCAFUERTE/0,00 - 3,39</t>
  </si>
  <si>
    <t>DURAN/ROCAFUERTE/10,21 - 13,20</t>
  </si>
  <si>
    <t>DURAN/ROCAFUERTE/13,21 - 16,59</t>
  </si>
  <si>
    <t>DURAN/ROCAFUERTE/16,60 - 26,49</t>
  </si>
  <si>
    <t>DURAN/ROCAFUERTE/3,40 - 5,20</t>
  </si>
  <si>
    <t>DURAN/ROCAFUERTE/5,21 - 8,25</t>
  </si>
  <si>
    <t>DURAN/ROCAFUERTE/8,26 - 10,20</t>
  </si>
  <si>
    <t>DURAN/ROCAFUERTE/mas de 26,49</t>
  </si>
  <si>
    <t>DURAN/SABANA GRANDE/0,00 - 3,39</t>
  </si>
  <si>
    <t>DURAN/SABANA GRANDE/10,21 - 13,20</t>
  </si>
  <si>
    <t>DURAN/SABANA GRANDE/13,21 - 16,59</t>
  </si>
  <si>
    <t>DURAN/SABANA GRANDE/16,60 - 26,49</t>
  </si>
  <si>
    <t>DURAN/SABANA GRANDE/3,40 - 5,20</t>
  </si>
  <si>
    <t>DURAN/SABANA GRANDE/5,21 - 8,25</t>
  </si>
  <si>
    <t>DURAN/SABANA GRANDE/8,26 - 10,20</t>
  </si>
  <si>
    <t>DURAN/SABANA GRANDE/mas de 26,49</t>
  </si>
  <si>
    <t>DURAN/SAFANDO/0,00 - 3,39</t>
  </si>
  <si>
    <t>DURAN/SAFANDO/10,21 - 13,20</t>
  </si>
  <si>
    <t>DURAN/SAFANDO/13,21 - 16,59</t>
  </si>
  <si>
    <t>DURAN/SAFANDO/16,60 - 26,49</t>
  </si>
  <si>
    <t>DURAN/SAFANDO/3,40 - 5,20</t>
  </si>
  <si>
    <t>DURAN/SAFANDO/5,21 - 8,25</t>
  </si>
  <si>
    <t>DURAN/SAFANDO/8,26 - 10,20</t>
  </si>
  <si>
    <t>DURAN/SAFANDO/mas de 26,49</t>
  </si>
  <si>
    <t>DURAN/SALINAS/0,00 - 3,39</t>
  </si>
  <si>
    <t>DURAN/SALINAS/10,21 - 13,20</t>
  </si>
  <si>
    <t>DURAN/SALINAS/13,21 - 16,59</t>
  </si>
  <si>
    <t>DURAN/SALINAS/16,60 - 26,49</t>
  </si>
  <si>
    <t>DURAN/SALINAS/3,40 - 5,20</t>
  </si>
  <si>
    <t>DURAN/SALINAS/5,21 - 8,25</t>
  </si>
  <si>
    <t>DURAN/SALINAS/8,26 - 10,20</t>
  </si>
  <si>
    <t>DURAN/SALINAS/mas de 26,49</t>
  </si>
  <si>
    <t>DURAN/SAN ELOY/0,00 - 3,39</t>
  </si>
  <si>
    <t>DURAN/SAN ELOY/10,21 - 13,20</t>
  </si>
  <si>
    <t>DURAN/SAN ELOY/13,21 - 16,59</t>
  </si>
  <si>
    <t>DURAN/SAN ELOY/16,60 - 26,49</t>
  </si>
  <si>
    <t>DURAN/SAN ELOY/3,40 - 5,20</t>
  </si>
  <si>
    <t>DURAN/SAN ELOY/5,21 - 8,25</t>
  </si>
  <si>
    <t>DURAN/SAN ELOY/8,26 - 10,20</t>
  </si>
  <si>
    <t>DURAN/SAN ELOY/mas de 26,49</t>
  </si>
  <si>
    <t>DURAN/SAN LORENZO ESMERALDAS/0,00 - 3,39</t>
  </si>
  <si>
    <t>DURAN/SAN LORENZO ESMERALDAS/10,21 - 13,20</t>
  </si>
  <si>
    <t>DURAN/SAN LORENZO ESMERALDAS/13,21 - 16,59</t>
  </si>
  <si>
    <t>DURAN/SAN LORENZO ESMERALDAS/16,60 - 26,49</t>
  </si>
  <si>
    <t>DURAN/SAN LORENZO ESMERALDAS/3,40 - 5,20</t>
  </si>
  <si>
    <t>DURAN/SAN LORENZO ESMERALDAS/5,21 - 8,25</t>
  </si>
  <si>
    <t>DURAN/SAN LORENZO ESMERALDAS/8,26 - 10,20</t>
  </si>
  <si>
    <t>DURAN/SAN LORENZO ESMERALDAS/mas de 26,49</t>
  </si>
  <si>
    <t>DURAN/SAN LORENZO MANABI/0,00 - 3,39</t>
  </si>
  <si>
    <t>DURAN/SAN LORENZO MANABI/10,21 - 13,20</t>
  </si>
  <si>
    <t>DURAN/SAN LORENZO MANABI/13,21 - 16,59</t>
  </si>
  <si>
    <t>DURAN/SAN LORENZO MANABI/16,60 - 26,49</t>
  </si>
  <si>
    <t>DURAN/SAN LORENZO MANABI/3,40 - 5,20</t>
  </si>
  <si>
    <t>DURAN/SAN LORENZO MANABI/5,21 - 8,25</t>
  </si>
  <si>
    <t>DURAN/SAN LORENZO MANABI/8,26 - 10,20</t>
  </si>
  <si>
    <t>DURAN/SAN LORENZO MANABI/mas de 26,49</t>
  </si>
  <si>
    <t>DURAN/SAN LORENZO/0,00 - 3,39</t>
  </si>
  <si>
    <t>SAN LORENZO</t>
  </si>
  <si>
    <t>DURAN/SAN LORENZO/10,21 - 13,20</t>
  </si>
  <si>
    <t>DURAN/SAN LORENZO/13,21 - 16,59</t>
  </si>
  <si>
    <t>DURAN/SAN LORENZO/16,60 - 26,49</t>
  </si>
  <si>
    <t>DURAN/SAN LORENZO/3,40 - 5,20</t>
  </si>
  <si>
    <t>DURAN/SAN LORENZO/5,21 - 8,25</t>
  </si>
  <si>
    <t>DURAN/SAN LORENZO/8,26 - 10,20</t>
  </si>
  <si>
    <t>DURAN/SAN LORENZO/mas de 26,49</t>
  </si>
  <si>
    <t>DURAN/SAN PABLO/0,00 - 3,39</t>
  </si>
  <si>
    <t>DURAN/SAN PABLO/10,21 - 13,20</t>
  </si>
  <si>
    <t>DURAN/SAN PABLO/13,21 - 16,59</t>
  </si>
  <si>
    <t>DURAN/SAN PABLO/16,60 - 26,49</t>
  </si>
  <si>
    <t>DURAN/SAN PABLO/3,40 - 5,20</t>
  </si>
  <si>
    <t>DURAN/SAN PABLO/5,21 - 8,25</t>
  </si>
  <si>
    <t>DURAN/SAN PABLO/8,26 - 10,20</t>
  </si>
  <si>
    <t>DURAN/SAN PABLO/mas de 26,49</t>
  </si>
  <si>
    <t>DURAN/SAN VICENTE/0,00 - 3,39</t>
  </si>
  <si>
    <t>DURAN/SAN VICENTE/10,21 - 13,20</t>
  </si>
  <si>
    <t>DURAN/SAN VICENTE/13,21 - 16,59</t>
  </si>
  <si>
    <t>DURAN/SAN VICENTE/16,60 - 26,49</t>
  </si>
  <si>
    <t>DURAN/SAN VICENTE/3,40 - 5,20</t>
  </si>
  <si>
    <t>DURAN/SAN VICENTE/5,21 - 8,25</t>
  </si>
  <si>
    <t>DURAN/SAN VICENTE/8,26 - 10,20</t>
  </si>
  <si>
    <t>DURAN/SAN VICENTE/mas de 26,49</t>
  </si>
  <si>
    <t>DURAN/SANTA ELENA/0,00 - 3,39</t>
  </si>
  <si>
    <t>DURAN/SANTA ELENA/10,21 - 13,20</t>
  </si>
  <si>
    <t>DURAN/SANTA ELENA/13,21 - 16,59</t>
  </si>
  <si>
    <t>DURAN/SANTA ELENA/16,60 - 26,49</t>
  </si>
  <si>
    <t>DURAN/SANTA ELENA/3,40 - 5,20</t>
  </si>
  <si>
    <t>DURAN/SANTA ELENA/5,21 - 8,25</t>
  </si>
  <si>
    <t>DURAN/SANTA ELENA/8,26 - 10,20</t>
  </si>
  <si>
    <t>DURAN/SANTA ELENA/mas de 26,49</t>
  </si>
  <si>
    <t>DURAN/SANTA LUCIA/0,00 - 3,39</t>
  </si>
  <si>
    <t>DURAN/SANTA LUCIA/10,21 - 13,20</t>
  </si>
  <si>
    <t>DURAN/SANTA LUCIA/13,21 - 16,59</t>
  </si>
  <si>
    <t>DURAN/SANTA LUCIA/16,60 - 26,49</t>
  </si>
  <si>
    <t>DURAN/SANTA LUCIA/3,40 - 5,20</t>
  </si>
  <si>
    <t>DURAN/SANTA LUCIA/5,21 - 8,25</t>
  </si>
  <si>
    <t>DURAN/SANTA LUCIA/8,26 - 10,20</t>
  </si>
  <si>
    <t>DURAN/SANTA LUCIA/mas de 26,49</t>
  </si>
  <si>
    <t>DURAN/SANTA ROSA/0,00 - 3,39</t>
  </si>
  <si>
    <t>DURAN/SANTA ROSA/10,21 - 13,20</t>
  </si>
  <si>
    <t>DURAN/SANTA ROSA/13,21 - 16,59</t>
  </si>
  <si>
    <t>DURAN/SANTA ROSA/16,60 - 26,49</t>
  </si>
  <si>
    <t>DURAN/SANTA ROSA/3,40 - 5,20</t>
  </si>
  <si>
    <t>DURAN/SANTA ROSA/5,21 - 8,25</t>
  </si>
  <si>
    <t>DURAN/SANTA ROSA/8,26 - 10,20</t>
  </si>
  <si>
    <t>DURAN/SANTA ROSA/mas de 26,49</t>
  </si>
  <si>
    <t>DURAN/SEIS DE JULIO/0,00 - 3,39</t>
  </si>
  <si>
    <t>DURAN/SEIS DE JULIO/10,21 - 13,20</t>
  </si>
  <si>
    <t>DURAN/SEIS DE JULIO/13,21 - 16,59</t>
  </si>
  <si>
    <t>DURAN/SEIS DE JULIO/16,60 - 26,49</t>
  </si>
  <si>
    <t>DURAN/SEIS DE JULIO/3,40 - 5,20</t>
  </si>
  <si>
    <t>DURAN/SEIS DE JULIO/5,21 - 8,25</t>
  </si>
  <si>
    <t>DURAN/SEIS DE JULIO/8,26 - 10,20</t>
  </si>
  <si>
    <t>DURAN/SEIS DE JULIO/mas de 26,49</t>
  </si>
  <si>
    <t>DURAN/SITIO NUEVO - AYALAN/0,00 - 3,39</t>
  </si>
  <si>
    <t>DURAN/SITIO NUEVO - AYALAN/10,21 - 13,20</t>
  </si>
  <si>
    <t>DURAN/SITIO NUEVO - AYALAN/13,21 - 16,59</t>
  </si>
  <si>
    <t>DURAN/SITIO NUEVO - AYALAN/16,60 - 26,49</t>
  </si>
  <si>
    <t>DURAN/SITIO NUEVO - AYALAN/3,40 - 5,20</t>
  </si>
  <si>
    <t>DURAN/SITIO NUEVO - AYALAN/5,21 - 8,25</t>
  </si>
  <si>
    <t>DURAN/SITIO NUEVO - AYALAN/8,26 - 10,20</t>
  </si>
  <si>
    <t>DURAN/SITIO NUEVO - AYALAN/mas de 26,49</t>
  </si>
  <si>
    <t>DURAN/TAURA/0,00 - 3,39</t>
  </si>
  <si>
    <t>DURAN/TAURA/10,21 - 13,20</t>
  </si>
  <si>
    <t>DURAN/TAURA/13,21 - 16,59</t>
  </si>
  <si>
    <t>DURAN/TAURA/16,60 - 26,49</t>
  </si>
  <si>
    <t>DURAN/TAURA/3,40 - 5,20</t>
  </si>
  <si>
    <t>DURAN/TAURA/5,21 - 8,25</t>
  </si>
  <si>
    <t>DURAN/TAURA/8,26 - 10,20</t>
  </si>
  <si>
    <t>DURAN/TAURA/mas de 26,49</t>
  </si>
  <si>
    <t>DURAN/TENDALES/0,00 - 3,39</t>
  </si>
  <si>
    <t>DURAN/TENDALES/10,21 - 13,20</t>
  </si>
  <si>
    <t>DURAN/TENDALES/13,21 - 16,59</t>
  </si>
  <si>
    <t>DURAN/TENDALES/16,60 - 26,49</t>
  </si>
  <si>
    <t>DURAN/TENDALES/3,40 - 5,20</t>
  </si>
  <si>
    <t>DURAN/TENDALES/5,21 - 8,25</t>
  </si>
  <si>
    <t>DURAN/TENDALES/8,26 - 10,20</t>
  </si>
  <si>
    <t>DURAN/TENDALES/mas de 26,49</t>
  </si>
  <si>
    <t>DURAN/TENGUEL/0,00 - 3,39</t>
  </si>
  <si>
    <t>DURAN/TENGUEL/10,21 - 13,20</t>
  </si>
  <si>
    <t>DURAN/TENGUEL/13,21 - 16,59</t>
  </si>
  <si>
    <t>DURAN/TENGUEL/16,60 - 26,49</t>
  </si>
  <si>
    <t>DURAN/TENGUEL/3,40 - 5,20</t>
  </si>
  <si>
    <t>DURAN/TENGUEL/5,21 - 8,25</t>
  </si>
  <si>
    <t>DURAN/TENGUEL/8,26 - 10,20</t>
  </si>
  <si>
    <t>DURAN/TENGUEL/mas de 26,49</t>
  </si>
  <si>
    <t>DURAN/TONGUICHE/0,00 - 3,39</t>
  </si>
  <si>
    <t>DURAN/TONGUICHE/10,21 - 13,20</t>
  </si>
  <si>
    <t>DURAN/TONGUICHE/13,21 - 16,59</t>
  </si>
  <si>
    <t>DURAN/TONGUICHE/16,60 - 26,49</t>
  </si>
  <si>
    <t>DURAN/TONGUICHE/3,40 - 5,20</t>
  </si>
  <si>
    <t>DURAN/TONGUICHE/5,21 - 8,25</t>
  </si>
  <si>
    <t>DURAN/TONGUICHE/8,26 - 10,20</t>
  </si>
  <si>
    <t>DURAN/TONGUICHE/mas de 26,49</t>
  </si>
  <si>
    <t>DURAN/TOSAGUA/0,00 - 3,39</t>
  </si>
  <si>
    <t>DURAN/TOSAGUA/10,21 - 13,20</t>
  </si>
  <si>
    <t>DURAN/TOSAGUA/13,21 - 16,59</t>
  </si>
  <si>
    <t>DURAN/TOSAGUA/16,60 - 26,49</t>
  </si>
  <si>
    <t>DURAN/TOSAGUA/3,40 - 5,20</t>
  </si>
  <si>
    <t>DURAN/TOSAGUA/5,21 - 8,25</t>
  </si>
  <si>
    <t>DURAN/TOSAGUA/8,26 - 10,20</t>
  </si>
  <si>
    <t>DURAN/TOSAGUA/mas de 26,49</t>
  </si>
  <si>
    <t>DURAN/VILLA NUEVA ALAMOS/0,00 - 3,39</t>
  </si>
  <si>
    <t>DURAN/VILLA NUEVA ALAMOS/10,21 - 13,20</t>
  </si>
  <si>
    <t>DURAN/VILLA NUEVA ALAMOS/13,21 - 16,59</t>
  </si>
  <si>
    <t>DURAN/VILLA NUEVA ALAMOS/16,60 - 26,49</t>
  </si>
  <si>
    <t>DURAN/VILLA NUEVA ALAMOS/3,40 - 5,20</t>
  </si>
  <si>
    <t>DURAN/VILLA NUEVA ALAMOS/5,21 - 8,25</t>
  </si>
  <si>
    <t>DURAN/VILLA NUEVA ALAMOS/8,26 - 10,20</t>
  </si>
  <si>
    <t>DURAN/VILLA NUEVA ALAMOS/mas de 26,49</t>
  </si>
  <si>
    <t>DURAN/VUELTA LARGA - TAURA/0,00 - 3,39</t>
  </si>
  <si>
    <t>DURAN/VUELTA LARGA - TAURA/10,21 - 13,20</t>
  </si>
  <si>
    <t>DURAN/VUELTA LARGA - TAURA/13,21 - 16,59</t>
  </si>
  <si>
    <t>DURAN/VUELTA LARGA - TAURA/16,60 - 26,49</t>
  </si>
  <si>
    <t>DURAN/VUELTA LARGA - TAURA/3,40 - 5,20</t>
  </si>
  <si>
    <t>DURAN/VUELTA LARGA - TAURA/5,21 - 8,25</t>
  </si>
  <si>
    <t>DURAN/VUELTA LARGA - TAURA/8,26 - 10,20</t>
  </si>
  <si>
    <t>DURAN/VUELTA LARGA - TAURA/mas de 26,49</t>
  </si>
  <si>
    <t>DURAN/YAGUACHI/0,00 - 3,39</t>
  </si>
  <si>
    <t>DURAN/YAGUACHI/10,21 - 13,20</t>
  </si>
  <si>
    <t>DURAN/YAGUACHI/13,21 - 16,59</t>
  </si>
  <si>
    <t>DURAN/YAGUACHI/16,60 - 26,49</t>
  </si>
  <si>
    <t>DURAN/YAGUACHI/3,40 - 5,20</t>
  </si>
  <si>
    <t>DURAN/YAGUACHI/5,21 - 8,25</t>
  </si>
  <si>
    <t>DURAN/YAGUACHI/8,26 - 10,20</t>
  </si>
  <si>
    <t>DURAN/YAGUACHI/mas de 26,49</t>
  </si>
  <si>
    <t>GUAYAQUIL /PUERTO BOLIVAR/0,00 - 3,39</t>
  </si>
  <si>
    <t xml:space="preserve">GUAYAQUIL </t>
  </si>
  <si>
    <t>GUAYAQUIL /PUERTO BOLIVAR/10,21 - 13,20</t>
  </si>
  <si>
    <t>GUAYAQUIL /PUERTO BOLIVAR/13,21 - 16,59</t>
  </si>
  <si>
    <t>GUAYAQUIL /PUERTO BOLIVAR/16,60 - 26,49</t>
  </si>
  <si>
    <t>GUAYAQUIL /PUERTO BOLIVAR/3,40 - 5,20</t>
  </si>
  <si>
    <t>GUAYAQUIL /PUERTO BOLIVAR/5,21 - 8,25</t>
  </si>
  <si>
    <t>GUAYAQUIL /PUERTO BOLIVAR/8,26 - 10,20</t>
  </si>
  <si>
    <t>GUAYAQUIL/AGROGRULED (VIA JUJAN)/0,00 - 3,39</t>
  </si>
  <si>
    <t>GUAYAQUIL/AGROGRULED (VIA JUJAN)/10,21 - 13,20</t>
  </si>
  <si>
    <t>GUAYAQUIL/AGROGRULED (VIA JUJAN)/13,21 - 16,59</t>
  </si>
  <si>
    <t>GUAYAQUIL/AGROGRULED (VIA JUJAN)/16,60 - 26,49</t>
  </si>
  <si>
    <t>GUAYAQUIL/AGROGRULED (VIA JUJAN)/3,40 - 5,20</t>
  </si>
  <si>
    <t>GUAYAQUIL/AGROGRULED (VIA JUJAN)/5,21 - 8,25</t>
  </si>
  <si>
    <t>GUAYAQUIL/AGROGRULED (VIA JUJAN)/8,26 - 10,20</t>
  </si>
  <si>
    <t>GUAYAQUIL/AGROGRULED (VIA JUJAN)/mas de 26,49</t>
  </si>
  <si>
    <t>GUAYAQUIL/ANCONCITO/0,00 - 3,39</t>
  </si>
  <si>
    <t>GUAYAQUIL/ANCONCITO/10,21 - 13,20</t>
  </si>
  <si>
    <t>GUAYAQUIL/ANCONCITO/13,21 - 16,59</t>
  </si>
  <si>
    <t>GUAYAQUIL/ANCONCITO/16,60 - 26,49</t>
  </si>
  <si>
    <t>GUAYAQUIL/ANCONCITO/3,40 - 5,20</t>
  </si>
  <si>
    <t>GUAYAQUIL/ANCONCITO/5,21 - 8,25</t>
  </si>
  <si>
    <t>GUAYAQUIL/ANCONCITO/8,26 - 10,20</t>
  </si>
  <si>
    <t>GUAYAQUIL/ANCONCITO/mas de 26,49</t>
  </si>
  <si>
    <t>GUAYAQUIL/ARENILLAS/0,00 - 3,39</t>
  </si>
  <si>
    <t>GUAYAQUIL/ARENILLAS/10,21 - 13,20</t>
  </si>
  <si>
    <t>GUAYAQUIL/ARENILLAS/13,21 - 16,59</t>
  </si>
  <si>
    <t>GUAYAQUIL/ARENILLAS/16,60 - 26,49</t>
  </si>
  <si>
    <t>GUAYAQUIL/ARENILLAS/3,40 - 5,20</t>
  </si>
  <si>
    <t>GUAYAQUIL/ARENILLAS/5,21 - 8,25</t>
  </si>
  <si>
    <t>GUAYAQUIL/ARENILLAS/8,26 - 10,20</t>
  </si>
  <si>
    <t>GUAYAQUIL/ARENILLAS/mas de 26,49</t>
  </si>
  <si>
    <t>GUAYAQUIL/ATACAMES/0,00 - 3,39</t>
  </si>
  <si>
    <t>GUAYAQUIL/ATACAMES/10,21 - 13,20</t>
  </si>
  <si>
    <t>GUAYAQUIL/ATACAMES/13,21 - 16,59</t>
  </si>
  <si>
    <t>GUAYAQUIL/ATACAMES/16,60 - 26,49</t>
  </si>
  <si>
    <t>GUAYAQUIL/ATACAMES/3,40 - 5,20</t>
  </si>
  <si>
    <t>GUAYAQUIL/ATACAMES/5,21 - 8,25</t>
  </si>
  <si>
    <t>GUAYAQUIL/ATACAMES/8,26 - 10,20</t>
  </si>
  <si>
    <t>GUAYAQUIL/ATACAMES/mas de 26,49</t>
  </si>
  <si>
    <t>GUAYAQUIL/AYALAN/0,00 - 3,39</t>
  </si>
  <si>
    <t>GUAYAQUIL/AYALAN/10,21 - 13,20</t>
  </si>
  <si>
    <t>GUAYAQUIL/AYALAN/13,21 - 16,59</t>
  </si>
  <si>
    <t>GUAYAQUIL/AYALAN/16,60 - 26,49</t>
  </si>
  <si>
    <t>GUAYAQUIL/AYALAN/3,40 - 5,20</t>
  </si>
  <si>
    <t>GUAYAQUIL/AYALAN/5,21 - 8,25</t>
  </si>
  <si>
    <t>GUAYAQUIL/AYALAN/8,26 - 10,20</t>
  </si>
  <si>
    <t>GUAYAQUIL/AYALAN/mas de 26,49</t>
  </si>
  <si>
    <t>GUAYAQUIL/AYANGUE/0,00 - 3,39</t>
  </si>
  <si>
    <t>GUAYAQUIL/AYANGUE/10,21 - 13,20</t>
  </si>
  <si>
    <t>GUAYAQUIL/AYANGUE/13,21 - 16,59</t>
  </si>
  <si>
    <t>GUAYAQUIL/AYANGUE/16,60 - 26,49</t>
  </si>
  <si>
    <t>GUAYAQUIL/AYANGUE/3,40 - 5,20</t>
  </si>
  <si>
    <t>GUAYAQUIL/AYANGUE/5,21 - 8,25</t>
  </si>
  <si>
    <t>GUAYAQUIL/AYANGUE/8,26 - 10,20</t>
  </si>
  <si>
    <t>GUAYAQUIL/AYANGUE/mas de 26,49</t>
  </si>
  <si>
    <t>GUAYAQUIL/BAHIA/0,00 - 3,39</t>
  </si>
  <si>
    <t>GUAYAQUIL/BAHIA/10,21 - 13,20</t>
  </si>
  <si>
    <t>GUAYAQUIL/BAHIA/13,21 - 16,59</t>
  </si>
  <si>
    <t>GUAYAQUIL/BAHIA/16,60 - 26,49</t>
  </si>
  <si>
    <t>GUAYAQUIL/BAHIA/3,40 - 5,20</t>
  </si>
  <si>
    <t>GUAYAQUIL/BAHIA/5,21 - 8,25</t>
  </si>
  <si>
    <t>GUAYAQUIL/BAHIA/8,26 - 10,20</t>
  </si>
  <si>
    <t>GUAYAQUIL/BAHIA/mas de 26,49</t>
  </si>
  <si>
    <t>GUAYAQUIL/BAJO ALTO/0,00 - 3,39</t>
  </si>
  <si>
    <t>GUAYAQUIL/BAJO ALTO/10,21 - 13,20</t>
  </si>
  <si>
    <t>GUAYAQUIL/BAJO ALTO/13,21 - 16,59</t>
  </si>
  <si>
    <t>GUAYAQUIL/BAJO ALTO/16,60 - 26,49</t>
  </si>
  <si>
    <t>GUAYAQUIL/BAJO ALTO/3,40 - 5,20</t>
  </si>
  <si>
    <t>GUAYAQUIL/BAJO ALTO/5,21 - 8,25</t>
  </si>
  <si>
    <t>GUAYAQUIL/BAJO ALTO/8,26 - 10,20</t>
  </si>
  <si>
    <t>GUAYAQUIL/BAJO ALTO/mas de 26,49</t>
  </si>
  <si>
    <t>GUAYAQUIL/BALAO/0,00 - 3,39</t>
  </si>
  <si>
    <t>GUAYAQUIL/BALAO/10,21 - 13,20</t>
  </si>
  <si>
    <t>GUAYAQUIL/BALAO/13,21 - 16,59</t>
  </si>
  <si>
    <t>GUAYAQUIL/BALAO/16,60 - 26,49</t>
  </si>
  <si>
    <t>GUAYAQUIL/BALAO/3,40 - 5,20</t>
  </si>
  <si>
    <t>GUAYAQUIL/BALAO/5,21 - 8,25</t>
  </si>
  <si>
    <t>GUAYAQUIL/BALAO/8,26 - 10,20</t>
  </si>
  <si>
    <t>GUAYAQUIL/BALAO/mas de 26,49</t>
  </si>
  <si>
    <t>GUAYAQUIL/BALOSA/0,00 - 3,39</t>
  </si>
  <si>
    <t>GUAYAQUIL/BALOSA/10,21 - 13,20</t>
  </si>
  <si>
    <t>GUAYAQUIL/BALOSA/13,21 - 16,59</t>
  </si>
  <si>
    <t>GUAYAQUIL/BALOSA/16,60 - 26,49</t>
  </si>
  <si>
    <t>GUAYAQUIL/BALOSA/3,40 - 5,20</t>
  </si>
  <si>
    <t>GUAYAQUIL/BALOSA/5,21 - 8,25</t>
  </si>
  <si>
    <t>GUAYAQUIL/BALOSA/8,26 - 10,20</t>
  </si>
  <si>
    <t>GUAYAQUIL/BALOSA/mas de 26,49</t>
  </si>
  <si>
    <t>GUAYAQUIL/BARBONES/0,00 - 3,39</t>
  </si>
  <si>
    <t>GUAYAQUIL/BARBONES/10,21 - 13,20</t>
  </si>
  <si>
    <t>GUAYAQUIL/BARBONES/13,21 - 16,59</t>
  </si>
  <si>
    <t>GUAYAQUIL/BARBONES/16,60 - 26,49</t>
  </si>
  <si>
    <t>GUAYAQUIL/BARBONES/3,40 - 5,20</t>
  </si>
  <si>
    <t>GUAYAQUIL/BARBONES/5,21 - 8,25</t>
  </si>
  <si>
    <t>GUAYAQUIL/BARBONES/8,26 - 10,20</t>
  </si>
  <si>
    <t>GUAYAQUIL/BARBONES/mas de 26,49</t>
  </si>
  <si>
    <t>GUAYAQUIL/BOCA DE BRISEÑO/0,00 - 3,39</t>
  </si>
  <si>
    <t>GUAYAQUIL/BOCA DE BRISEÑO/10,21 - 13,20</t>
  </si>
  <si>
    <t>GUAYAQUIL/BOCA DE BRISEÑO/13,21 - 16,59</t>
  </si>
  <si>
    <t>GUAYAQUIL/BOCA DE BRISEÑO/16,60 - 26,49</t>
  </si>
  <si>
    <t>GUAYAQUIL/BOCA DE BRISEÑO/3,40 - 5,20</t>
  </si>
  <si>
    <t>GUAYAQUIL/BOCA DE BRISEÑO/5,21 - 8,25</t>
  </si>
  <si>
    <t>GUAYAQUIL/BOCA DE BRISEÑO/8,26 - 10,20</t>
  </si>
  <si>
    <t>GUAYAQUIL/BOCA DE BRISEÑO/mas de 26,49</t>
  </si>
  <si>
    <t>GUAYAQUIL/BOLA DE ORO/0,00 - 3,39</t>
  </si>
  <si>
    <t>GUAYAQUIL/BOLA DE ORO/10,21 - 13,20</t>
  </si>
  <si>
    <t>GUAYAQUIL/BOLA DE ORO/13,21 - 16,59</t>
  </si>
  <si>
    <t>GUAYAQUIL/BOLA DE ORO/16,60 - 26,49</t>
  </si>
  <si>
    <t>GUAYAQUIL/BOLA DE ORO/3,40 - 5,20</t>
  </si>
  <si>
    <t>GUAYAQUIL/BOLA DE ORO/5,21 - 8,25</t>
  </si>
  <si>
    <t>GUAYAQUIL/BOLA DE ORO/8,26 - 10,20</t>
  </si>
  <si>
    <t>GUAYAQUIL/BOLA DE ORO/mas de 26,49</t>
  </si>
  <si>
    <t>GUAYAQUIL/BORBON/0,00 - 3,39</t>
  </si>
  <si>
    <t>GUAYAQUIL/BORBON/10,21 - 13,20</t>
  </si>
  <si>
    <t>GUAYAQUIL/BORBON/13,21 - 16,59</t>
  </si>
  <si>
    <t>GUAYAQUIL/BORBON/16,60 - 26,49</t>
  </si>
  <si>
    <t>GUAYAQUIL/BORBON/3,40 - 5,20</t>
  </si>
  <si>
    <t>GUAYAQUIL/BORBON/5,21 - 8,25</t>
  </si>
  <si>
    <t>GUAYAQUIL/BORBON/8,26 - 10,20</t>
  </si>
  <si>
    <t>GUAYAQUIL/BORBON/mas de 26,49</t>
  </si>
  <si>
    <t>GUAYAQUIL/CANOA/0,00 - 3,39</t>
  </si>
  <si>
    <t>GUAYAQUIL/CANOA/10,21 - 13,20</t>
  </si>
  <si>
    <t>GUAYAQUIL/CANOA/13,21 - 16,59</t>
  </si>
  <si>
    <t>GUAYAQUIL/CANOA/16,60 - 26,49</t>
  </si>
  <si>
    <t>GUAYAQUIL/CANOA/3,40 - 5,20</t>
  </si>
  <si>
    <t>GUAYAQUIL/CANOA/5,21 - 8,25</t>
  </si>
  <si>
    <t>GUAYAQUIL/CANOA/8,26 - 10,20</t>
  </si>
  <si>
    <t>GUAYAQUIL/CANOA/mas de 26,49</t>
  </si>
  <si>
    <t>GUAYAQUIL/CERECITA/0,00 - 3,39</t>
  </si>
  <si>
    <t>GUAYAQUIL/CERECITA/10,21 - 13,20</t>
  </si>
  <si>
    <t>GUAYAQUIL/CERECITA/13,21 - 16,59</t>
  </si>
  <si>
    <t>GUAYAQUIL/CERECITA/16,60 - 26,49</t>
  </si>
  <si>
    <t>GUAYAQUIL/CERECITA/3,40 - 5,20</t>
  </si>
  <si>
    <t>GUAYAQUIL/CERECITA/5,21 - 8,25</t>
  </si>
  <si>
    <t>GUAYAQUIL/CERECITA/8,26 - 10,20</t>
  </si>
  <si>
    <t>GUAYAQUIL/CERECITA/mas de 26,49</t>
  </si>
  <si>
    <t>GUAYAQUIL/CHANDUY/0,00 - 3,39</t>
  </si>
  <si>
    <t>GUAYAQUIL/CHANDUY/10,21 - 13,20</t>
  </si>
  <si>
    <t>GUAYAQUIL/CHANDUY/13,21 - 16,59</t>
  </si>
  <si>
    <t>GUAYAQUIL/CHANDUY/16,60 - 26,49</t>
  </si>
  <si>
    <t>GUAYAQUIL/CHANDUY/3,40 - 5,20</t>
  </si>
  <si>
    <t>GUAYAQUIL/CHANDUY/5,21 - 8,25</t>
  </si>
  <si>
    <t>GUAYAQUIL/CHANDUY/8,26 - 10,20</t>
  </si>
  <si>
    <t>GUAYAQUIL/CHANDUY/mas de 26,49</t>
  </si>
  <si>
    <t>GUAYAQUIL/CHONE/0,00 - 3,39</t>
  </si>
  <si>
    <t>GUAYAQUIL/CHONE/10,21 - 13,20</t>
  </si>
  <si>
    <t>GUAYAQUIL/CHONE/13,21 - 16,59</t>
  </si>
  <si>
    <t>GUAYAQUIL/CHONE/16,60 - 26,49</t>
  </si>
  <si>
    <t>GUAYAQUIL/CHONE/3,40 - 5,20</t>
  </si>
  <si>
    <t>GUAYAQUIL/CHONE/5,21 - 8,25</t>
  </si>
  <si>
    <t>GUAYAQUIL/CHONE/8,26 - 10,20</t>
  </si>
  <si>
    <t>GUAYAQUIL/CHONE/mas de 26,49</t>
  </si>
  <si>
    <t>GUAYAQUIL/CHONGON/0,00 - 3,39</t>
  </si>
  <si>
    <t>GUAYAQUIL/CHONGON/10,21 - 13,20</t>
  </si>
  <si>
    <t>GUAYAQUIL/CHONGON/13,21 - 16,59</t>
  </si>
  <si>
    <t>GUAYAQUIL/CHONGON/16,60 - 26,49</t>
  </si>
  <si>
    <t>GUAYAQUIL/CHONGON/3,40 - 5,20</t>
  </si>
  <si>
    <t>GUAYAQUIL/CHONGON/5,21 - 8,25</t>
  </si>
  <si>
    <t>GUAYAQUIL/CHONGON/8,26 - 10,20</t>
  </si>
  <si>
    <t>GUAYAQUIL/CHONGON/mas de 26,49</t>
  </si>
  <si>
    <t>GUAYAQUIL/CHURUTE/0,00 - 3,39</t>
  </si>
  <si>
    <t>GUAYAQUIL/CHURUTE/10,21 - 13,20</t>
  </si>
  <si>
    <t>GUAYAQUIL/CHURUTE/13,21 - 16,59</t>
  </si>
  <si>
    <t>GUAYAQUIL/CHURUTE/16,60 - 26,49</t>
  </si>
  <si>
    <t>GUAYAQUIL/CHURUTE/3,40 - 5,20</t>
  </si>
  <si>
    <t>GUAYAQUIL/CHURUTE/5,21 - 8,25</t>
  </si>
  <si>
    <t>GUAYAQUIL/CHURUTE/8,26 - 10,20</t>
  </si>
  <si>
    <t>GUAYAQUIL/CHURUTE/mas de 26,49</t>
  </si>
  <si>
    <t>GUAYAQUIL/CIEN FAMILIAS /0,00 - 3,39</t>
  </si>
  <si>
    <t>GUAYAQUIL/CIEN FAMILIAS /10,21 - 13,20</t>
  </si>
  <si>
    <t>GUAYAQUIL/CIEN FAMILIAS /13,21 - 16,59</t>
  </si>
  <si>
    <t>GUAYAQUIL/CIEN FAMILIAS /16,60 - 26,49</t>
  </si>
  <si>
    <t>GUAYAQUIL/CIEN FAMILIAS /3,40 - 5,20</t>
  </si>
  <si>
    <t>GUAYAQUIL/CIEN FAMILIAS /5,21 - 8,25</t>
  </si>
  <si>
    <t>GUAYAQUIL/CIEN FAMILIAS /8,26 - 10,20</t>
  </si>
  <si>
    <t>GUAYAQUIL/CIEN FAMILIAS /mas de 26,49</t>
  </si>
  <si>
    <t>GUAYAQUIL/CIEN FAMILIAS/0,00 - 3,39</t>
  </si>
  <si>
    <t>GUAYAQUIL/CIEN FAMILIAS/10,21 - 13,20</t>
  </si>
  <si>
    <t>GUAYAQUIL/CIEN FAMILIAS/13,21 - 16,59</t>
  </si>
  <si>
    <t>GUAYAQUIL/CIEN FAMILIAS/16,60 - 26,49</t>
  </si>
  <si>
    <t>GUAYAQUIL/CIEN FAMILIAS/3,40 - 5,20</t>
  </si>
  <si>
    <t>GUAYAQUIL/CIEN FAMILIAS/5,21 - 8,25</t>
  </si>
  <si>
    <t>GUAYAQUIL/CIEN FAMILIAS/8,26 - 10,20</t>
  </si>
  <si>
    <t>GUAYAQUIL/CIEN FAMILIAS/mas de 26,49</t>
  </si>
  <si>
    <t>GUAYAQUIL/COJIMIES/0,00 - 3,39</t>
  </si>
  <si>
    <t>GUAYAQUIL/COJIMIES/10,21 - 13,20</t>
  </si>
  <si>
    <t>GUAYAQUIL/COJIMIES/13,21 - 16,59</t>
  </si>
  <si>
    <t>GUAYAQUIL/COJIMIES/16,60 - 26,49</t>
  </si>
  <si>
    <t>GUAYAQUIL/COJIMIES/3,40 - 5,20</t>
  </si>
  <si>
    <t>GUAYAQUIL/COJIMIES/5,21 - 8,25</t>
  </si>
  <si>
    <t>GUAYAQUIL/COJIMIES/8,26 - 10,20</t>
  </si>
  <si>
    <t>GUAYAQUIL/COJIMIES/mas de 26,49</t>
  </si>
  <si>
    <t>GUAYAQUIL/DAULAR/0,00 - 3,39</t>
  </si>
  <si>
    <t>GUAYAQUIL/DAULAR/10,21 - 13,20</t>
  </si>
  <si>
    <t>GUAYAQUIL/DAULAR/13,21 - 16,59</t>
  </si>
  <si>
    <t>GUAYAQUIL/DAULAR/16,60 - 26,49</t>
  </si>
  <si>
    <t>GUAYAQUIL/DAULAR/3,40 - 5,20</t>
  </si>
  <si>
    <t>GUAYAQUIL/DAULAR/5,21 - 8,25</t>
  </si>
  <si>
    <t>GUAYAQUIL/DAULAR/8,26 - 10,20</t>
  </si>
  <si>
    <t>GUAYAQUIL/DAULAR/mas de 26,49</t>
  </si>
  <si>
    <t>GUAYAQUIL/DAULE/0,00 - 3,39</t>
  </si>
  <si>
    <t>GUAYAQUIL/DAULE/10,21 - 13,20</t>
  </si>
  <si>
    <t>GUAYAQUIL/DAULE/13,21 - 16,59</t>
  </si>
  <si>
    <t>GUAYAQUIL/DAULE/16,60 - 26,49</t>
  </si>
  <si>
    <t>GUAYAQUIL/DAULE/3,40 - 5,20</t>
  </si>
  <si>
    <t>GUAYAQUIL/DAULE/5,21 - 8,25</t>
  </si>
  <si>
    <t>GUAYAQUIL/DAULE/8,26 - 10,20</t>
  </si>
  <si>
    <t>GUAYAQUIL/DAULE/mas de 26,49</t>
  </si>
  <si>
    <t>GUAYAQUIL/DURAN/0,00 - 3,39</t>
  </si>
  <si>
    <t>GUAYAQUIL/DURAN/10,21 - 13,20</t>
  </si>
  <si>
    <t>GUAYAQUIL/DURAN/13,21 - 16,59</t>
  </si>
  <si>
    <t>GUAYAQUIL/DURAN/16,60 - 26,49</t>
  </si>
  <si>
    <t>GUAYAQUIL/DURAN/3,40 - 5,20</t>
  </si>
  <si>
    <t>GUAYAQUIL/DURAN/5,21 - 8,25</t>
  </si>
  <si>
    <t>GUAYAQUIL/DURAN/8,26 - 10,20</t>
  </si>
  <si>
    <t>GUAYAQUIL/DURAN/mas de 26,49</t>
  </si>
  <si>
    <t>GUAYAQUIL/EL MANGO/0,00 - 3,39</t>
  </si>
  <si>
    <t>GUAYAQUIL/EL MANGO/10,21 - 13,20</t>
  </si>
  <si>
    <t>GUAYAQUIL/EL MANGO/13,21 - 16,59</t>
  </si>
  <si>
    <t>GUAYAQUIL/EL MANGO/16,60 - 26,49</t>
  </si>
  <si>
    <t>GUAYAQUIL/EL MANGO/3,40 - 5,20</t>
  </si>
  <si>
    <t>GUAYAQUIL/EL MANGO/5,21 - 8,25</t>
  </si>
  <si>
    <t>GUAYAQUIL/EL MANGO/8,26 - 10,20</t>
  </si>
  <si>
    <t>GUAYAQUIL/EL MANGO/mas de 26,49</t>
  </si>
  <si>
    <t>GUAYAQUIL/EL MORRO/0,00 - 3,39</t>
  </si>
  <si>
    <t>GUAYAQUIL/EL MORRO/10,21 - 13,20</t>
  </si>
  <si>
    <t>GUAYAQUIL/EL MORRO/13,21 - 16,59</t>
  </si>
  <si>
    <t>GUAYAQUIL/EL MORRO/16,60 - 26,49</t>
  </si>
  <si>
    <t>GUAYAQUIL/EL MORRO/3,40 - 5,20</t>
  </si>
  <si>
    <t>GUAYAQUIL/EL MORRO/5,21 - 8,25</t>
  </si>
  <si>
    <t>GUAYAQUIL/EL MORRO/8,26 - 10,20</t>
  </si>
  <si>
    <t>GUAYAQUIL/EL MORRO/mas de 26,49</t>
  </si>
  <si>
    <t>GUAYAQUIL/EL RETIRO/0,00 - 3,39</t>
  </si>
  <si>
    <t>GUAYAQUIL/EL RETIRO/10,21 - 13,20</t>
  </si>
  <si>
    <t>GUAYAQUIL/EL RETIRO/13,21 - 16,59</t>
  </si>
  <si>
    <t>GUAYAQUIL/EL RETIRO/16,60 - 26,49</t>
  </si>
  <si>
    <t>GUAYAQUIL/EL RETIRO/3,40 - 5,20</t>
  </si>
  <si>
    <t>GUAYAQUIL/EL RETIRO/5,21 - 8,25</t>
  </si>
  <si>
    <t>GUAYAQUIL/EL RETIRO/8,26 - 10,20</t>
  </si>
  <si>
    <t>GUAYAQUIL/EL RETIRO/mas de 26,49</t>
  </si>
  <si>
    <t>GUAYAQUIL/ENGABAO/0,00 - 3,39</t>
  </si>
  <si>
    <t>GUAYAQUIL/ENGABAO/10,21 - 13,20</t>
  </si>
  <si>
    <t>GUAYAQUIL/ENGABAO/13,21 - 16,59</t>
  </si>
  <si>
    <t>GUAYAQUIL/ENGABAO/16,60 - 26,49</t>
  </si>
  <si>
    <t>GUAYAQUIL/ENGABAO/3,40 - 5,20</t>
  </si>
  <si>
    <t>GUAYAQUIL/ENGABAO/5,21 - 8,25</t>
  </si>
  <si>
    <t>GUAYAQUIL/ENGABAO/8,26 - 10,20</t>
  </si>
  <si>
    <t>GUAYAQUIL/ENGABAO/mas de 26,49</t>
  </si>
  <si>
    <t>GUAYAQUIL/ENGUNGA/0,00 - 3,39</t>
  </si>
  <si>
    <t>GUAYAQUIL/ENGUNGA/10,21 - 13,20</t>
  </si>
  <si>
    <t>GUAYAQUIL/ENGUNGA/13,21 - 16,59</t>
  </si>
  <si>
    <t>GUAYAQUIL/ENGUNGA/16,60 - 26,49</t>
  </si>
  <si>
    <t>GUAYAQUIL/ENGUNGA/3,40 - 5,20</t>
  </si>
  <si>
    <t>GUAYAQUIL/ENGUNGA/5,21 - 8,25</t>
  </si>
  <si>
    <t>GUAYAQUIL/ENGUNGA/8,26 - 10,20</t>
  </si>
  <si>
    <t>GUAYAQUIL/ENGUNGA/mas de 26,49</t>
  </si>
  <si>
    <t>GUAYAQUIL/ESMERALDAS/0,00 - 3,39</t>
  </si>
  <si>
    <t>GUAYAQUIL/ESMERALDAS/10,21 - 13,20</t>
  </si>
  <si>
    <t>GUAYAQUIL/ESMERALDAS/13,21 - 16,59</t>
  </si>
  <si>
    <t>GUAYAQUIL/ESMERALDAS/16,60 - 26,49</t>
  </si>
  <si>
    <t>GUAYAQUIL/ESMERALDAS/3,40 - 5,20</t>
  </si>
  <si>
    <t>GUAYAQUIL/ESMERALDAS/5,21 - 8,25</t>
  </si>
  <si>
    <t>GUAYAQUIL/ESMERALDAS/8,26 - 10,20</t>
  </si>
  <si>
    <t>GUAYAQUIL/ESMERALDAS/mas de 26,49</t>
  </si>
  <si>
    <t>GUAYAQUIL/FLAVIO ALFARO/0,00 - 3,39</t>
  </si>
  <si>
    <t>GUAYAQUIL/FLAVIO ALFARO/10,21 - 13,20</t>
  </si>
  <si>
    <t>GUAYAQUIL/FLAVIO ALFARO/13,21 - 16,59</t>
  </si>
  <si>
    <t>GUAYAQUIL/FLAVIO ALFARO/16,60 - 26,49</t>
  </si>
  <si>
    <t>GUAYAQUIL/FLAVIO ALFARO/3,40 - 5,20</t>
  </si>
  <si>
    <t>GUAYAQUIL/FLAVIO ALFARO/5,21 - 8,25</t>
  </si>
  <si>
    <t>GUAYAQUIL/FLAVIO ALFARO/8,26 - 10,20</t>
  </si>
  <si>
    <t>GUAYAQUIL/FLAVIO ALFARO/mas de 26,49</t>
  </si>
  <si>
    <t>GUAYAQUIL/GUAYAQUIL/0,00 - 3,39</t>
  </si>
  <si>
    <t>GUAYAQUIL/GUAYAQUIL/10,21 - 13,20</t>
  </si>
  <si>
    <t>GUAYAQUIL/GUAYAQUIL/13,21 - 16,59</t>
  </si>
  <si>
    <t>GUAYAQUIL/GUAYAQUIL/16,60 - 26,49</t>
  </si>
  <si>
    <t>GUAYAQUIL/GUAYAQUIL/3,40 - 5,20</t>
  </si>
  <si>
    <t>GUAYAQUIL/GUAYAQUIL/5,21 - 8,25</t>
  </si>
  <si>
    <t>GUAYAQUIL/GUAYAQUIL/8,26 - 10,20</t>
  </si>
  <si>
    <t>GUAYAQUIL/GUAYAQUIL/mas de 26,49</t>
  </si>
  <si>
    <t>GUAYAQUIL/GUNILLA/0,00 - 3,39</t>
  </si>
  <si>
    <t>GUAYAQUIL/GUNILLA/10,21 - 13,20</t>
  </si>
  <si>
    <t>GUAYAQUIL/GUNILLA/13,21 - 16,59</t>
  </si>
  <si>
    <t>GUAYAQUIL/GUNILLA/16,60 - 26,49</t>
  </si>
  <si>
    <t>GUAYAQUIL/GUNILLA/3,40 - 5,20</t>
  </si>
  <si>
    <t>GUAYAQUIL/GUNILLA/5,21 - 8,25</t>
  </si>
  <si>
    <t>GUAYAQUIL/GUNILLA/8,26 - 10,20</t>
  </si>
  <si>
    <t>GUAYAQUIL/GUNILLA/mas de 26,49</t>
  </si>
  <si>
    <t>GUAYAQUIL/HUALTACO/0,00 - 3,39</t>
  </si>
  <si>
    <t>GUAYAQUIL/HUALTACO/10,21 - 13,20</t>
  </si>
  <si>
    <t>GUAYAQUIL/HUALTACO/13,21 - 16,59</t>
  </si>
  <si>
    <t>GUAYAQUIL/HUALTACO/16,60 - 26,49</t>
  </si>
  <si>
    <t>GUAYAQUIL/HUALTACO/3,40 - 5,20</t>
  </si>
  <si>
    <t>GUAYAQUIL/HUALTACO/5,21 - 8,25</t>
  </si>
  <si>
    <t>GUAYAQUIL/HUALTACO/8,26 - 10,20</t>
  </si>
  <si>
    <t>GUAYAQUIL/HUALTACO/mas de 26,49</t>
  </si>
  <si>
    <t>GUAYAQUIL/HUAQUILLAS/0,00 - 3,39</t>
  </si>
  <si>
    <t>GUAYAQUIL/HUAQUILLAS/10,21 - 13,20</t>
  </si>
  <si>
    <t>GUAYAQUIL/HUAQUILLAS/13,21 - 16,59</t>
  </si>
  <si>
    <t>GUAYAQUIL/HUAQUILLAS/16,60 - 26,49</t>
  </si>
  <si>
    <t>GUAYAQUIL/HUAQUILLAS/3,40 - 5,20</t>
  </si>
  <si>
    <t>GUAYAQUIL/HUAQUILLAS/5,21 - 8,25</t>
  </si>
  <si>
    <t>GUAYAQUIL/HUAQUILLAS/8,26 - 10,20</t>
  </si>
  <si>
    <t>GUAYAQUIL/HUAQUILLAS/mas de 26,49</t>
  </si>
  <si>
    <t>GUAYAQUIL/JAMA/0,00 - 3,39</t>
  </si>
  <si>
    <t>GUAYAQUIL/JAMA/10,21 - 13,20</t>
  </si>
  <si>
    <t>GUAYAQUIL/JAMA/13,21 - 16,59</t>
  </si>
  <si>
    <t>GUAYAQUIL/JAMA/16,60 - 26,49</t>
  </si>
  <si>
    <t>GUAYAQUIL/JAMA/3,40 - 5,20</t>
  </si>
  <si>
    <t>GUAYAQUIL/JAMA/5,21 - 8,25</t>
  </si>
  <si>
    <t>GUAYAQUIL/JAMA/8,26 - 10,20</t>
  </si>
  <si>
    <t>GUAYAQUIL/JAMA/mas de 26,49</t>
  </si>
  <si>
    <t>GUAYAQUIL/JIPIJAPA/0,00 - 3,39</t>
  </si>
  <si>
    <t>GUAYAQUIL/JIPIJAPA/10,21 - 13,20</t>
  </si>
  <si>
    <t>GUAYAQUIL/JIPIJAPA/13,21 - 16,59</t>
  </si>
  <si>
    <t>GUAYAQUIL/JIPIJAPA/16,60 - 26,49</t>
  </si>
  <si>
    <t>GUAYAQUIL/JIPIJAPA/3,40 - 5,20</t>
  </si>
  <si>
    <t>GUAYAQUIL/JIPIJAPA/5,21 - 8,25</t>
  </si>
  <si>
    <t>GUAYAQUIL/JIPIJAPA/8,26 - 10,20</t>
  </si>
  <si>
    <t>GUAYAQUIL/JIPIJAPA/mas de 26,49</t>
  </si>
  <si>
    <t>GUAYAQUIL/JUJAN/0,00 - 3,39</t>
  </si>
  <si>
    <t>GUAYAQUIL/JUJAN/10,21 - 13,20</t>
  </si>
  <si>
    <t>GUAYAQUIL/JUJAN/13,21 - 16,59</t>
  </si>
  <si>
    <t>GUAYAQUIL/JUJAN/16,60 - 26,49</t>
  </si>
  <si>
    <t>GUAYAQUIL/JUJAN/3,40 - 5,20</t>
  </si>
  <si>
    <t>GUAYAQUIL/JUJAN/5,21 - 8,25</t>
  </si>
  <si>
    <t>GUAYAQUIL/JUJAN/8,26 - 10,20</t>
  </si>
  <si>
    <t>GUAYAQUIL/JUJAN/mas de 26,49</t>
  </si>
  <si>
    <t>GUAYAQUIL/LA CUCA/0,00 - 3,39</t>
  </si>
  <si>
    <t>GUAYAQUIL/LA CUCA/10,21 - 13,20</t>
  </si>
  <si>
    <t>GUAYAQUIL/LA CUCA/13,21 - 16,59</t>
  </si>
  <si>
    <t>GUAYAQUIL/LA CUCA/16,60 - 26,49</t>
  </si>
  <si>
    <t>GUAYAQUIL/LA CUCA/3,40 - 5,20</t>
  </si>
  <si>
    <t>GUAYAQUIL/LA CUCA/5,21 - 8,25</t>
  </si>
  <si>
    <t>GUAYAQUIL/LA CUCA/8,26 - 10,20</t>
  </si>
  <si>
    <t>GUAYAQUIL/LA CUCA/mas de 26,49</t>
  </si>
  <si>
    <t>GUAYAQUIL/LA DELICIA - DIOSMAR/0,00 - 3,39</t>
  </si>
  <si>
    <t>GUAYAQUIL/LA DELICIA - DIOSMAR/10,21 - 13,20</t>
  </si>
  <si>
    <t>GUAYAQUIL/LA DELICIA - DIOSMAR/13,21 - 16,59</t>
  </si>
  <si>
    <t>GUAYAQUIL/LA DELICIA - DIOSMAR/16,60 - 26,49</t>
  </si>
  <si>
    <t>GUAYAQUIL/LA DELICIA - DIOSMAR/3,40 - 5,20</t>
  </si>
  <si>
    <t>GUAYAQUIL/LA DELICIA - DIOSMAR/5,21 - 8,25</t>
  </si>
  <si>
    <t>GUAYAQUIL/LA DELICIA - DIOSMAR/8,26 - 10,20</t>
  </si>
  <si>
    <t>GUAYAQUIL/LA DELICIA - DIOSMAR/mas de 26,49</t>
  </si>
  <si>
    <t>GUAYAQUIL/LA FLORA/0,00 - 3,39</t>
  </si>
  <si>
    <t>GUAYAQUIL/LA FLORA/10,21 - 13,20</t>
  </si>
  <si>
    <t>GUAYAQUIL/LA FLORA/13,21 - 16,59</t>
  </si>
  <si>
    <t>GUAYAQUIL/LA FLORA/16,60 - 26,49</t>
  </si>
  <si>
    <t>GUAYAQUIL/LA FLORA/3,40 - 5,20</t>
  </si>
  <si>
    <t>GUAYAQUIL/LA FLORA/5,21 - 8,25</t>
  </si>
  <si>
    <t>GUAYAQUIL/LA FLORA/8,26 - 10,20</t>
  </si>
  <si>
    <t>GUAYAQUIL/LA FLORA/mas de 26,49</t>
  </si>
  <si>
    <t>GUAYAQUIL/LA HUADA/0,00 - 3,39</t>
  </si>
  <si>
    <t>GUAYAQUIL/LA HUADA/10,21 - 13,20</t>
  </si>
  <si>
    <t>GUAYAQUIL/LA HUADA/13,21 - 16,59</t>
  </si>
  <si>
    <t>GUAYAQUIL/LA HUADA/16,60 - 26,49</t>
  </si>
  <si>
    <t>GUAYAQUIL/LA HUADA/3,40 - 5,20</t>
  </si>
  <si>
    <t>GUAYAQUIL/LA HUADA/5,21 - 8,25</t>
  </si>
  <si>
    <t>GUAYAQUIL/LA HUADA/8,26 - 10,20</t>
  </si>
  <si>
    <t>GUAYAQUIL/LA HUADA/mas de 26,49</t>
  </si>
  <si>
    <t>GUAYAQUIL/LAS ESCLUSAS/0,00 - 3,39</t>
  </si>
  <si>
    <t>GUAYAQUIL/LAS ESCLUSAS/10,21 - 13,20</t>
  </si>
  <si>
    <t>GUAYAQUIL/LAS ESCLUSAS/13,21 - 16,59</t>
  </si>
  <si>
    <t>GUAYAQUIL/LAS ESCLUSAS/16,60 - 26,49</t>
  </si>
  <si>
    <t>GUAYAQUIL/LAS ESCLUSAS/3,40 - 5,20</t>
  </si>
  <si>
    <t>GUAYAQUIL/LAS ESCLUSAS/5,21 - 8,25</t>
  </si>
  <si>
    <t>GUAYAQUIL/LAS ESCLUSAS/8,26 - 10,20</t>
  </si>
  <si>
    <t>GUAYAQUIL/LAS ESCLUSAS/mas de 26,49</t>
  </si>
  <si>
    <t>GUAYAQUIL/LIBERTAD/0,00 - 3,39</t>
  </si>
  <si>
    <t>GUAYAQUIL/LIBERTAD/10,21 - 13,20</t>
  </si>
  <si>
    <t>GUAYAQUIL/LIBERTAD/13,21 - 16,59</t>
  </si>
  <si>
    <t>GUAYAQUIL/LIBERTAD/16,60 - 26,49</t>
  </si>
  <si>
    <t>GUAYAQUIL/LIBERTAD/3,40 - 5,20</t>
  </si>
  <si>
    <t>GUAYAQUIL/LIBERTAD/5,21 - 8,25</t>
  </si>
  <si>
    <t>GUAYAQUIL/LIBERTAD/8,26 - 10,20</t>
  </si>
  <si>
    <t>GUAYAQUIL/LIBERTAD/mas de 26,49</t>
  </si>
  <si>
    <t>GUAYAQUIL/MACHALA/0,00 - 3,39</t>
  </si>
  <si>
    <t>GUAYAQUIL/MACHALA/10,21 - 13,20</t>
  </si>
  <si>
    <t>GUAYAQUIL/MACHALA/13,21 - 16,59</t>
  </si>
  <si>
    <t>GUAYAQUIL/MACHALA/16,60 - 26,49</t>
  </si>
  <si>
    <t>GUAYAQUIL/MACHALA/3,40 - 5,20</t>
  </si>
  <si>
    <t>GUAYAQUIL/MACHALA/5,21 - 8,25</t>
  </si>
  <si>
    <t>GUAYAQUIL/MACHALA/8,26 - 10,20</t>
  </si>
  <si>
    <t>GUAYAQUIL/MACHALA/mas de 26,49</t>
  </si>
  <si>
    <t>GUAYAQUIL/MANGLARALTO/0,00 - 3,39</t>
  </si>
  <si>
    <t>GUAYAQUIL/MANGLARALTO/10,21 - 13,20</t>
  </si>
  <si>
    <t>GUAYAQUIL/MANGLARALTO/13,21 - 16,59</t>
  </si>
  <si>
    <t>GUAYAQUIL/MANGLARALTO/16,60 - 26,49</t>
  </si>
  <si>
    <t>GUAYAQUIL/MANGLARALTO/3,40 - 5,20</t>
  </si>
  <si>
    <t>GUAYAQUIL/MANGLARALTO/5,21 - 8,25</t>
  </si>
  <si>
    <t>GUAYAQUIL/MANGLARALTO/8,26 - 10,20</t>
  </si>
  <si>
    <t>GUAYAQUIL/MANGLARALTO/mas de 26,49</t>
  </si>
  <si>
    <t>GUAYAQUIL/MANTA/0,00 - 3,39</t>
  </si>
  <si>
    <t>GUAYAQUIL/MANTA/10,21 - 13,20</t>
  </si>
  <si>
    <t>GUAYAQUIL/MANTA/13,21 - 16,59</t>
  </si>
  <si>
    <t>GUAYAQUIL/MANTA/16,60 - 26,49</t>
  </si>
  <si>
    <t>GUAYAQUIL/MANTA/3,40 - 5,20</t>
  </si>
  <si>
    <t>GUAYAQUIL/MANTA/5,21 - 8,25</t>
  </si>
  <si>
    <t>GUAYAQUIL/MANTA/8,26 - 10,20</t>
  </si>
  <si>
    <t>GUAYAQUIL/MANTA/mas de 26,49</t>
  </si>
  <si>
    <t>GUAYAQUIL/MAR BRAVO/0,00 - 3,39</t>
  </si>
  <si>
    <t>GUAYAQUIL/MAR BRAVO/10,21 - 13,20</t>
  </si>
  <si>
    <t>GUAYAQUIL/MAR BRAVO/13,21 - 16,59</t>
  </si>
  <si>
    <t>GUAYAQUIL/MAR BRAVO/16,60 - 26,49</t>
  </si>
  <si>
    <t>GUAYAQUIL/MAR BRAVO/3,40 - 5,20</t>
  </si>
  <si>
    <t>GUAYAQUIL/MAR BRAVO/5,21 - 8,25</t>
  </si>
  <si>
    <t>GUAYAQUIL/MAR BRAVO/8,26 - 10,20</t>
  </si>
  <si>
    <t>GUAYAQUIL/MAR BRAVO/mas de 26,49</t>
  </si>
  <si>
    <t>GUAYAQUIL/MILAGRO/0,00 - 3,39</t>
  </si>
  <si>
    <t>GUAYAQUIL/MILAGRO/10,21 - 13,20</t>
  </si>
  <si>
    <t>GUAYAQUIL/MILAGRO/13,21 - 16,59</t>
  </si>
  <si>
    <t>GUAYAQUIL/MILAGRO/16,60 - 26,49</t>
  </si>
  <si>
    <t>GUAYAQUIL/MILAGRO/3,40 - 5,20</t>
  </si>
  <si>
    <t>GUAYAQUIL/MILAGRO/5,21 - 8,25</t>
  </si>
  <si>
    <t>GUAYAQUIL/MILAGRO/8,26 - 10,20</t>
  </si>
  <si>
    <t>GUAYAQUIL/MILAGRO/mas de 26,49</t>
  </si>
  <si>
    <t>GUAYAQUIL/MONTAÑITA/0,00 - 3,39</t>
  </si>
  <si>
    <t>GUAYAQUIL/MONTAÑITA/10,21 - 13,20</t>
  </si>
  <si>
    <t>GUAYAQUIL/MONTAÑITA/13,21 - 16,59</t>
  </si>
  <si>
    <t>GUAYAQUIL/MONTAÑITA/16,60 - 26,49</t>
  </si>
  <si>
    <t>GUAYAQUIL/MONTAÑITA/3,40 - 5,20</t>
  </si>
  <si>
    <t>GUAYAQUIL/MONTAÑITA/5,21 - 8,25</t>
  </si>
  <si>
    <t>GUAYAQUIL/MONTAÑITA/8,26 - 10,20</t>
  </si>
  <si>
    <t>GUAYAQUIL/MONTAÑITA/mas de 26,49</t>
  </si>
  <si>
    <t>GUAYAQUIL/MONTEVERDE/0,00 - 3,39</t>
  </si>
  <si>
    <t>GUAYAQUIL/MONTEVERDE/10,21 - 13,20</t>
  </si>
  <si>
    <t>GUAYAQUIL/MONTEVERDE/13,21 - 16,59</t>
  </si>
  <si>
    <t>GUAYAQUIL/MONTEVERDE/16,60 - 26,49</t>
  </si>
  <si>
    <t>GUAYAQUIL/MONTEVERDE/3,40 - 5,20</t>
  </si>
  <si>
    <t>GUAYAQUIL/MONTEVERDE/5,21 - 8,25</t>
  </si>
  <si>
    <t>GUAYAQUIL/MONTEVERDE/8,26 - 10,20</t>
  </si>
  <si>
    <t>GUAYAQUIL/MONTEVERDE/mas de 26,49</t>
  </si>
  <si>
    <t>GUAYAQUIL/MUISNE/0,00 - 3,39</t>
  </si>
  <si>
    <t>GUAYAQUIL/MUISNE/10,21 - 13,20</t>
  </si>
  <si>
    <t>GUAYAQUIL/MUISNE/13,21 - 16,59</t>
  </si>
  <si>
    <t>GUAYAQUIL/MUISNE/16,60 - 26,49</t>
  </si>
  <si>
    <t>GUAYAQUIL/MUISNE/3,40 - 5,20</t>
  </si>
  <si>
    <t>GUAYAQUIL/MUISNE/5,21 - 8,25</t>
  </si>
  <si>
    <t>GUAYAQUIL/MUISNE/8,26 - 10,20</t>
  </si>
  <si>
    <t>GUAYAQUIL/MUISNE/mas de 26,49</t>
  </si>
  <si>
    <t>GUAYAQUIL/NARANJAL/0,00 - 3,39</t>
  </si>
  <si>
    <t>GUAYAQUIL/NARANJAL/10,21 - 13,20</t>
  </si>
  <si>
    <t>GUAYAQUIL/NARANJAL/13,21 - 16,59</t>
  </si>
  <si>
    <t>GUAYAQUIL/NARANJAL/16,60 - 26,49</t>
  </si>
  <si>
    <t>GUAYAQUIL/NARANJAL/3,40 - 5,20</t>
  </si>
  <si>
    <t>GUAYAQUIL/NARANJAL/5,21 - 8,25</t>
  </si>
  <si>
    <t>GUAYAQUIL/NARANJAL/8,26 - 10,20</t>
  </si>
  <si>
    <t>GUAYAQUIL/NARANJAL/mas de 26,49</t>
  </si>
  <si>
    <t>GUAYAQUIL/NOBOL/0,00 - 3,39</t>
  </si>
  <si>
    <t>GUAYAQUIL/NOBOL/10,21 - 13,20</t>
  </si>
  <si>
    <t>GUAYAQUIL/NOBOL/13,21 - 16,59</t>
  </si>
  <si>
    <t>GUAYAQUIL/NOBOL/16,60 - 26,49</t>
  </si>
  <si>
    <t>GUAYAQUIL/NOBOL/3,40 - 5,20</t>
  </si>
  <si>
    <t>GUAYAQUIL/NOBOL/5,21 - 8,25</t>
  </si>
  <si>
    <t>GUAYAQUIL/NOBOL/8,26 - 10,20</t>
  </si>
  <si>
    <t>GUAYAQUIL/NOBOL/mas de 26,49</t>
  </si>
  <si>
    <t>GUAYAQUIL/PAGUA/0,00 - 3,39</t>
  </si>
  <si>
    <t>GUAYAQUIL/PAGUA/10,21 - 13,20</t>
  </si>
  <si>
    <t>GUAYAQUIL/PAGUA/13,21 - 16,59</t>
  </si>
  <si>
    <t>GUAYAQUIL/PAGUA/16,60 - 26,49</t>
  </si>
  <si>
    <t>GUAYAQUIL/PAGUA/3,40 - 5,20</t>
  </si>
  <si>
    <t>GUAYAQUIL/PAGUA/5,21 - 8,25</t>
  </si>
  <si>
    <t>GUAYAQUIL/PAGUA/8,26 - 10,20</t>
  </si>
  <si>
    <t>GUAYAQUIL/PAGUA/mas de 26,49</t>
  </si>
  <si>
    <t>GUAYAQUIL/PALESTINA/0,00 - 3,39</t>
  </si>
  <si>
    <t>GUAYAQUIL/PALESTINA/10,21 - 13,20</t>
  </si>
  <si>
    <t>GUAYAQUIL/PALESTINA/13,21 - 16,59</t>
  </si>
  <si>
    <t>GUAYAQUIL/PALESTINA/16,60 - 26,49</t>
  </si>
  <si>
    <t>GUAYAQUIL/PALESTINA/3,40 - 5,20</t>
  </si>
  <si>
    <t>GUAYAQUIL/PALESTINA/5,21 - 8,25</t>
  </si>
  <si>
    <t>GUAYAQUIL/PALESTINA/8,26 - 10,20</t>
  </si>
  <si>
    <t>GUAYAQUIL/PALESTINA/mas de 26,49</t>
  </si>
  <si>
    <t>GUAYAQUIL/PALMAR/0,00 - 3,39</t>
  </si>
  <si>
    <t>GUAYAQUIL/PALMAR/10,21 - 13,20</t>
  </si>
  <si>
    <t>GUAYAQUIL/PALMAR/13,21 - 16,59</t>
  </si>
  <si>
    <t>GUAYAQUIL/PALMAR/16,60 - 26,49</t>
  </si>
  <si>
    <t>GUAYAQUIL/PALMAR/3,40 - 5,20</t>
  </si>
  <si>
    <t>GUAYAQUIL/PALMAR/5,21 - 8,25</t>
  </si>
  <si>
    <t>GUAYAQUIL/PALMAR/8,26 - 10,20</t>
  </si>
  <si>
    <t>GUAYAQUIL/PALMAR/mas de 26,49</t>
  </si>
  <si>
    <t>GUAYAQUIL/PAPAYAL - TAURA/0,00 - 3,39</t>
  </si>
  <si>
    <t>GUAYAQUIL/PAPAYAL - TAURA/10,21 - 13,20</t>
  </si>
  <si>
    <t>GUAYAQUIL/PAPAYAL - TAURA/13,21 - 16,59</t>
  </si>
  <si>
    <t>GUAYAQUIL/PAPAYAL - TAURA/16,60 - 26,49</t>
  </si>
  <si>
    <t>GUAYAQUIL/PAPAYAL - TAURA/3,40 - 5,20</t>
  </si>
  <si>
    <t>GUAYAQUIL/PAPAYAL - TAURA/5,21 - 8,25</t>
  </si>
  <si>
    <t>GUAYAQUIL/PAPAYAL - TAURA/8,26 - 10,20</t>
  </si>
  <si>
    <t>GUAYAQUIL/PAPAYAL - TAURA/mas de 26,49</t>
  </si>
  <si>
    <t>GUAYAQUIL/PASAJE /0,00 - 3,39</t>
  </si>
  <si>
    <t>GUAYAQUIL/PASAJE /10,21 - 13,20</t>
  </si>
  <si>
    <t>GUAYAQUIL/PASAJE /13,21 - 16,59</t>
  </si>
  <si>
    <t>GUAYAQUIL/PASAJE /16,60 - 26,49</t>
  </si>
  <si>
    <t>GUAYAQUIL/PASAJE /3,40 - 5,20</t>
  </si>
  <si>
    <t>GUAYAQUIL/PASAJE /5,21 - 8,25</t>
  </si>
  <si>
    <t>GUAYAQUIL/PASAJE /8,26 - 10,20</t>
  </si>
  <si>
    <t>GUAYAQUIL/PASAJE /mas de 26,49</t>
  </si>
  <si>
    <t>GUAYAQUIL/PASAJE/0,00 - 3,39</t>
  </si>
  <si>
    <t>GUAYAQUIL/PASAJE/10,21 - 13,20</t>
  </si>
  <si>
    <t>GUAYAQUIL/PASAJE/13,21 - 16,59</t>
  </si>
  <si>
    <t>GUAYAQUIL/PASAJE/16,60 - 26,49</t>
  </si>
  <si>
    <t>GUAYAQUIL/PASAJE/3,40 - 5,20</t>
  </si>
  <si>
    <t>GUAYAQUIL/PASAJE/5,21 - 8,25</t>
  </si>
  <si>
    <t>GUAYAQUIL/PASAJE/8,26 - 10,20</t>
  </si>
  <si>
    <t>GUAYAQUIL/PASAJE/mas de 26,49</t>
  </si>
  <si>
    <t>GUAYAQUIL/PEDERNALES/0,00 - 3,39</t>
  </si>
  <si>
    <t>GUAYAQUIL/PEDERNALES/10,21 - 13,20</t>
  </si>
  <si>
    <t>GUAYAQUIL/PEDERNALES/13,21 - 16,59</t>
  </si>
  <si>
    <t>GUAYAQUIL/PEDERNALES/16,60 - 26,49</t>
  </si>
  <si>
    <t>GUAYAQUIL/PEDERNALES/3,40 - 5,20</t>
  </si>
  <si>
    <t>GUAYAQUIL/PEDERNALES/5,21 - 8,25</t>
  </si>
  <si>
    <t>GUAYAQUIL/PEDERNALES/8,26 - 10,20</t>
  </si>
  <si>
    <t>GUAYAQUIL/PEDERNALES/mas de 26,49</t>
  </si>
  <si>
    <t>GUAYAQUIL/PLAYAS/0,00 - 3,39</t>
  </si>
  <si>
    <t>GUAYAQUIL/PLAYAS/10,21 - 13,20</t>
  </si>
  <si>
    <t>GUAYAQUIL/PLAYAS/13,21 - 16,59</t>
  </si>
  <si>
    <t>GUAYAQUIL/PLAYAS/16,60 - 26,49</t>
  </si>
  <si>
    <t>GUAYAQUIL/PLAYAS/3,40 - 5,20</t>
  </si>
  <si>
    <t>GUAYAQUIL/PLAYAS/5,21 - 8,25</t>
  </si>
  <si>
    <t>GUAYAQUIL/PLAYAS/8,26 - 10,20</t>
  </si>
  <si>
    <t>GUAYAQUIL/PLAYAS/mas de 26,49</t>
  </si>
  <si>
    <t>GUAYAQUIL/POCOS PALOS - TAURA/0,00 - 3,39</t>
  </si>
  <si>
    <t>GUAYAQUIL/POCOS PALOS - TAURA/10,21 - 13,20</t>
  </si>
  <si>
    <t>GUAYAQUIL/POCOS PALOS - TAURA/13,21 - 16,59</t>
  </si>
  <si>
    <t>GUAYAQUIL/POCOS PALOS - TAURA/16,60 - 26,49</t>
  </si>
  <si>
    <t>GUAYAQUIL/POCOS PALOS - TAURA/3,40 - 5,20</t>
  </si>
  <si>
    <t>GUAYAQUIL/POCOS PALOS - TAURA/5,21 - 8,25</t>
  </si>
  <si>
    <t>GUAYAQUIL/POCOS PALOS - TAURA/8,26 - 10,20</t>
  </si>
  <si>
    <t>GUAYAQUIL/POCOS PALOS - TAURA/mas de 26,49</t>
  </si>
  <si>
    <t>GUAYAQUIL/PORTOVIEJO/0,00 - 3,39</t>
  </si>
  <si>
    <t>GUAYAQUIL/PORTOVIEJO/10,21 - 13,20</t>
  </si>
  <si>
    <t>GUAYAQUIL/PORTOVIEJO/13,21 - 16,59</t>
  </si>
  <si>
    <t>GUAYAQUIL/PORTOVIEJO/16,60 - 26,49</t>
  </si>
  <si>
    <t>GUAYAQUIL/PORTOVIEJO/3,40 - 5,20</t>
  </si>
  <si>
    <t>GUAYAQUIL/PORTOVIEJO/5,21 - 8,25</t>
  </si>
  <si>
    <t>GUAYAQUIL/PORTOVIEJO/8,26 - 10,20</t>
  </si>
  <si>
    <t>GUAYAQUIL/PORTOVIEJO/mas de 26,49</t>
  </si>
  <si>
    <t>GUAYAQUIL/POSORJA/0,00 - 3,39</t>
  </si>
  <si>
    <t>GUAYAQUIL/POSORJA/10,21 - 13,20</t>
  </si>
  <si>
    <t>GUAYAQUIL/POSORJA/13,21 - 16,59</t>
  </si>
  <si>
    <t>GUAYAQUIL/POSORJA/16,60 - 26,49</t>
  </si>
  <si>
    <t>GUAYAQUIL/POSORJA/3,40 - 5,20</t>
  </si>
  <si>
    <t>GUAYAQUIL/POSORJA/5,21 - 8,25</t>
  </si>
  <si>
    <t>GUAYAQUIL/POSORJA/8,26 - 10,20</t>
  </si>
  <si>
    <t>GUAYAQUIL/POSORJA/mas de 26,49</t>
  </si>
  <si>
    <t>GUAYAQUIL/PUERTO BOLIVAR/0,00 - 3,39</t>
  </si>
  <si>
    <t>GUAYAQUIL/PUERTO BOLIVAR/10,21 - 13,20</t>
  </si>
  <si>
    <t>GUAYAQUIL/PUERTO BOLIVAR/13,21 - 16,59</t>
  </si>
  <si>
    <t>GUAYAQUIL/PUERTO BOLIVAR/16,60 - 26,49</t>
  </si>
  <si>
    <t>GUAYAQUIL/PUERTO BOLIVAR/3,40 - 5,20</t>
  </si>
  <si>
    <t>GUAYAQUIL/PUERTO BOLIVAR/5,21 - 8,25</t>
  </si>
  <si>
    <t>GUAYAQUIL/PUERTO BOLIVAR/8,26 - 10,20</t>
  </si>
  <si>
    <t>GUAYAQUIL/PUERTO BOLIVAR/mas de 26,49</t>
  </si>
  <si>
    <t>GUAYAQUIL/PUERTO CAYO/0,00 - 3,39</t>
  </si>
  <si>
    <t>GUAYAQUIL/PUERTO CAYO/10,21 - 13,20</t>
  </si>
  <si>
    <t>GUAYAQUIL/PUERTO CAYO/13,21 - 16,59</t>
  </si>
  <si>
    <t>GUAYAQUIL/PUERTO CAYO/16,60 - 26,49</t>
  </si>
  <si>
    <t>GUAYAQUIL/PUERTO CAYO/3,40 - 5,20</t>
  </si>
  <si>
    <t>GUAYAQUIL/PUERTO CAYO/5,21 - 8,25</t>
  </si>
  <si>
    <t>GUAYAQUIL/PUERTO CAYO/8,26 - 10,20</t>
  </si>
  <si>
    <t>GUAYAQUIL/PUERTO CAYO/mas de 26,49</t>
  </si>
  <si>
    <t>GUAYAQUIL/PUERTO GRANDE/0,00 - 3,39</t>
  </si>
  <si>
    <t>GUAYAQUIL/PUERTO GRANDE/10,21 - 13,20</t>
  </si>
  <si>
    <t>GUAYAQUIL/PUERTO GRANDE/13,21 - 16,59</t>
  </si>
  <si>
    <t>GUAYAQUIL/PUERTO GRANDE/16,60 - 26,49</t>
  </si>
  <si>
    <t>GUAYAQUIL/PUERTO GRANDE/3,40 - 5,20</t>
  </si>
  <si>
    <t>GUAYAQUIL/PUERTO GRANDE/5,21 - 8,25</t>
  </si>
  <si>
    <t>GUAYAQUIL/PUERTO GRANDE/8,26 - 10,20</t>
  </si>
  <si>
    <t>GUAYAQUIL/PUERTO GRANDE/mas de 26,49</t>
  </si>
  <si>
    <t>GUAYAQUIL/PUERTO HUALTACO/0,00 - 3,39</t>
  </si>
  <si>
    <t>GUAYAQUIL/PUERTO HUALTACO/10,21 - 13,20</t>
  </si>
  <si>
    <t>GUAYAQUIL/PUERTO HUALTACO/13,21 - 16,59</t>
  </si>
  <si>
    <t>GUAYAQUIL/PUERTO HUALTACO/16,60 - 26,49</t>
  </si>
  <si>
    <t>GUAYAQUIL/PUERTO HUALTACO/3,40 - 5,20</t>
  </si>
  <si>
    <t>GUAYAQUIL/PUERTO HUALTACO/5,21 - 8,25</t>
  </si>
  <si>
    <t>GUAYAQUIL/PUERTO HUALTACO/8,26 - 10,20</t>
  </si>
  <si>
    <t>GUAYAQUIL/PUERTO HUALTACO/mas de 26,49</t>
  </si>
  <si>
    <t>GUAYAQUIL/PUERTO INCA/0,00 - 3,39</t>
  </si>
  <si>
    <t>GUAYAQUIL/PUERTO INCA/10,21 - 13,20</t>
  </si>
  <si>
    <t>GUAYAQUIL/PUERTO INCA/13,21 - 16,59</t>
  </si>
  <si>
    <t>GUAYAQUIL/PUERTO INCA/16,60 - 26,49</t>
  </si>
  <si>
    <t>GUAYAQUIL/PUERTO INCA/3,40 - 5,20</t>
  </si>
  <si>
    <t>GUAYAQUIL/PUERTO INCA/5,21 - 8,25</t>
  </si>
  <si>
    <t>GUAYAQUIL/PUERTO INCA/8,26 - 10,20</t>
  </si>
  <si>
    <t>GUAYAQUIL/PUERTO INCA/mas de 26,49</t>
  </si>
  <si>
    <t>GUAYAQUIL/PUERTO JELI/0,00 - 3,39</t>
  </si>
  <si>
    <t>GUAYAQUIL/PUERTO JELI/10,21 - 13,20</t>
  </si>
  <si>
    <t>GUAYAQUIL/PUERTO JELI/13,21 - 16,59</t>
  </si>
  <si>
    <t>GUAYAQUIL/PUERTO JELI/16,60 - 26,49</t>
  </si>
  <si>
    <t>GUAYAQUIL/PUERTO JELI/3,40 - 5,20</t>
  </si>
  <si>
    <t>GUAYAQUIL/PUERTO JELI/5,21 - 8,25</t>
  </si>
  <si>
    <t>GUAYAQUIL/PUERTO JELI/8,26 - 10,20</t>
  </si>
  <si>
    <t>GUAYAQUIL/PUERTO JELI/mas de 26,49</t>
  </si>
  <si>
    <t>GUAYAQUIL/PUERTO LOPEZ/0,00 - 3,39</t>
  </si>
  <si>
    <t>GUAYAQUIL/PUERTO LOPEZ/10,21 - 13,20</t>
  </si>
  <si>
    <t>GUAYAQUIL/PUERTO LOPEZ/13,21 - 16,59</t>
  </si>
  <si>
    <t>GUAYAQUIL/PUERTO LOPEZ/16,60 - 26,49</t>
  </si>
  <si>
    <t>GUAYAQUIL/PUERTO LOPEZ/3,40 - 5,20</t>
  </si>
  <si>
    <t>GUAYAQUIL/PUERTO LOPEZ/5,21 - 8,25</t>
  </si>
  <si>
    <t>GUAYAQUIL/PUERTO LOPEZ/8,26 - 10,20</t>
  </si>
  <si>
    <t>GUAYAQUIL/PUERTO LOPEZ/mas de 26,49</t>
  </si>
  <si>
    <t>GUAYAQUIL/PUERTO PITAHAYA/0,00 - 3,39</t>
  </si>
  <si>
    <t>GUAYAQUIL/PUERTO PITAHAYA/10,21 - 13,20</t>
  </si>
  <si>
    <t>GUAYAQUIL/PUERTO PITAHAYA/13,21 - 16,59</t>
  </si>
  <si>
    <t>GUAYAQUIL/PUERTO PITAHAYA/16,60 - 26,49</t>
  </si>
  <si>
    <t>GUAYAQUIL/PUERTO PITAHAYA/3,40 - 5,20</t>
  </si>
  <si>
    <t>GUAYAQUIL/PUERTO PITAHAYA/5,21 - 8,25</t>
  </si>
  <si>
    <t>GUAYAQUIL/PUERTO PITAHAYA/8,26 - 10,20</t>
  </si>
  <si>
    <t>GUAYAQUIL/PUERTO PITAHAYA/mas de 26,49</t>
  </si>
  <si>
    <t>GUAYAQUIL/PUNTA CARNERO/0,00 - 3,39</t>
  </si>
  <si>
    <t>GUAYAQUIL/PUNTA CARNERO/10,21 - 13,20</t>
  </si>
  <si>
    <t>GUAYAQUIL/PUNTA CARNERO/13,21 - 16,59</t>
  </si>
  <si>
    <t>GUAYAQUIL/PUNTA CARNERO/16,60 - 26,49</t>
  </si>
  <si>
    <t>GUAYAQUIL/PUNTA CARNERO/3,40 - 5,20</t>
  </si>
  <si>
    <t>GUAYAQUIL/PUNTA CARNERO/5,21 - 8,25</t>
  </si>
  <si>
    <t>GUAYAQUIL/PUNTA CARNERO/8,26 - 10,20</t>
  </si>
  <si>
    <t>GUAYAQUIL/PUNTA CARNERO/mas de 26,49</t>
  </si>
  <si>
    <t>GUAYAQUIL/QUITO/0,00 - 3,39</t>
  </si>
  <si>
    <t>QUITO</t>
  </si>
  <si>
    <t>GUAYAQUIL/QUITO/10,21 - 13,20</t>
  </si>
  <si>
    <t>GUAYAQUIL/QUITO/13,21 - 16,59</t>
  </si>
  <si>
    <t>GUAYAQUIL/QUITO/16,60 - 26,49</t>
  </si>
  <si>
    <t>GUAYAQUIL/QUITO/3,40 - 5,20</t>
  </si>
  <si>
    <t>GUAYAQUIL/QUITO/5,21 - 8,25</t>
  </si>
  <si>
    <t>GUAYAQUIL/QUITO/8,26 - 10,20</t>
  </si>
  <si>
    <t>GUAYAQUIL/QUITO/mas de 26,49</t>
  </si>
  <si>
    <t>GUAYAQUIL/ROCAFUERTE/0,00 - 3,39</t>
  </si>
  <si>
    <t>GUAYAQUIL/ROCAFUERTE/10,21 - 13,20</t>
  </si>
  <si>
    <t>GUAYAQUIL/ROCAFUERTE/13,21 - 16,59</t>
  </si>
  <si>
    <t>GUAYAQUIL/ROCAFUERTE/16,60 - 26,49</t>
  </si>
  <si>
    <t>GUAYAQUIL/ROCAFUERTE/3,40 - 5,20</t>
  </si>
  <si>
    <t>GUAYAQUIL/ROCAFUERTE/5,21 - 8,25</t>
  </si>
  <si>
    <t>GUAYAQUIL/ROCAFUERTE/8,26 - 10,20</t>
  </si>
  <si>
    <t>GUAYAQUIL/ROCAFUERTE/mas de 26,49</t>
  </si>
  <si>
    <t>GUAYAQUIL/SABANA GRANDE/0,00 - 3,39</t>
  </si>
  <si>
    <t>GUAYAQUIL/SABANA GRANDE/10,21 - 13,20</t>
  </si>
  <si>
    <t>GUAYAQUIL/SABANA GRANDE/13,21 - 16,59</t>
  </si>
  <si>
    <t>GUAYAQUIL/SABANA GRANDE/16,60 - 26,49</t>
  </si>
  <si>
    <t>GUAYAQUIL/SABANA GRANDE/3,40 - 5,20</t>
  </si>
  <si>
    <t>GUAYAQUIL/SABANA GRANDE/5,21 - 8,25</t>
  </si>
  <si>
    <t>GUAYAQUIL/SABANA GRANDE/8,26 - 10,20</t>
  </si>
  <si>
    <t>GUAYAQUIL/SABANA GRANDE/mas de 26,49</t>
  </si>
  <si>
    <t>GUAYAQUIL/SAFANDO/0,00 - 3,39</t>
  </si>
  <si>
    <t>GUAYAQUIL/SAFANDO/10,21 - 13,20</t>
  </si>
  <si>
    <t>GUAYAQUIL/SAFANDO/13,21 - 16,59</t>
  </si>
  <si>
    <t>GUAYAQUIL/SAFANDO/16,60 - 26,49</t>
  </si>
  <si>
    <t>GUAYAQUIL/SAFANDO/3,40 - 5,20</t>
  </si>
  <si>
    <t>GUAYAQUIL/SAFANDO/5,21 - 8,25</t>
  </si>
  <si>
    <t>GUAYAQUIL/SAFANDO/8,26 - 10,20</t>
  </si>
  <si>
    <t>GUAYAQUIL/SAFANDO/mas de 26,49</t>
  </si>
  <si>
    <t>GUAYAQUIL/SALINAS/0,00 - 3,39</t>
  </si>
  <si>
    <t>GUAYAQUIL/SALINAS/10,21 - 13,20</t>
  </si>
  <si>
    <t>GUAYAQUIL/SALINAS/13,21 - 16,59</t>
  </si>
  <si>
    <t>GUAYAQUIL/SALINAS/16,60 - 26,49</t>
  </si>
  <si>
    <t>GUAYAQUIL/SALINAS/3,40 - 5,20</t>
  </si>
  <si>
    <t>GUAYAQUIL/SALINAS/5,21 - 8,25</t>
  </si>
  <si>
    <t>GUAYAQUIL/SALINAS/8,26 - 10,20</t>
  </si>
  <si>
    <t>GUAYAQUIL/SALINAS/mas de 26,49</t>
  </si>
  <si>
    <t>GUAYAQUIL/SAN ELOY/0,00 - 3,39</t>
  </si>
  <si>
    <t>GUAYAQUIL/SAN ELOY/10,21 - 13,20</t>
  </si>
  <si>
    <t>GUAYAQUIL/SAN ELOY/13,21 - 16,59</t>
  </si>
  <si>
    <t>GUAYAQUIL/SAN ELOY/16,60 - 26,49</t>
  </si>
  <si>
    <t>GUAYAQUIL/SAN ELOY/3,40 - 5,20</t>
  </si>
  <si>
    <t>GUAYAQUIL/SAN ELOY/5,21 - 8,25</t>
  </si>
  <si>
    <t>GUAYAQUIL/SAN ELOY/8,26 - 10,20</t>
  </si>
  <si>
    <t>GUAYAQUIL/SAN ELOY/mas de 26,49</t>
  </si>
  <si>
    <t>GUAYAQUIL/SAN LORENZO ESMERALDAS/0,00 - 3,39</t>
  </si>
  <si>
    <t>GUAYAQUIL/SAN LORENZO ESMERALDAS/10,21 - 13,20</t>
  </si>
  <si>
    <t>GUAYAQUIL/SAN LORENZO ESMERALDAS/13,21 - 16,59</t>
  </si>
  <si>
    <t>GUAYAQUIL/SAN LORENZO ESMERALDAS/16,60 - 26,49</t>
  </si>
  <si>
    <t>GUAYAQUIL/SAN LORENZO ESMERALDAS/3,40 - 5,20</t>
  </si>
  <si>
    <t>GUAYAQUIL/SAN LORENZO ESMERALDAS/5,21 - 8,25</t>
  </si>
  <si>
    <t>GUAYAQUIL/SAN LORENZO ESMERALDAS/8,26 - 10,20</t>
  </si>
  <si>
    <t>GUAYAQUIL/SAN LORENZO ESMERALDAS/mas de 26,49</t>
  </si>
  <si>
    <t>GUAYAQUIL/SAN LORENZO MANABI/0,00 - 3,39</t>
  </si>
  <si>
    <t>GUAYAQUIL/SAN LORENZO MANABI/10,21 - 13,20</t>
  </si>
  <si>
    <t>GUAYAQUIL/SAN LORENZO MANABI/13,21 - 16,59</t>
  </si>
  <si>
    <t>GUAYAQUIL/SAN LORENZO MANABI/16,60 - 26,49</t>
  </si>
  <si>
    <t>GUAYAQUIL/SAN LORENZO MANABI/3,40 - 5,20</t>
  </si>
  <si>
    <t>GUAYAQUIL/SAN LORENZO MANABI/5,21 - 8,25</t>
  </si>
  <si>
    <t>GUAYAQUIL/SAN LORENZO MANABI/8,26 - 10,20</t>
  </si>
  <si>
    <t>GUAYAQUIL/SAN LORENZO MANABI/mas de 26,49</t>
  </si>
  <si>
    <t>GUAYAQUIL/SAN LORENZO/0,00 - 3,39</t>
  </si>
  <si>
    <t>GUAYAQUIL/SAN LORENZO/10,21 - 13,20</t>
  </si>
  <si>
    <t>GUAYAQUIL/SAN LORENZO/13,21 - 16,59</t>
  </si>
  <si>
    <t>GUAYAQUIL/SAN LORENZO/16,60 - 26,49</t>
  </si>
  <si>
    <t>GUAYAQUIL/SAN LORENZO/3,40 - 5,20</t>
  </si>
  <si>
    <t>GUAYAQUIL/SAN LORENZO/5,21 - 8,25</t>
  </si>
  <si>
    <t>GUAYAQUIL/SAN LORENZO/8,26 - 10,20</t>
  </si>
  <si>
    <t>GUAYAQUIL/SAN LORENZO/mas de 26,49</t>
  </si>
  <si>
    <t>GUAYAQUIL/SAN PABLO/0,00 - 3,39</t>
  </si>
  <si>
    <t>GUAYAQUIL/SAN PABLO/10,21 - 13,20</t>
  </si>
  <si>
    <t>GUAYAQUIL/SAN PABLO/13,21 - 16,59</t>
  </si>
  <si>
    <t>GUAYAQUIL/SAN PABLO/16,60 - 26,49</t>
  </si>
  <si>
    <t>GUAYAQUIL/SAN PABLO/3,40 - 5,20</t>
  </si>
  <si>
    <t>GUAYAQUIL/SAN PABLO/5,21 - 8,25</t>
  </si>
  <si>
    <t>GUAYAQUIL/SAN PABLO/8,26 - 10,20</t>
  </si>
  <si>
    <t>GUAYAQUIL/SAN PABLO/mas de 26,49</t>
  </si>
  <si>
    <t>GUAYAQUIL/SAN VICENTE/0,00 - 3,39</t>
  </si>
  <si>
    <t>GUAYAQUIL/SAN VICENTE/10,21 - 13,20</t>
  </si>
  <si>
    <t>GUAYAQUIL/SAN VICENTE/13,21 - 16,59</t>
  </si>
  <si>
    <t>GUAYAQUIL/SAN VICENTE/16,60 - 26,49</t>
  </si>
  <si>
    <t>GUAYAQUIL/SAN VICENTE/3,40 - 5,20</t>
  </si>
  <si>
    <t>GUAYAQUIL/SAN VICENTE/5,21 - 8,25</t>
  </si>
  <si>
    <t>GUAYAQUIL/SAN VICENTE/8,26 - 10,20</t>
  </si>
  <si>
    <t>GUAYAQUIL/SAN VICENTE/mas de 26,49</t>
  </si>
  <si>
    <t>GUAYAQUIL/SANTA ELENA/0,00 - 3,39</t>
  </si>
  <si>
    <t>GUAYAQUIL/SANTA ELENA/10,21 - 13,20</t>
  </si>
  <si>
    <t>GUAYAQUIL/SANTA ELENA/13,21 - 16,59</t>
  </si>
  <si>
    <t>GUAYAQUIL/SANTA ELENA/16,60 - 26,49</t>
  </si>
  <si>
    <t>GUAYAQUIL/SANTA ELENA/3,40 - 5,20</t>
  </si>
  <si>
    <t>GUAYAQUIL/SANTA ELENA/5,21 - 8,25</t>
  </si>
  <si>
    <t>GUAYAQUIL/SANTA ELENA/8,26 - 10,20</t>
  </si>
  <si>
    <t>GUAYAQUIL/SANTA ELENA/mas de 26,49</t>
  </si>
  <si>
    <t>GUAYAQUIL/SANTA LUCIA/0,00 - 3,39</t>
  </si>
  <si>
    <t>GUAYAQUIL/SANTA LUCIA/10,21 - 13,20</t>
  </si>
  <si>
    <t>GUAYAQUIL/SANTA LUCIA/13,21 - 16,59</t>
  </si>
  <si>
    <t>GUAYAQUIL/SANTA LUCIA/16,60 - 26,49</t>
  </si>
  <si>
    <t>GUAYAQUIL/SANTA LUCIA/3,40 - 5,20</t>
  </si>
  <si>
    <t>GUAYAQUIL/SANTA LUCIA/5,21 - 8,25</t>
  </si>
  <si>
    <t>GUAYAQUIL/SANTA LUCIA/8,26 - 10,20</t>
  </si>
  <si>
    <t>GUAYAQUIL/SANTA LUCIA/mas de 26,49</t>
  </si>
  <si>
    <t>GUAYAQUIL/SANTA ROSA/0,00 - 3,39</t>
  </si>
  <si>
    <t>GUAYAQUIL/SANTA ROSA/10,21 - 13,20</t>
  </si>
  <si>
    <t>GUAYAQUIL/SANTA ROSA/13,21 - 16,59</t>
  </si>
  <si>
    <t>GUAYAQUIL/SANTA ROSA/16,60 - 26,49</t>
  </si>
  <si>
    <t>GUAYAQUIL/SANTA ROSA/3,40 - 5,20</t>
  </si>
  <si>
    <t>GUAYAQUIL/SANTA ROSA/5,21 - 8,25</t>
  </si>
  <si>
    <t>GUAYAQUIL/SANTA ROSA/8,26 - 10,20</t>
  </si>
  <si>
    <t>GUAYAQUIL/SANTA ROSA/mas de 26,49</t>
  </si>
  <si>
    <t>GUAYAQUIL/SEIS DE JULIO/0,00 - 3,39</t>
  </si>
  <si>
    <t>GUAYAQUIL/SEIS DE JULIO/10,21 - 13,20</t>
  </si>
  <si>
    <t>GUAYAQUIL/SEIS DE JULIO/13,21 - 16,59</t>
  </si>
  <si>
    <t>GUAYAQUIL/SEIS DE JULIO/16,60 - 26,49</t>
  </si>
  <si>
    <t>GUAYAQUIL/SEIS DE JULIO/3,40 - 5,20</t>
  </si>
  <si>
    <t>GUAYAQUIL/SEIS DE JULIO/5,21 - 8,25</t>
  </si>
  <si>
    <t>GUAYAQUIL/SEIS DE JULIO/8,26 - 10,20</t>
  </si>
  <si>
    <t>GUAYAQUIL/SEIS DE JULIO/mas de 26,49</t>
  </si>
  <si>
    <t>GUAYAQUIL/SITIO NUEVO - AYALAN/0,00 - 3,39</t>
  </si>
  <si>
    <t>GUAYAQUIL/SITIO NUEVO - AYALAN/10,21 - 13,20</t>
  </si>
  <si>
    <t>GUAYAQUIL/SITIO NUEVO - AYALAN/13,21 - 16,59</t>
  </si>
  <si>
    <t>GUAYAQUIL/SITIO NUEVO - AYALAN/16,60 - 26,49</t>
  </si>
  <si>
    <t>GUAYAQUIL/SITIO NUEVO - AYALAN/3,40 - 5,20</t>
  </si>
  <si>
    <t>GUAYAQUIL/SITIO NUEVO - AYALAN/5,21 - 8,25</t>
  </si>
  <si>
    <t>GUAYAQUIL/SITIO NUEVO - AYALAN/8,26 - 10,20</t>
  </si>
  <si>
    <t>GUAYAQUIL/SITIO NUEVO - AYALAN/mas de 26,49</t>
  </si>
  <si>
    <t>GUAYAQUIL/TAURA/0,00 - 3,39</t>
  </si>
  <si>
    <t>GUAYAQUIL/TAURA/10,21 - 13,20</t>
  </si>
  <si>
    <t>GUAYAQUIL/TAURA/13,21 - 16,59</t>
  </si>
  <si>
    <t>GUAYAQUIL/TAURA/16,60 - 26,49</t>
  </si>
  <si>
    <t>GUAYAQUIL/TAURA/3,40 - 5,20</t>
  </si>
  <si>
    <t>GUAYAQUIL/TAURA/5,21 - 8,25</t>
  </si>
  <si>
    <t>GUAYAQUIL/TAURA/8,26 - 10,20</t>
  </si>
  <si>
    <t>GUAYAQUIL/TAURA/mas de 26,49</t>
  </si>
  <si>
    <t>GUAYAQUIL/TENDALES/0,00 - 3,39</t>
  </si>
  <si>
    <t>GUAYAQUIL/TENDALES/10,21 - 13,20</t>
  </si>
  <si>
    <t>GUAYAQUIL/TENDALES/13,21 - 16,59</t>
  </si>
  <si>
    <t>GUAYAQUIL/TENDALES/16,60 - 26,49</t>
  </si>
  <si>
    <t>GUAYAQUIL/TENDALES/3,40 - 5,20</t>
  </si>
  <si>
    <t>GUAYAQUIL/TENDALES/5,21 - 8,25</t>
  </si>
  <si>
    <t>GUAYAQUIL/TENDALES/8,26 - 10,20</t>
  </si>
  <si>
    <t>GUAYAQUIL/TENDALES/mas de 26,49</t>
  </si>
  <si>
    <t>GUAYAQUIL/TENGUEL/0,00 - 3,39</t>
  </si>
  <si>
    <t>GUAYAQUIL/TENGUEL/10,21 - 13,20</t>
  </si>
  <si>
    <t>GUAYAQUIL/TENGUEL/13,21 - 16,59</t>
  </si>
  <si>
    <t>GUAYAQUIL/TENGUEL/16,60 - 26,49</t>
  </si>
  <si>
    <t>GUAYAQUIL/TENGUEL/3,40 - 5,20</t>
  </si>
  <si>
    <t>GUAYAQUIL/TENGUEL/5,21 - 8,25</t>
  </si>
  <si>
    <t>GUAYAQUIL/TENGUEL/8,26 - 10,20</t>
  </si>
  <si>
    <t>GUAYAQUIL/TENGUEL/mas de 26,49</t>
  </si>
  <si>
    <t>GUAYAQUIL/TONGUICHE/0,00 - 3,39</t>
  </si>
  <si>
    <t>GUAYAQUIL/TONGUICHE/10,21 - 13,20</t>
  </si>
  <si>
    <t>GUAYAQUIL/TONGUICHE/13,21 - 16,59</t>
  </si>
  <si>
    <t>GUAYAQUIL/TONGUICHE/16,60 - 26,49</t>
  </si>
  <si>
    <t>GUAYAQUIL/TONGUICHE/3,40 - 5,20</t>
  </si>
  <si>
    <t>GUAYAQUIL/TONGUICHE/5,21 - 8,25</t>
  </si>
  <si>
    <t>GUAYAQUIL/TONGUICHE/8,26 - 10,20</t>
  </si>
  <si>
    <t>GUAYAQUIL/TONGUICHE/mas de 26,49</t>
  </si>
  <si>
    <t>GUAYAQUIL/TOSAGUA/0,00 - 3,39</t>
  </si>
  <si>
    <t>GUAYAQUIL/TOSAGUA/10,21 - 13,20</t>
  </si>
  <si>
    <t>GUAYAQUIL/TOSAGUA/13,21 - 16,59</t>
  </si>
  <si>
    <t>GUAYAQUIL/TOSAGUA/16,60 - 26,49</t>
  </si>
  <si>
    <t>GUAYAQUIL/TOSAGUA/3,40 - 5,20</t>
  </si>
  <si>
    <t>GUAYAQUIL/TOSAGUA/5,21 - 8,25</t>
  </si>
  <si>
    <t>GUAYAQUIL/TOSAGUA/8,26 - 10,20</t>
  </si>
  <si>
    <t>GUAYAQUIL/TOSAGUA/mas de 26,49</t>
  </si>
  <si>
    <t>GUAYAQUIL/VILLA NUEVA ALAMOS/0,00 - 3,39</t>
  </si>
  <si>
    <t>GUAYAQUIL/VILLA NUEVA ALAMOS/10,21 - 13,20</t>
  </si>
  <si>
    <t>GUAYAQUIL/VILLA NUEVA ALAMOS/13,21 - 16,59</t>
  </si>
  <si>
    <t>GUAYAQUIL/VILLA NUEVA ALAMOS/16,60 - 26,49</t>
  </si>
  <si>
    <t>GUAYAQUIL/VILLA NUEVA ALAMOS/3,40 - 5,20</t>
  </si>
  <si>
    <t>GUAYAQUIL/VILLA NUEVA ALAMOS/5,21 - 8,25</t>
  </si>
  <si>
    <t>GUAYAQUIL/VILLA NUEVA ALAMOS/8,26 - 10,20</t>
  </si>
  <si>
    <t>GUAYAQUIL/VILLA NUEVA ALAMOS/mas de 26,49</t>
  </si>
  <si>
    <t>GUAYAQUIL/VUELTA LARGA - TAURA/0,00 - 3,39</t>
  </si>
  <si>
    <t>GUAYAQUIL/VUELTA LARGA - TAURA/10,21 - 13,20</t>
  </si>
  <si>
    <t>GUAYAQUIL/VUELTA LARGA - TAURA/13,21 - 16,59</t>
  </si>
  <si>
    <t>GUAYAQUIL/VUELTA LARGA - TAURA/16,60 - 26,49</t>
  </si>
  <si>
    <t>GUAYAQUIL/VUELTA LARGA - TAURA/3,40 - 5,20</t>
  </si>
  <si>
    <t>GUAYAQUIL/VUELTA LARGA - TAURA/5,21 - 8,25</t>
  </si>
  <si>
    <t>GUAYAQUIL/VUELTA LARGA - TAURA/8,26 - 10,20</t>
  </si>
  <si>
    <t>GUAYAQUIL/VUELTA LARGA - TAURA/mas de 26,49</t>
  </si>
  <si>
    <t>GUAYAQUIL/YAGUACHI/0,00 - 3,39</t>
  </si>
  <si>
    <t>GUAYAQUIL/YAGUACHI/10,21 - 13,20</t>
  </si>
  <si>
    <t>GUAYAQUIL/YAGUACHI/13,21 - 16,59</t>
  </si>
  <si>
    <t>GUAYAQUIL/YAGUACHI/16,60 - 26,49</t>
  </si>
  <si>
    <t>GUAYAQUIL/YAGUACHI/3,40 - 5,20</t>
  </si>
  <si>
    <t>GUAYAQUIL/YAGUACHI/5,21 - 8,25</t>
  </si>
  <si>
    <t>GUAYAQUIL/YAGUACHI/8,26 - 10,20</t>
  </si>
  <si>
    <t>GUAYAQUIL/YAGUACHI/mas de 26,49</t>
  </si>
  <si>
    <t>DURAN-DURAN</t>
  </si>
  <si>
    <t>TARIFA ANTERIOR</t>
  </si>
  <si>
    <t>%</t>
  </si>
  <si>
    <t>NUEVA TARIFA</t>
  </si>
  <si>
    <t>CANE-DURAN</t>
  </si>
  <si>
    <t>TRANSALOJESA</t>
  </si>
  <si>
    <t>CONVECTOR</t>
  </si>
  <si>
    <t>CIRCUITO</t>
  </si>
  <si>
    <t>DURAN CIRCUITO</t>
  </si>
  <si>
    <t>CANE – CD DAJAHU/CD NATURISA</t>
  </si>
  <si>
    <t>POR VUELTA</t>
  </si>
  <si>
    <t>LIFTIT 1(CICLO)</t>
  </si>
  <si>
    <t>LIFTIT 2(CICLO)</t>
  </si>
  <si>
    <t>DURAN - CD NATURISA/CD DAJAHU</t>
  </si>
  <si>
    <t>PCO-DURAN</t>
  </si>
  <si>
    <t>ARELLANO RETORNO 50%</t>
  </si>
  <si>
    <t>,</t>
  </si>
  <si>
    <t>TRANSFREMEC RETORNO 50%</t>
  </si>
  <si>
    <t>CITIKOLD</t>
  </si>
  <si>
    <t>RIVERDIESEL</t>
  </si>
  <si>
    <t>SEALDOVA</t>
  </si>
  <si>
    <t>COSTAMARKET</t>
  </si>
  <si>
    <t>DURAN/5/0 - 25</t>
  </si>
  <si>
    <t>5</t>
  </si>
  <si>
    <t>0 - 25</t>
  </si>
  <si>
    <t>DURAN/5/0 - 49,99</t>
  </si>
  <si>
    <t>0 - 49,99</t>
  </si>
  <si>
    <t>DURAN/5/100 - 124,99</t>
  </si>
  <si>
    <t>100 - 124,99</t>
  </si>
  <si>
    <t>DURAN/5/50 - 74,99</t>
  </si>
  <si>
    <t>50 - 74,99</t>
  </si>
  <si>
    <t>DURAN/5/75 - 87,49</t>
  </si>
  <si>
    <t>75 - 87,49</t>
  </si>
  <si>
    <t>DURAN/5/87,50 - 99,99</t>
  </si>
  <si>
    <t>87,50 - 99,99</t>
  </si>
  <si>
    <t>DURAN/5/mas de 125</t>
  </si>
  <si>
    <t>mas de 125</t>
  </si>
  <si>
    <t>DURAN/6/0 - 25</t>
  </si>
  <si>
    <t>6</t>
  </si>
  <si>
    <t>DURAN/6/0 - 49,99</t>
  </si>
  <si>
    <t>DURAN/6/100 - 124,99</t>
  </si>
  <si>
    <t>DURAN/6/50 - 74,99</t>
  </si>
  <si>
    <t>DURAN/6/75 - 87,49</t>
  </si>
  <si>
    <t>DURAN/6/87,50 - 99,99</t>
  </si>
  <si>
    <t>DURAN/6/mas de 125</t>
  </si>
  <si>
    <t>DURAN/7A/0 - 25</t>
  </si>
  <si>
    <t>7A</t>
  </si>
  <si>
    <t>DURAN/7A/0 - 49,99</t>
  </si>
  <si>
    <t>DURAN/7A/100 - 124,99</t>
  </si>
  <si>
    <t>DURAN/7A/50 - 74,99</t>
  </si>
  <si>
    <t>DURAN/7A/75 - 87,49</t>
  </si>
  <si>
    <t>DURAN/7A/87,50 - 99,99</t>
  </si>
  <si>
    <t>DURAN/7A/mas de 125</t>
  </si>
  <si>
    <t>DURAN/7B/0 - 25</t>
  </si>
  <si>
    <t>7B</t>
  </si>
  <si>
    <t>DURAN/7B/0 - 49,99</t>
  </si>
  <si>
    <t>DURAN/7B/100 - 124,99</t>
  </si>
  <si>
    <t>DURAN/7B/50 - 74,99</t>
  </si>
  <si>
    <t>DURAN/7B/75 - 87,49</t>
  </si>
  <si>
    <t>DURAN/7B/87,50 - 99,99</t>
  </si>
  <si>
    <t>DURAN/7B/mas de 125</t>
  </si>
  <si>
    <t>DURAN/8A/0 - 25</t>
  </si>
  <si>
    <t>8A</t>
  </si>
  <si>
    <t>DURAN/8A/0 - 49,99</t>
  </si>
  <si>
    <t>DURAN/8A/100 - 124,99</t>
  </si>
  <si>
    <t>DURAN/8A/50 - 74,99</t>
  </si>
  <si>
    <t>DURAN/8A/75 - 87,49</t>
  </si>
  <si>
    <t>DURAN/8A/87,50 - 99,99</t>
  </si>
  <si>
    <t>DURAN/8A/mas de 125</t>
  </si>
  <si>
    <t>DURAN/8B/0 - 25</t>
  </si>
  <si>
    <t>8B</t>
  </si>
  <si>
    <t>DURAN/8B/0 - 49,99</t>
  </si>
  <si>
    <t>DURAN/8B/100 - 124,99</t>
  </si>
  <si>
    <t>DURAN/8B/50 - 74,99</t>
  </si>
  <si>
    <t>DURAN/8B/75 - 87,49</t>
  </si>
  <si>
    <t>DURAN/8B/87,50 - 99,99</t>
  </si>
  <si>
    <t>DURAN/8B/mas de 125</t>
  </si>
  <si>
    <t>DURAN/9A/0 - 25</t>
  </si>
  <si>
    <t>9A</t>
  </si>
  <si>
    <t>DURAN/9A/0 - 49,99</t>
  </si>
  <si>
    <t>DURAN/9A/100 - 124,99</t>
  </si>
  <si>
    <t>DURAN/9A/50 - 74,99</t>
  </si>
  <si>
    <t>DURAN/9A/75 - 87,49</t>
  </si>
  <si>
    <t>DURAN/9A/87,50 - 99,99</t>
  </si>
  <si>
    <t>DURAN/9A/mas de 125</t>
  </si>
  <si>
    <t>DURAN/9B/0 - 25</t>
  </si>
  <si>
    <t>9B</t>
  </si>
  <si>
    <t>DURAN/9B/0 - 49,99</t>
  </si>
  <si>
    <t>DURAN/9B/100 - 124,99</t>
  </si>
  <si>
    <t>DURAN/9B/50 - 74,99</t>
  </si>
  <si>
    <t>DURAN/9B/75 - 87,49</t>
  </si>
  <si>
    <t>DURAN/9B/87,50 - 99,99</t>
  </si>
  <si>
    <t>DURAN/9B/mas de 125</t>
  </si>
  <si>
    <t>GUAYAQUIL/5/0 - 25</t>
  </si>
  <si>
    <t>GUAYAQUIL/5/0 - 49,99</t>
  </si>
  <si>
    <t>GUAYAQUIL/5/100 - 124,99</t>
  </si>
  <si>
    <t>GUAYAQUIL/5/50 - 74,99</t>
  </si>
  <si>
    <t>GUAYAQUIL/5/75 - 87,49</t>
  </si>
  <si>
    <t>GUAYAQUIL/5/87,50 - 99,99</t>
  </si>
  <si>
    <t>GUAYAQUIL/5/mas de 125</t>
  </si>
  <si>
    <t>GUAYAQUIL/6/0 - 25</t>
  </si>
  <si>
    <t>GUAYAQUIL/6/0 - 49,99</t>
  </si>
  <si>
    <t>GUAYAQUIL/6/100 - 124,99</t>
  </si>
  <si>
    <t>GUAYAQUIL/6/50 - 74,99</t>
  </si>
  <si>
    <t>GUAYAQUIL/6/75 - 87,49</t>
  </si>
  <si>
    <t>GUAYAQUIL/6/87,50 - 99,99</t>
  </si>
  <si>
    <t>GUAYAQUIL/6/mas de 125</t>
  </si>
  <si>
    <t>GUAYAQUIL/7A/0 - 25</t>
  </si>
  <si>
    <t>GUAYAQUIL/7A/0 - 49,99</t>
  </si>
  <si>
    <t>GUAYAQUIL/7A/100 - 124,99</t>
  </si>
  <si>
    <t>GUAYAQUIL/7A/50 - 74,99</t>
  </si>
  <si>
    <t>GUAYAQUIL/7A/75 - 87,49</t>
  </si>
  <si>
    <t>GUAYAQUIL/7A/87,50 - 99,99</t>
  </si>
  <si>
    <t>GUAYAQUIL/7A/mas de 125</t>
  </si>
  <si>
    <t>GUAYAQUIL/7B/0 - 25</t>
  </si>
  <si>
    <t>GUAYAQUIL/7B/0 - 49,99</t>
  </si>
  <si>
    <t>GUAYAQUIL/7B/100 - 124,99</t>
  </si>
  <si>
    <t>GUAYAQUIL/7B/50 - 74,99</t>
  </si>
  <si>
    <t>GUAYAQUIL/7B/75 - 87,49</t>
  </si>
  <si>
    <t>GUAYAQUIL/7B/87,50 - 99,99</t>
  </si>
  <si>
    <t>GUAYAQUIL/7B/mas de 125</t>
  </si>
  <si>
    <t>GUAYAQUIL/8A/0 - 25</t>
  </si>
  <si>
    <t>GUAYAQUIL/8A/0 - 49,99</t>
  </si>
  <si>
    <t>GUAYAQUIL/8A/100 - 124,99</t>
  </si>
  <si>
    <t>GUAYAQUIL/8A/50 - 74,99</t>
  </si>
  <si>
    <t>GUAYAQUIL/8A/75 - 87,49</t>
  </si>
  <si>
    <t>GUAYAQUIL/8A/87,50 - 99,99</t>
  </si>
  <si>
    <t>GUAYAQUIL/8A/mas de 125</t>
  </si>
  <si>
    <t>GUAYAQUIL/8B/0 - 25</t>
  </si>
  <si>
    <t>GUAYAQUIL/8B/0 - 49,99</t>
  </si>
  <si>
    <t>GUAYAQUIL/8B/100 - 124,99</t>
  </si>
  <si>
    <t>GUAYAQUIL/8B/50 - 74,99</t>
  </si>
  <si>
    <t>GUAYAQUIL/8B/75 - 87,49</t>
  </si>
  <si>
    <t>GUAYAQUIL/8B/87,50 - 99,99</t>
  </si>
  <si>
    <t>GUAYAQUIL/8B/mas de 125</t>
  </si>
  <si>
    <t>GUAYAQUIL/9A/0 - 25</t>
  </si>
  <si>
    <t>GUAYAQUIL/9A/0 - 49,99</t>
  </si>
  <si>
    <t>GUAYAQUIL/9A/100 - 124,99</t>
  </si>
  <si>
    <t>GUAYAQUIL/9A/50 - 74,99</t>
  </si>
  <si>
    <t>GUAYAQUIL/9A/75 - 87,49</t>
  </si>
  <si>
    <t>GUAYAQUIL/9A/87,50 - 99,99</t>
  </si>
  <si>
    <t>GUAYAQUIL/9A/mas de 125</t>
  </si>
  <si>
    <t>GUAYAQUIL/9B/0 - 25</t>
  </si>
  <si>
    <t>GUAYAQUIL/9B/0 - 49,99</t>
  </si>
  <si>
    <t>GUAYAQUIL/9B/100 - 124,99</t>
  </si>
  <si>
    <t>GUAYAQUIL/9B/50 - 74,99</t>
  </si>
  <si>
    <t>GUAYAQUIL/9B/75 - 87,49</t>
  </si>
  <si>
    <t>GUAYAQUIL/9B/87,50 - 99,99</t>
  </si>
  <si>
    <t>GUAYAQUIL/9B/mas de 125</t>
  </si>
  <si>
    <t>PUERTO BOLIVAR/1/0 - 25</t>
  </si>
  <si>
    <t>1</t>
  </si>
  <si>
    <t>PUERTO BOLIVAR/1/0 - 49,99</t>
  </si>
  <si>
    <t>PUERTO BOLIVAR/1/100 - 124,99</t>
  </si>
  <si>
    <t>PUERTO BOLIVAR/1/50 - 74,99</t>
  </si>
  <si>
    <t>PUERTO BOLIVAR/1/75 - 87,49</t>
  </si>
  <si>
    <t>PUERTO BOLIVAR/1/87,50 - 99,99</t>
  </si>
  <si>
    <t>PUERTO BOLIVAR/1/mas de 125</t>
  </si>
  <si>
    <t>PUERTO BOLIVAR/2/0 - 25</t>
  </si>
  <si>
    <t>2</t>
  </si>
  <si>
    <t>PUERTO BOLIVAR/2/0 - 49,99</t>
  </si>
  <si>
    <t>PUERTO BOLIVAR/2/100 - 124,99</t>
  </si>
  <si>
    <t>PUERTO BOLIVAR/2/50 - 74,99</t>
  </si>
  <si>
    <t>PUERTO BOLIVAR/2/75 - 87,49</t>
  </si>
  <si>
    <t>PUERTO BOLIVAR/2/87,50 - 99,99</t>
  </si>
  <si>
    <t>PUERTO BOLIVAR/2/mas de 125</t>
  </si>
  <si>
    <t>PUERTO BOLIVAR/3/0 - 25</t>
  </si>
  <si>
    <t>3</t>
  </si>
  <si>
    <t>PUERTO BOLIVAR/3/0 - 49,99</t>
  </si>
  <si>
    <t>PUERTO BOLIVAR/3/100 - 124,99</t>
  </si>
  <si>
    <t>PUERTO BOLIVAR/3/50 - 74,99</t>
  </si>
  <si>
    <t>PUERTO BOLIVAR/3/75 - 87,49</t>
  </si>
  <si>
    <t>PUERTO BOLIVAR/3/87,50 - 99,99</t>
  </si>
  <si>
    <t>PUERTO BOLIVAR/3/mas de 125</t>
  </si>
  <si>
    <t>PUERTO BOLIVAR/4/0 - 25</t>
  </si>
  <si>
    <t>4</t>
  </si>
  <si>
    <t>PUERTO BOLIVAR/4/0 - 49,99</t>
  </si>
  <si>
    <t>PUERTO BOLIVAR/4/100 - 124,99</t>
  </si>
  <si>
    <t>PUERTO BOLIVAR/4/50 - 74,99</t>
  </si>
  <si>
    <t>PUERTO BOLIVAR/4/75 - 87,49</t>
  </si>
  <si>
    <t>PUERTO BOLIVAR/4/87,50 - 99,99</t>
  </si>
  <si>
    <t>PUERTO BOLIVAR/4/mas de 125</t>
  </si>
  <si>
    <t>PUERTO BOLIVAR/5/0 - 25</t>
  </si>
  <si>
    <t>PUERTO BOLIVAR/5/0 - 49,99</t>
  </si>
  <si>
    <t>PUERTO BOLIVAR/5/100 - 124,99</t>
  </si>
  <si>
    <t>PUERTO BOLIVAR/5/50 - 74,99</t>
  </si>
  <si>
    <t>PUERTO BOLIVAR/5/75 - 87,49</t>
  </si>
  <si>
    <t>PUERTO BOLIVAR/5/87,50 - 99,99</t>
  </si>
  <si>
    <t>PUERTO BOLIVAR/5/mas de 125</t>
  </si>
  <si>
    <t>PUERTO BOLIVAR/6/0 - 25</t>
  </si>
  <si>
    <t>PUERTO BOLIVAR/6/0 - 49,99</t>
  </si>
  <si>
    <t>PUERTO BOLIVAR/6/100 - 124,99</t>
  </si>
  <si>
    <t>PUERTO BOLIVAR/6/50 - 74,99</t>
  </si>
  <si>
    <t>PUERTO BOLIVAR/6/75 - 87,49</t>
  </si>
  <si>
    <t>PUERTO BOLIVAR/6/87,50 - 99,99</t>
  </si>
  <si>
    <t>PUERTO BOLIVAR/6/mas de 125</t>
  </si>
  <si>
    <t>PUERTO BOLIVAR/7A/0 - 25</t>
  </si>
  <si>
    <t>PUERTO BOLIVAR/7A/0 - 49,99</t>
  </si>
  <si>
    <t>PUERTO BOLIVAR/7A/100 - 124,99</t>
  </si>
  <si>
    <t>PUERTO BOLIVAR/7A/50 - 74,99</t>
  </si>
  <si>
    <t>PUERTO BOLIVAR/7A/75 - 87,49</t>
  </si>
  <si>
    <t>PUERTO BOLIVAR/7A/87,50 - 99,99</t>
  </si>
  <si>
    <t>PUERTO BOLIVAR/7A/mas de 125</t>
  </si>
  <si>
    <t>PUERTO BOLIVAR/7B/0 - 25</t>
  </si>
  <si>
    <t>PUERTO BOLIVAR/7B/0 - 49,99</t>
  </si>
  <si>
    <t>PUERTO BOLIVAR/7B/100 - 124,99</t>
  </si>
  <si>
    <t>PUERTO BOLIVAR/7B/50 - 74,99</t>
  </si>
  <si>
    <t>PUERTO BOLIVAR/7B/75 - 87,49</t>
  </si>
  <si>
    <t>PUERTO BOLIVAR/7B/87,50 - 99,99</t>
  </si>
  <si>
    <t>PUERTO BOLIVAR/7B/mas de 125</t>
  </si>
  <si>
    <t>PUERTO BOLIVAR/8A/0 - 25</t>
  </si>
  <si>
    <t>PUERTO BOLIVAR/8A/0 - 49,99</t>
  </si>
  <si>
    <t>PUERTO BOLIVAR/8A/100 - 124,99</t>
  </si>
  <si>
    <t>PUERTO BOLIVAR/8A/50 - 74,99</t>
  </si>
  <si>
    <t>PUERTO BOLIVAR/8A/75 - 87,49</t>
  </si>
  <si>
    <t>PUERTO BOLIVAR/8A/87,50 - 99,99</t>
  </si>
  <si>
    <t>PUERTO BOLIVAR/8A/mas de 125</t>
  </si>
  <si>
    <t>PUERTO BOLIVAR/8B/0 - 25</t>
  </si>
  <si>
    <t>PUERTO BOLIVAR/8B/0 - 49,99</t>
  </si>
  <si>
    <t>PUERTO BOLIVAR/8B/100 - 124,99</t>
  </si>
  <si>
    <t>PUERTO BOLIVAR/8B/50 - 74,99</t>
  </si>
  <si>
    <t>PUERTO BOLIVAR/8B/75 - 87,49</t>
  </si>
  <si>
    <t>PUERTO BOLIVAR/8B/87,50 - 99,99</t>
  </si>
  <si>
    <t>PUERTO BOLIVAR/8B/mas de 125</t>
  </si>
  <si>
    <t>PROVEEDOR</t>
  </si>
  <si>
    <t>LA DELICIAS</t>
  </si>
  <si>
    <t>TRANSGONZALEZ</t>
  </si>
  <si>
    <t>LA DELICIA</t>
  </si>
  <si>
    <t>PLANTA DURAN</t>
  </si>
  <si>
    <t>SOYA / TRIGO</t>
  </si>
  <si>
    <t>DDGS</t>
  </si>
  <si>
    <t>TPM</t>
  </si>
  <si>
    <t xml:space="preserve"> - </t>
  </si>
  <si>
    <t>SOYA/TRIGO</t>
  </si>
  <si>
    <t>GUAYAQUIL(ANDIPUERRTO)</t>
  </si>
  <si>
    <t>DURAN(TLD)</t>
  </si>
  <si>
    <t>GUAYAQUIL(ANDIPUERTO)</t>
  </si>
  <si>
    <t>GUAYAQUIL(ECUABULK/CARGOMAR/CARGOPORT)</t>
  </si>
  <si>
    <t>GUAYAQUIL(ECUABULK)</t>
  </si>
  <si>
    <t>GUAYAQUIL(PLANTA CANE)</t>
  </si>
  <si>
    <t>30 TM</t>
  </si>
  <si>
    <t>31 TM</t>
  </si>
  <si>
    <t>INASA</t>
  </si>
  <si>
    <t>PCO</t>
  </si>
  <si>
    <t>ADS</t>
  </si>
  <si>
    <t>QC TERMINALES</t>
  </si>
  <si>
    <t xml:space="preserve">INASA </t>
  </si>
  <si>
    <t>20 TM</t>
  </si>
  <si>
    <t>tm</t>
  </si>
  <si>
    <t>MONTECRISTI-MANABI</t>
  </si>
  <si>
    <t>JARAMIJO-MANABI</t>
  </si>
  <si>
    <t>USO DE MONTACARGA (USD/VIAJE)</t>
  </si>
  <si>
    <t>PUNTO ADICIONAL</t>
  </si>
  <si>
    <t>CUSTODIA (USD/VIAJE)</t>
  </si>
  <si>
    <t>STAND BY</t>
  </si>
  <si>
    <t>LANCHA</t>
  </si>
  <si>
    <t>GABARRAS</t>
  </si>
  <si>
    <t>OPERACIÓN</t>
  </si>
  <si>
    <t xml:space="preserve"> PORCENTAJE INCREMENTO </t>
  </si>
  <si>
    <t>APROBACIÓN CARRIER</t>
  </si>
  <si>
    <t>INICIO VIGENCIA</t>
  </si>
  <si>
    <t>ADENDUM</t>
  </si>
  <si>
    <t>PT/MP</t>
  </si>
  <si>
    <t>21/07/2026</t>
  </si>
  <si>
    <t>22/07/2026</t>
  </si>
  <si>
    <t>PENDIENTE</t>
  </si>
  <si>
    <t xml:space="preserve">GRANELES </t>
  </si>
  <si>
    <t>TRANSVELEZ</t>
  </si>
  <si>
    <t>15/07/2027</t>
  </si>
  <si>
    <t>TRANSMAYORGA</t>
  </si>
  <si>
    <t>23/07/2026</t>
  </si>
  <si>
    <t>SEGMENTO</t>
  </si>
  <si>
    <t>CODIGO SAP</t>
  </si>
  <si>
    <t>DESCRIPCION</t>
  </si>
  <si>
    <t>CONTACTO</t>
  </si>
  <si>
    <t>TELEFONO</t>
  </si>
  <si>
    <t>EMAIL</t>
  </si>
  <si>
    <t>Porcentaje</t>
  </si>
  <si>
    <t>VIGENCIA</t>
  </si>
  <si>
    <t>TERRESTRE PT/MP</t>
  </si>
  <si>
    <t>MIRIAM SALAZAR</t>
  </si>
  <si>
    <t>+593 987932132</t>
  </si>
  <si>
    <t>transfremec@outlook.es</t>
  </si>
  <si>
    <t>15/07/2026</t>
  </si>
  <si>
    <t> </t>
  </si>
  <si>
    <t>GRANELES</t>
  </si>
  <si>
    <t>RODRIGO VELEZ</t>
  </si>
  <si>
    <t>+593 999527557</t>
  </si>
  <si>
    <t>rodrigovelez@ciudadrodrigo.com.ec</t>
  </si>
  <si>
    <t>ERIKA MOREIRA</t>
  </si>
  <si>
    <t>593 968655786</t>
  </si>
  <si>
    <t>erika.moreira@liftit.co</t>
  </si>
  <si>
    <t>17/07/2026</t>
  </si>
  <si>
    <t>FLUVIAL</t>
  </si>
  <si>
    <t>SEALDOVA SAS</t>
  </si>
  <si>
    <t>MARIA JOSE CASTILLO</t>
  </si>
  <si>
    <t>+593 967185638</t>
  </si>
  <si>
    <t>mcastilloargudo@gmail.com</t>
  </si>
  <si>
    <t>SEBASTIAN YUCAILLA</t>
  </si>
  <si>
    <t>+593 979374594</t>
  </si>
  <si>
    <t>s.yucailla@transalojesa.com</t>
  </si>
  <si>
    <t>CITIKOLD SHIPYARD SAS</t>
  </si>
  <si>
    <t>Cristoforo Roditti</t>
  </si>
  <si>
    <t>593 998888889</t>
  </si>
  <si>
    <t>croditti@citikold.com</t>
  </si>
  <si>
    <t>LUIS RAMIREZ</t>
  </si>
  <si>
    <t>+593 993060024</t>
  </si>
  <si>
    <t>lramirez@convector.ec</t>
  </si>
  <si>
    <t>ROSA REYNA</t>
  </si>
  <si>
    <t>+593 939859671</t>
  </si>
  <si>
    <t>logistica@rapsecon.com</t>
  </si>
  <si>
    <t>LILY ROMERO</t>
  </si>
  <si>
    <t>+593 991310514</t>
  </si>
  <si>
    <t>info@transvialecuador.com</t>
  </si>
  <si>
    <t>JORGE HUISHA</t>
  </si>
  <si>
    <t>+593 997538764</t>
  </si>
  <si>
    <t>logistica@tortuchargue.com</t>
  </si>
  <si>
    <t>TERRESTRE PT/LIQUIDOS</t>
  </si>
  <si>
    <t>VANESSA CEVALLOS</t>
  </si>
  <si>
    <t>+593 980215640</t>
  </si>
  <si>
    <t>logisticatranspebanor@gmail.com</t>
  </si>
  <si>
    <t>WILMER CRUZ</t>
  </si>
  <si>
    <t>+593 984557127</t>
  </si>
  <si>
    <t>wilmer.cruz@arellanologistica.com</t>
  </si>
  <si>
    <t>27/07/2026</t>
  </si>
  <si>
    <t>RIVERDIESEL SA</t>
  </si>
  <si>
    <t>KARLA PEREZ</t>
  </si>
  <si>
    <t>+593 939670930</t>
  </si>
  <si>
    <t>riverdiesel@hotmail.com</t>
  </si>
  <si>
    <t>28/07/2026</t>
  </si>
  <si>
    <t>RAFAEL AVILES</t>
  </si>
  <si>
    <t>+593 992142457</t>
  </si>
  <si>
    <t>rafael@piperlogisticsco.com</t>
  </si>
  <si>
    <t>JANINA MUÑOZ</t>
  </si>
  <si>
    <t>+593 999324392</t>
  </si>
  <si>
    <t>aguisoricom@hotmail.com</t>
  </si>
  <si>
    <t>LIQUIDOS</t>
  </si>
  <si>
    <t>JESSICA ARBOLEDA</t>
  </si>
  <si>
    <t>+593 997101922</t>
  </si>
  <si>
    <t>transmayorgasa@hotmail.com</t>
  </si>
  <si>
    <t>EDGAR YANEZ</t>
  </si>
  <si>
    <t>+593 986481699</t>
  </si>
  <si>
    <t>gerencia@transcorposa.com</t>
  </si>
  <si>
    <t>DIFERENCIA DE TARIFAS</t>
  </si>
  <si>
    <t xml:space="preserve">PRECIO X TM (SOYA Y TRIGO) </t>
  </si>
  <si>
    <t xml:space="preserve"> PRECIO X TM (DDGS) </t>
  </si>
  <si>
    <t xml:space="preserve"> DURAN (TLD) </t>
  </si>
  <si>
    <t>8.08</t>
  </si>
  <si>
    <t>9.00</t>
  </si>
  <si>
    <t>GUAYAQUIL (ANDIPUERTO)</t>
  </si>
  <si>
    <t>2.78</t>
  </si>
  <si>
    <t>3.11</t>
  </si>
  <si>
    <t>GUAYAQUIL (ECUABULK/CARGOMAR/CARGOPORT)</t>
  </si>
  <si>
    <t>5.78</t>
  </si>
  <si>
    <t>6.46</t>
  </si>
  <si>
    <t>MANTA (PAXOS)</t>
  </si>
  <si>
    <t>TARIFA PARA GRANELES</t>
  </si>
  <si>
    <t>EL TROJE</t>
  </si>
  <si>
    <t>22.07</t>
  </si>
  <si>
    <t>26.02</t>
  </si>
  <si>
    <t>PUNTO DE ENTREGA</t>
  </si>
  <si>
    <t>$/TM</t>
  </si>
  <si>
    <t>CAMPAMENTOS</t>
  </si>
  <si>
    <t>ISLA SAN IGNACIO</t>
  </si>
  <si>
    <t>CACHUGRAN</t>
  </si>
  <si>
    <t>PUERTO INCA I, II y III</t>
  </si>
  <si>
    <t>ISLA PUNA</t>
  </si>
  <si>
    <t>PUNA I y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</si>
</sst>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4" formatCode="_ &quot;$&quot;* #,##0.00_ ;_ &quot;$&quot;* \-#,##0.00_ ;_ &quot;$&quot;* &quot;-&quot;??_ ;_ @_ "/>
    <numFmt numFmtId="164" formatCode="&quot;$&quot;#,##0_);[Red]\(&quot;$&quot;#,##0\)"/>
    <numFmt numFmtId="165" formatCode="&quot;$&quot;#,##0.00_);[Red]\(&quot;$&quot;#,##0.00\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&quot;$&quot;#,##0.00"/>
    <numFmt numFmtId="169" formatCode="_ [$$-300A]* #,##0.00_ ;_ [$$-300A]* \-#,##0.00_ ;_ [$$-300A]* &quot;-&quot;??_ ;_ @_ "/>
    <numFmt numFmtId="170" formatCode="0.0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2"/>
      <color rgb="FF000000"/>
      <name val="Aptos Narrow"/>
      <family val="2"/>
    </font>
    <font>
      <sz val="10"/>
      <color rgb="FF000000"/>
      <name val="Aptos Narrow"/>
      <family val="2"/>
    </font>
    <font>
      <b/>
      <sz val="10"/>
      <color theme="1"/>
      <name val="Aptos Narrow"/>
      <family val="2"/>
    </font>
    <font>
      <b/>
      <sz val="10"/>
      <color theme="1"/>
      <name val="Aptos Narrow"/>
      <family val="2"/>
      <scheme val="minor"/>
    </font>
    <font>
      <sz val="9"/>
      <color theme="1"/>
      <name val="Aptos Display"/>
      <family val="2"/>
      <scheme val="major"/>
    </font>
    <font>
      <sz val="9"/>
      <name val="Aptos Display"/>
      <family val="2"/>
      <scheme val="major"/>
    </font>
    <font>
      <sz val="10"/>
      <color theme="1"/>
      <name val="Times New Roman"/>
      <family val="1"/>
    </font>
    <font>
      <sz val="12"/>
      <color theme="1"/>
      <name val="Aptos"/>
      <family val="2"/>
    </font>
    <font>
      <b/>
      <sz val="14"/>
      <color rgb="FFFFFFFF"/>
      <name val="Aptos"/>
      <family val="2"/>
    </font>
    <font>
      <b/>
      <sz val="9"/>
      <color rgb="FFFFFFFF"/>
      <name val="Aptos"/>
      <family val="2"/>
    </font>
    <font>
      <sz val="9"/>
      <color rgb="FF000000"/>
      <name val="Aptos"/>
      <family val="2"/>
    </font>
    <font>
      <sz val="10"/>
      <color rgb="FF000000"/>
      <name val="Aptos"/>
      <family val="2"/>
    </font>
    <font>
      <u/>
      <sz val="11"/>
      <color theme="10"/>
      <name val="Aptos Narrow"/>
      <family val="2"/>
      <scheme val="minor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2060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/>
      <top/>
      <bottom style="medium">
        <color rgb="FF44B3E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rgb="FF156082"/>
      </bottom>
      <diagonal/>
    </border>
    <border>
      <left/>
      <right/>
      <top style="thin">
        <color theme="9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1" fillId="0" borderId="0" applyNumberFormat="0" applyFill="0" applyBorder="0" applyAlignment="0" applyProtection="0"/>
  </cellStyleXfs>
  <cellXfs count="186">
    <xf numFmtId="0" fontId="0" fillId="0" borderId="0" xfId="0"/>
    <xf numFmtId="166" fontId="0" fillId="0" borderId="0" xfId="1" applyFont="1"/>
    <xf numFmtId="165" fontId="0" fillId="0" borderId="0" xfId="0" applyNumberFormat="1"/>
    <xf numFmtId="0" fontId="2" fillId="0" borderId="0" xfId="0" applyFont="1"/>
    <xf numFmtId="166" fontId="2" fillId="0" borderId="0" xfId="1" applyFont="1"/>
    <xf numFmtId="0" fontId="2" fillId="0" borderId="0" xfId="0" applyFont="1" applyAlignment="1">
      <alignment horizontal="left" vertical="center"/>
    </xf>
    <xf numFmtId="166" fontId="2" fillId="0" borderId="0" xfId="1" applyFont="1" applyAlignment="1">
      <alignment horizontal="left" vertic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166" fontId="0" fillId="0" borderId="6" xfId="1" applyFont="1" applyBorder="1"/>
    <xf numFmtId="166" fontId="0" fillId="0" borderId="6" xfId="1" applyFont="1" applyBorder="1" applyAlignment="1">
      <alignment horizontal="center"/>
    </xf>
    <xf numFmtId="0" fontId="0" fillId="0" borderId="1" xfId="0" applyBorder="1" applyAlignment="1">
      <alignment horizontal="center"/>
    </xf>
    <xf numFmtId="166" fontId="0" fillId="0" borderId="1" xfId="1" applyFont="1" applyBorder="1"/>
    <xf numFmtId="166" fontId="0" fillId="0" borderId="1" xfId="1" applyFont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168" fontId="6" fillId="2" borderId="1" xfId="2" applyNumberFormat="1" applyFont="1" applyFill="1" applyBorder="1" applyAlignment="1">
      <alignment horizontal="center"/>
    </xf>
    <xf numFmtId="168" fontId="6" fillId="0" borderId="1" xfId="2" applyNumberFormat="1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166" fontId="0" fillId="4" borderId="1" xfId="1" applyFont="1" applyFill="1" applyBorder="1"/>
    <xf numFmtId="166" fontId="0" fillId="4" borderId="1" xfId="1" applyFont="1" applyFill="1" applyBorder="1" applyAlignment="1">
      <alignment horizontal="center"/>
    </xf>
    <xf numFmtId="0" fontId="2" fillId="0" borderId="1" xfId="0" applyFont="1" applyBorder="1"/>
    <xf numFmtId="9" fontId="0" fillId="0" borderId="0" xfId="3" applyFont="1"/>
    <xf numFmtId="10" fontId="0" fillId="0" borderId="0" xfId="3" applyNumberFormat="1" applyFont="1"/>
    <xf numFmtId="166" fontId="2" fillId="0" borderId="0" xfId="1" applyFont="1" applyFill="1" applyBorder="1" applyAlignment="1">
      <alignment horizontal="center"/>
    </xf>
    <xf numFmtId="0" fontId="8" fillId="7" borderId="1" xfId="0" applyFont="1" applyFill="1" applyBorder="1" applyAlignment="1">
      <alignment vertical="center"/>
    </xf>
    <xf numFmtId="166" fontId="7" fillId="0" borderId="1" xfId="1" applyFont="1" applyBorder="1" applyAlignment="1">
      <alignment vertical="center"/>
    </xf>
    <xf numFmtId="166" fontId="0" fillId="0" borderId="0" xfId="1" applyFont="1" applyBorder="1"/>
    <xf numFmtId="49" fontId="0" fillId="0" borderId="0" xfId="0" applyNumberFormat="1" applyAlignment="1">
      <alignment horizontal="right"/>
    </xf>
    <xf numFmtId="0" fontId="8" fillId="0" borderId="1" xfId="0" applyFont="1" applyBorder="1" applyAlignment="1">
      <alignment vertical="center"/>
    </xf>
    <xf numFmtId="10" fontId="0" fillId="0" borderId="0" xfId="3" applyNumberFormat="1" applyFont="1" applyBorder="1"/>
    <xf numFmtId="0" fontId="8" fillId="0" borderId="0" xfId="0" applyFont="1" applyAlignment="1">
      <alignment vertical="center"/>
    </xf>
    <xf numFmtId="166" fontId="7" fillId="0" borderId="0" xfId="1" applyFont="1" applyFill="1" applyBorder="1" applyAlignment="1">
      <alignment vertical="center"/>
    </xf>
    <xf numFmtId="0" fontId="0" fillId="0" borderId="12" xfId="0" applyBorder="1"/>
    <xf numFmtId="0" fontId="0" fillId="0" borderId="13" xfId="0" applyBorder="1"/>
    <xf numFmtId="166" fontId="0" fillId="0" borderId="13" xfId="1" applyFont="1" applyBorder="1"/>
    <xf numFmtId="0" fontId="0" fillId="0" borderId="10" xfId="0" applyBorder="1"/>
    <xf numFmtId="0" fontId="0" fillId="0" borderId="11" xfId="0" applyBorder="1"/>
    <xf numFmtId="166" fontId="0" fillId="0" borderId="11" xfId="1" applyFont="1" applyBorder="1"/>
    <xf numFmtId="0" fontId="9" fillId="8" borderId="14" xfId="0" applyFont="1" applyFill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9" fillId="0" borderId="0" xfId="0" applyFont="1" applyAlignment="1">
      <alignment vertical="center"/>
    </xf>
    <xf numFmtId="166" fontId="9" fillId="8" borderId="14" xfId="1" applyFont="1" applyFill="1" applyBorder="1" applyAlignment="1">
      <alignment vertical="center"/>
    </xf>
    <xf numFmtId="166" fontId="9" fillId="0" borderId="14" xfId="1" applyFont="1" applyBorder="1" applyAlignment="1">
      <alignment vertical="center"/>
    </xf>
    <xf numFmtId="166" fontId="9" fillId="0" borderId="0" xfId="1" applyFont="1" applyAlignment="1">
      <alignment vertical="center"/>
    </xf>
    <xf numFmtId="166" fontId="0" fillId="0" borderId="0" xfId="1" applyFont="1" applyFill="1"/>
    <xf numFmtId="166" fontId="0" fillId="0" borderId="0" xfId="1" applyFont="1" applyAlignment="1">
      <alignment horizontal="left" vertical="center"/>
    </xf>
    <xf numFmtId="0" fontId="10" fillId="0" borderId="0" xfId="0" applyFont="1" applyAlignment="1">
      <alignment vertical="center"/>
    </xf>
    <xf numFmtId="166" fontId="10" fillId="0" borderId="0" xfId="1" applyFont="1" applyFill="1" applyBorder="1" applyAlignment="1">
      <alignment vertical="center"/>
    </xf>
    <xf numFmtId="9" fontId="0" fillId="0" borderId="0" xfId="3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0" xfId="3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166" fontId="4" fillId="0" borderId="16" xfId="1" applyFont="1" applyFill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0" fillId="0" borderId="1" xfId="0" applyBorder="1"/>
    <xf numFmtId="166" fontId="0" fillId="0" borderId="1" xfId="1" applyFont="1" applyFill="1" applyBorder="1"/>
    <xf numFmtId="169" fontId="0" fillId="0" borderId="1" xfId="0" applyNumberFormat="1" applyBorder="1"/>
    <xf numFmtId="169" fontId="0" fillId="0" borderId="9" xfId="0" applyNumberFormat="1" applyBorder="1"/>
    <xf numFmtId="0" fontId="0" fillId="0" borderId="8" xfId="0" applyBorder="1"/>
    <xf numFmtId="169" fontId="0" fillId="0" borderId="8" xfId="0" applyNumberFormat="1" applyBorder="1"/>
    <xf numFmtId="169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4" borderId="20" xfId="0" applyFill="1" applyBorder="1"/>
    <xf numFmtId="166" fontId="0" fillId="0" borderId="21" xfId="1" applyFont="1" applyBorder="1" applyAlignment="1">
      <alignment horizontal="center"/>
    </xf>
    <xf numFmtId="166" fontId="0" fillId="0" borderId="9" xfId="1" applyFont="1" applyBorder="1" applyAlignment="1">
      <alignment horizontal="center"/>
    </xf>
    <xf numFmtId="166" fontId="0" fillId="4" borderId="9" xfId="1" applyFont="1" applyFill="1" applyBorder="1" applyAlignment="1">
      <alignment horizontal="center"/>
    </xf>
    <xf numFmtId="0" fontId="0" fillId="0" borderId="7" xfId="0" applyBorder="1"/>
    <xf numFmtId="0" fontId="0" fillId="0" borderId="8" xfId="0" applyBorder="1" applyAlignment="1">
      <alignment horizontal="center"/>
    </xf>
    <xf numFmtId="166" fontId="0" fillId="0" borderId="8" xfId="1" applyFont="1" applyBorder="1"/>
    <xf numFmtId="166" fontId="0" fillId="0" borderId="8" xfId="1" applyFont="1" applyBorder="1" applyAlignment="1">
      <alignment horizontal="center"/>
    </xf>
    <xf numFmtId="166" fontId="0" fillId="0" borderId="18" xfId="1" applyFont="1" applyBorder="1" applyAlignment="1">
      <alignment horizontal="center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5" xfId="0" applyBorder="1"/>
    <xf numFmtId="166" fontId="0" fillId="0" borderId="6" xfId="1" applyFont="1" applyFill="1" applyBorder="1" applyAlignment="1">
      <alignment horizontal="center"/>
    </xf>
    <xf numFmtId="166" fontId="0" fillId="0" borderId="6" xfId="1" applyFont="1" applyFill="1" applyBorder="1"/>
    <xf numFmtId="166" fontId="0" fillId="0" borderId="21" xfId="1" applyFont="1" applyFill="1" applyBorder="1" applyAlignment="1">
      <alignment horizontal="center"/>
    </xf>
    <xf numFmtId="0" fontId="0" fillId="0" borderId="2" xfId="0" applyBorder="1"/>
    <xf numFmtId="166" fontId="0" fillId="0" borderId="1" xfId="1" applyFont="1" applyFill="1" applyBorder="1" applyAlignment="1">
      <alignment horizontal="center"/>
    </xf>
    <xf numFmtId="166" fontId="0" fillId="0" borderId="9" xfId="1" applyFont="1" applyFill="1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center"/>
    </xf>
    <xf numFmtId="166" fontId="0" fillId="0" borderId="4" xfId="1" applyFont="1" applyFill="1" applyBorder="1"/>
    <xf numFmtId="166" fontId="0" fillId="0" borderId="4" xfId="1" applyFont="1" applyFill="1" applyBorder="1" applyAlignment="1">
      <alignment horizontal="center"/>
    </xf>
    <xf numFmtId="166" fontId="0" fillId="0" borderId="22" xfId="1" applyFont="1" applyFill="1" applyBorder="1" applyAlignment="1">
      <alignment horizontal="center"/>
    </xf>
    <xf numFmtId="168" fontId="6" fillId="0" borderId="1" xfId="2" applyNumberFormat="1" applyFont="1" applyFill="1" applyBorder="1" applyAlignment="1">
      <alignment horizontal="center"/>
    </xf>
    <xf numFmtId="168" fontId="6" fillId="0" borderId="9" xfId="2" applyNumberFormat="1" applyFont="1" applyFill="1" applyBorder="1" applyAlignment="1">
      <alignment horizontal="center"/>
    </xf>
    <xf numFmtId="168" fontId="6" fillId="0" borderId="8" xfId="2" applyNumberFormat="1" applyFont="1" applyFill="1" applyBorder="1" applyAlignment="1">
      <alignment horizontal="center"/>
    </xf>
    <xf numFmtId="168" fontId="6" fillId="0" borderId="18" xfId="2" applyNumberFormat="1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6" fontId="0" fillId="0" borderId="8" xfId="1" applyFont="1" applyFill="1" applyBorder="1"/>
    <xf numFmtId="166" fontId="0" fillId="0" borderId="8" xfId="1" applyFont="1" applyFill="1" applyBorder="1" applyAlignment="1">
      <alignment horizontal="center"/>
    </xf>
    <xf numFmtId="166" fontId="0" fillId="0" borderId="18" xfId="1" applyFont="1" applyFill="1" applyBorder="1" applyAlignment="1">
      <alignment horizontal="center"/>
    </xf>
    <xf numFmtId="0" fontId="13" fillId="0" borderId="0" xfId="0" applyFont="1"/>
    <xf numFmtId="166" fontId="13" fillId="0" borderId="0" xfId="1" applyFont="1" applyAlignment="1">
      <alignment horizontal="center"/>
    </xf>
    <xf numFmtId="0" fontId="14" fillId="9" borderId="1" xfId="0" applyFont="1" applyFill="1" applyBorder="1" applyAlignment="1">
      <alignment vertical="center" wrapText="1"/>
    </xf>
    <xf numFmtId="166" fontId="14" fillId="9" borderId="1" xfId="1" applyFont="1" applyFill="1" applyBorder="1" applyAlignment="1">
      <alignment vertical="center" wrapText="1"/>
    </xf>
    <xf numFmtId="0" fontId="14" fillId="9" borderId="8" xfId="0" applyFont="1" applyFill="1" applyBorder="1" applyAlignment="1">
      <alignment vertical="center" wrapText="1"/>
    </xf>
    <xf numFmtId="166" fontId="14" fillId="9" borderId="8" xfId="1" applyFont="1" applyFill="1" applyBorder="1" applyAlignment="1">
      <alignment vertical="center" wrapText="1"/>
    </xf>
    <xf numFmtId="0" fontId="14" fillId="0" borderId="1" xfId="0" applyFont="1" applyBorder="1"/>
    <xf numFmtId="166" fontId="14" fillId="0" borderId="1" xfId="1" applyFont="1" applyBorder="1"/>
    <xf numFmtId="2" fontId="0" fillId="0" borderId="0" xfId="0" applyNumberFormat="1"/>
    <xf numFmtId="166" fontId="0" fillId="0" borderId="0" xfId="1" applyFont="1" applyAlignment="1">
      <alignment horizontal="left"/>
    </xf>
    <xf numFmtId="0" fontId="0" fillId="0" borderId="0" xfId="0" applyAlignment="1">
      <alignment horizontal="left"/>
    </xf>
    <xf numFmtId="0" fontId="18" fillId="10" borderId="2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26" xfId="0" applyFont="1" applyFill="1" applyBorder="1" applyAlignment="1">
      <alignment horizontal="center" vertical="center"/>
    </xf>
    <xf numFmtId="0" fontId="18" fillId="10" borderId="28" xfId="0" applyFont="1" applyFill="1" applyBorder="1" applyAlignment="1">
      <alignment horizontal="center" vertical="center" wrapText="1"/>
    </xf>
    <xf numFmtId="0" fontId="18" fillId="10" borderId="26" xfId="0" applyFont="1" applyFill="1" applyBorder="1" applyAlignment="1">
      <alignment horizontal="center" vertical="center" wrapText="1"/>
    </xf>
    <xf numFmtId="0" fontId="19" fillId="0" borderId="28" xfId="0" applyFont="1" applyBorder="1" applyAlignment="1">
      <alignment vertical="center"/>
    </xf>
    <xf numFmtId="0" fontId="15" fillId="0" borderId="0" xfId="0" applyFont="1"/>
    <xf numFmtId="0" fontId="19" fillId="0" borderId="26" xfId="0" applyFont="1" applyBorder="1" applyAlignment="1">
      <alignment vertical="center"/>
    </xf>
    <xf numFmtId="0" fontId="19" fillId="11" borderId="26" xfId="0" applyFont="1" applyFill="1" applyBorder="1" applyAlignment="1">
      <alignment horizontal="right" vertical="center"/>
    </xf>
    <xf numFmtId="0" fontId="19" fillId="0" borderId="26" xfId="0" applyFont="1" applyBorder="1" applyAlignment="1">
      <alignment horizontal="right" vertical="center"/>
    </xf>
    <xf numFmtId="0" fontId="20" fillId="0" borderId="28" xfId="0" applyFont="1" applyBorder="1" applyAlignment="1">
      <alignment vertical="center"/>
    </xf>
    <xf numFmtId="0" fontId="19" fillId="6" borderId="26" xfId="0" applyFont="1" applyFill="1" applyBorder="1" applyAlignment="1">
      <alignment horizontal="right" vertical="center"/>
    </xf>
    <xf numFmtId="0" fontId="16" fillId="0" borderId="0" xfId="0" applyFont="1" applyAlignment="1">
      <alignment vertical="center"/>
    </xf>
    <xf numFmtId="169" fontId="0" fillId="0" borderId="0" xfId="3" applyNumberFormat="1" applyFont="1"/>
    <xf numFmtId="166" fontId="0" fillId="0" borderId="0" xfId="0" applyNumberFormat="1"/>
    <xf numFmtId="166" fontId="14" fillId="0" borderId="0" xfId="0" applyNumberFormat="1" applyFont="1"/>
    <xf numFmtId="0" fontId="13" fillId="0" borderId="29" xfId="0" applyFont="1" applyBorder="1"/>
    <xf numFmtId="0" fontId="14" fillId="6" borderId="16" xfId="0" applyFont="1" applyFill="1" applyBorder="1" applyAlignment="1">
      <alignment vertical="center" wrapText="1"/>
    </xf>
    <xf numFmtId="166" fontId="14" fillId="6" borderId="16" xfId="1" applyFont="1" applyFill="1" applyBorder="1" applyAlignment="1">
      <alignment vertical="center" wrapText="1"/>
    </xf>
    <xf numFmtId="0" fontId="14" fillId="6" borderId="1" xfId="0" applyFont="1" applyFill="1" applyBorder="1" applyAlignment="1">
      <alignment vertical="center" wrapText="1"/>
    </xf>
    <xf numFmtId="166" fontId="14" fillId="6" borderId="1" xfId="1" applyFont="1" applyFill="1" applyBorder="1" applyAlignment="1">
      <alignment vertical="center" wrapText="1"/>
    </xf>
    <xf numFmtId="44" fontId="0" fillId="0" borderId="0" xfId="0" applyNumberFormat="1"/>
    <xf numFmtId="0" fontId="0" fillId="0" borderId="0" xfId="1" applyNumberFormat="1" applyFont="1"/>
    <xf numFmtId="0" fontId="0" fillId="0" borderId="0" xfId="3" applyNumberFormat="1" applyFont="1" applyAlignment="1">
      <alignment horizontal="center"/>
    </xf>
    <xf numFmtId="14" fontId="0" fillId="0" borderId="0" xfId="3" applyNumberFormat="1" applyFont="1" applyAlignment="1">
      <alignment horizontal="center"/>
    </xf>
    <xf numFmtId="0" fontId="0" fillId="12" borderId="0" xfId="0" applyFill="1" applyAlignment="1">
      <alignment horizontal="left" vertical="center"/>
    </xf>
    <xf numFmtId="9" fontId="0" fillId="0" borderId="30" xfId="3" applyFont="1" applyBorder="1" applyAlignment="1">
      <alignment horizontal="center"/>
    </xf>
    <xf numFmtId="0" fontId="0" fillId="0" borderId="30" xfId="3" applyNumberFormat="1" applyFont="1" applyBorder="1" applyAlignment="1">
      <alignment horizontal="center"/>
    </xf>
    <xf numFmtId="0" fontId="0" fillId="12" borderId="0" xfId="0" applyFill="1"/>
    <xf numFmtId="0" fontId="22" fillId="13" borderId="31" xfId="0" applyFont="1" applyFill="1" applyBorder="1"/>
    <xf numFmtId="0" fontId="23" fillId="0" borderId="1" xfId="0" applyFont="1" applyBorder="1"/>
    <xf numFmtId="0" fontId="23" fillId="0" borderId="20" xfId="0" applyFont="1" applyBorder="1"/>
    <xf numFmtId="0" fontId="21" fillId="0" borderId="20" xfId="4" applyFill="1" applyBorder="1" applyAlignment="1"/>
    <xf numFmtId="0" fontId="23" fillId="0" borderId="16" xfId="0" applyFont="1" applyBorder="1"/>
    <xf numFmtId="0" fontId="23" fillId="0" borderId="32" xfId="0" applyFont="1" applyBorder="1"/>
    <xf numFmtId="0" fontId="21" fillId="0" borderId="32" xfId="4" applyFill="1" applyBorder="1" applyAlignment="1"/>
    <xf numFmtId="0" fontId="23" fillId="12" borderId="20" xfId="0" applyFont="1" applyFill="1" applyBorder="1"/>
    <xf numFmtId="0" fontId="23" fillId="12" borderId="32" xfId="0" applyFont="1" applyFill="1" applyBorder="1"/>
    <xf numFmtId="0" fontId="23" fillId="6" borderId="32" xfId="0" applyFont="1" applyFill="1" applyBorder="1"/>
    <xf numFmtId="0" fontId="22" fillId="13" borderId="31" xfId="0" applyFont="1" applyFill="1" applyBorder="1" applyAlignment="1">
      <alignment horizontal="center"/>
    </xf>
    <xf numFmtId="9" fontId="23" fillId="0" borderId="20" xfId="0" applyNumberFormat="1" applyFont="1" applyBorder="1" applyAlignment="1">
      <alignment horizontal="center"/>
    </xf>
    <xf numFmtId="9" fontId="23" fillId="0" borderId="32" xfId="0" applyNumberFormat="1" applyFont="1" applyBorder="1" applyAlignment="1">
      <alignment horizontal="center"/>
    </xf>
    <xf numFmtId="0" fontId="23" fillId="0" borderId="20" xfId="0" quotePrefix="1" applyFont="1" applyBorder="1" applyAlignment="1">
      <alignment horizontal="right"/>
    </xf>
    <xf numFmtId="0" fontId="23" fillId="0" borderId="32" xfId="0" quotePrefix="1" applyFont="1" applyBorder="1" applyAlignment="1">
      <alignment horizontal="right"/>
    </xf>
    <xf numFmtId="0" fontId="23" fillId="0" borderId="32" xfId="0" applyFont="1" applyBorder="1" applyAlignment="1">
      <alignment horizontal="right"/>
    </xf>
    <xf numFmtId="0" fontId="23" fillId="6" borderId="20" xfId="0" applyFont="1" applyFill="1" applyBorder="1" applyAlignment="1">
      <alignment horizontal="center"/>
    </xf>
    <xf numFmtId="0" fontId="23" fillId="0" borderId="32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9" fontId="0" fillId="0" borderId="1" xfId="3" applyFont="1" applyBorder="1"/>
    <xf numFmtId="9" fontId="0" fillId="0" borderId="0" xfId="3" applyFont="1" applyBorder="1"/>
    <xf numFmtId="9" fontId="0" fillId="0" borderId="1" xfId="3" applyFont="1" applyFill="1" applyBorder="1"/>
    <xf numFmtId="10" fontId="0" fillId="0" borderId="1" xfId="3" applyNumberFormat="1" applyFont="1" applyFill="1" applyBorder="1"/>
    <xf numFmtId="166" fontId="0" fillId="0" borderId="9" xfId="1" applyFont="1" applyFill="1" applyBorder="1"/>
    <xf numFmtId="44" fontId="0" fillId="0" borderId="0" xfId="0" applyNumberFormat="1" applyAlignment="1">
      <alignment horizontal="right"/>
    </xf>
    <xf numFmtId="166" fontId="0" fillId="5" borderId="1" xfId="1" applyFont="1" applyFill="1" applyBorder="1"/>
    <xf numFmtId="0" fontId="2" fillId="14" borderId="1" xfId="0" applyFont="1" applyFill="1" applyBorder="1" applyAlignment="1">
      <alignment horizontal="center"/>
    </xf>
    <xf numFmtId="166" fontId="2" fillId="14" borderId="1" xfId="1" applyFont="1" applyFill="1" applyBorder="1"/>
    <xf numFmtId="9" fontId="2" fillId="14" borderId="1" xfId="3" applyFont="1" applyFill="1" applyBorder="1" applyAlignment="1">
      <alignment horizontal="right"/>
    </xf>
    <xf numFmtId="0" fontId="12" fillId="14" borderId="1" xfId="0" applyFont="1" applyFill="1" applyBorder="1" applyAlignment="1">
      <alignment horizontal="center"/>
    </xf>
    <xf numFmtId="0" fontId="2" fillId="14" borderId="1" xfId="0" applyFont="1" applyFill="1" applyBorder="1"/>
    <xf numFmtId="10" fontId="2" fillId="14" borderId="1" xfId="3" applyNumberFormat="1" applyFont="1" applyFill="1" applyBorder="1" applyAlignment="1">
      <alignment horizontal="center"/>
    </xf>
    <xf numFmtId="10" fontId="12" fillId="14" borderId="1" xfId="3" applyNumberFormat="1" applyFont="1" applyFill="1" applyBorder="1" applyAlignment="1">
      <alignment horizontal="center"/>
    </xf>
    <xf numFmtId="0" fontId="11" fillId="14" borderId="1" xfId="0" applyFont="1" applyFill="1" applyBorder="1" applyAlignment="1">
      <alignment vertical="center"/>
    </xf>
    <xf numFmtId="0" fontId="4" fillId="15" borderId="1" xfId="0" applyFont="1" applyFill="1" applyBorder="1"/>
    <xf numFmtId="0" fontId="2" fillId="0" borderId="8" xfId="0" applyFont="1" applyBorder="1"/>
    <xf numFmtId="10" fontId="0" fillId="0" borderId="8" xfId="3" applyNumberFormat="1" applyFont="1" applyFill="1" applyBorder="1"/>
    <xf numFmtId="166" fontId="0" fillId="5" borderId="8" xfId="1" applyFont="1" applyFill="1" applyBorder="1"/>
    <xf numFmtId="10" fontId="0" fillId="0" borderId="1" xfId="3" applyNumberFormat="1" applyFont="1" applyBorder="1"/>
    <xf numFmtId="0" fontId="0" fillId="6" borderId="0" xfId="0" applyFill="1"/>
    <xf numFmtId="164" fontId="0" fillId="0" borderId="0" xfId="1" applyNumberFormat="1" applyFont="1"/>
    <xf numFmtId="0" fontId="0" fillId="16" borderId="0" xfId="0" applyFill="1"/>
    <xf numFmtId="170" fontId="0" fillId="0" borderId="0" xfId="0" applyNumberFormat="1"/>
    <xf numFmtId="0" fontId="2" fillId="14" borderId="1" xfId="0" applyFont="1" applyFill="1" applyBorder="1" applyAlignment="1">
      <alignment horizontal="center" wrapText="1"/>
    </xf>
    <xf numFmtId="0" fontId="11" fillId="14" borderId="1" xfId="0" applyFont="1" applyFill="1" applyBorder="1" applyAlignment="1">
      <alignment horizontal="center" vertical="center"/>
    </xf>
    <xf numFmtId="0" fontId="17" fillId="10" borderId="25" xfId="0" applyFont="1" applyFill="1" applyBorder="1" applyAlignment="1">
      <alignment horizontal="center" vertical="center"/>
    </xf>
    <xf numFmtId="0" fontId="17" fillId="10" borderId="27" xfId="0" applyFont="1" applyFill="1" applyBorder="1" applyAlignment="1">
      <alignment horizontal="center" vertical="center"/>
    </xf>
  </cellXfs>
  <cellStyles count="5">
    <cellStyle name="Hipervínculo" xfId="4" builtinId="8"/>
    <cellStyle name="Millares" xfId="2" builtinId="3"/>
    <cellStyle name="Moneda" xfId="1" builtinId="4"/>
    <cellStyle name="Normal" xfId="0" builtinId="0"/>
    <cellStyle name="Porcentaje" xfId="3" builtinId="5"/>
  </cellStyles>
  <dxfs count="28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8" formatCode="&quot;$&quot;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8" formatCode="&quot;$&quot;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8" formatCode="&quot;$&quot;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8" formatCode="&quot;$&quot;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8" formatCode="&quot;$&quot;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8" formatCode="&quot;$&quot;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8" formatCode="&quot;$&quot;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medium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ptos Display"/>
        <family val="2"/>
        <scheme val="maj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/>
        <right style="medium">
          <color rgb="FF45B0E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ptos Display"/>
        <family val="2"/>
        <scheme val="maj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rgb="FF45B0E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ptos Display"/>
        <family val="2"/>
        <scheme val="maj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45B0E1"/>
        </left>
        <right style="medium">
          <color rgb="FF45B0E1"/>
        </right>
        <top/>
        <bottom/>
      </border>
    </dxf>
    <dxf>
      <border outline="0">
        <top style="medium">
          <color rgb="FF156082"/>
        </top>
        <bottom style="medium">
          <color rgb="FF45B0E1"/>
        </bottom>
      </border>
    </dxf>
    <dxf>
      <border outline="0">
        <bottom style="medium">
          <color rgb="FF156082"/>
        </bottom>
      </border>
    </dxf>
    <dxf>
      <font>
        <strike val="0"/>
        <outline val="0"/>
        <shadow val="0"/>
        <u val="none"/>
        <vertAlign val="baseline"/>
        <sz val="9"/>
        <color auto="1"/>
        <name val="Aptos Display"/>
        <family val="2"/>
        <scheme val="major"/>
      </font>
      <numFmt numFmtId="166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Display"/>
        <family val="2"/>
        <scheme val="major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Display"/>
        <family val="2"/>
        <scheme val="major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Display"/>
        <family val="2"/>
        <scheme val="major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rgb="FF156082"/>
        </top>
        <bottom style="medium">
          <color rgb="FF45B0E1"/>
        </bottom>
      </border>
    </dxf>
    <dxf>
      <font>
        <strike val="0"/>
        <outline val="0"/>
        <shadow val="0"/>
        <u val="none"/>
        <vertAlign val="baseline"/>
        <sz val="9"/>
        <color auto="1"/>
        <name val="Aptos Display"/>
        <family val="2"/>
        <scheme val="major"/>
      </font>
    </dxf>
    <dxf>
      <border outline="0">
        <bottom style="medium">
          <color rgb="FF156082"/>
        </bottom>
      </border>
    </dxf>
    <dxf>
      <font>
        <strike val="0"/>
        <outline val="0"/>
        <shadow val="0"/>
        <u val="none"/>
        <vertAlign val="baseline"/>
        <sz val="9"/>
        <name val="Aptos Display"/>
        <family val="2"/>
        <scheme val="major"/>
      </font>
    </dxf>
    <dxf>
      <numFmt numFmtId="166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9" formatCode="_ [$$-300A]* #,##0.00_ ;_ [$$-300A]* \-#,##0.00_ ;_ [$$-300A]* &quot;-&quot;??_ ;_ @_ 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9" formatCode="_ [$$-300A]* #,##0.00_ ;_ [$$-300A]* \-#,##0.00_ ;_ [$$-300A]* &quot;-&quot;??_ ;_ @_ 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9" formatCode="_ [$$-300A]* #,##0.00_ ;_ [$$-300A]* \-#,##0.00_ ;_ [$$-300A]* &quot;-&quot;??_ ;_ @_ "/>
      <fill>
        <patternFill patternType="none">
          <fgColor theme="9" tint="0.79998168889431442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9" formatCode="_ [$$-300A]* #,##0.00_ ;_ [$$-300A]* \-#,##0.00_ ;_ [$$-300A]* &quot;-&quot;??_ ;_ @_ "/>
      <fill>
        <patternFill patternType="none">
          <fgColor theme="9" tint="0.79998168889431442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9" formatCode="_ [$$-300A]* #,##0.00_ ;_ [$$-300A]* \-#,##0.00_ ;_ [$$-300A]* &quot;-&quot;??_ ;_ @_ "/>
      <fill>
        <patternFill patternType="none">
          <fgColor theme="9" tint="0.79998168889431442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9" formatCode="_ [$$-300A]* #,##0.00_ ;_ [$$-300A]* \-#,##0.00_ ;_ [$$-300A]* &quot;-&quot;??_ ;_ @_ "/>
      <fill>
        <patternFill patternType="none">
          <fgColor theme="9" tint="0.79998168889431442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9" formatCode="_ [$$-300A]* #,##0.00_ ;_ [$$-300A]* \-#,##0.00_ ;_ [$$-300A]* &quot;-&quot;??_ ;_ @_ "/>
      <fill>
        <patternFill patternType="none">
          <fgColor theme="9" tint="0.79998168889431442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ill>
        <patternFill patternType="none">
          <fgColor theme="9" tint="0.79998168889431442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theme="9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/>
        <bottom style="medium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/>
        <bottom style="medium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/>
        <bottom style="medium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/>
        <bottom style="medium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/>
        <bottom style="medium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/>
        <bottom style="medium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/>
        <bottom style="medium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/>
        <bottom style="medium">
          <color rgb="FF44B3E1"/>
        </bottom>
        <vertical/>
        <horizontal/>
      </border>
    </dxf>
    <dxf>
      <font>
        <sz val="12"/>
        <color rgb="FF000000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/>
        <top/>
        <bottom style="medium">
          <color rgb="FF44B3E1"/>
        </bottom>
        <vertical/>
        <horizontal/>
      </border>
    </dxf>
    <dxf>
      <font>
        <sz val="12"/>
        <color rgb="FF000000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/>
        <top/>
        <bottom style="medium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sz val="10"/>
        <color rgb="FF000000"/>
      </font>
      <numFmt numFmtId="0" formatCode="General"/>
      <alignment horizontal="general" vertical="center" textRotation="0" wrapText="0" indent="0" justifyLastLine="0" shrinkToFit="0" readingOrder="0"/>
    </dxf>
    <dxf>
      <font>
        <sz val="10"/>
        <color rgb="FF000000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numFmt numFmtId="0" formatCode="General"/>
      <border diagonalUp="0" diagonalDown="0">
        <left/>
        <right/>
        <top style="thin">
          <color theme="7"/>
        </top>
        <bottom/>
        <vertical/>
        <horizontal/>
      </border>
    </dxf>
    <dxf>
      <numFmt numFmtId="0" formatCode="General"/>
      <border diagonalUp="0" diagonalDown="0">
        <left style="thin">
          <color theme="7"/>
        </left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rgb="FFC0E6F5"/>
          <bgColor rgb="FFC0E6F5"/>
        </patternFill>
      </fill>
    </dxf>
    <dxf>
      <fill>
        <patternFill patternType="solid">
          <fgColor rgb="FFC0E6F5"/>
          <bgColor rgb="FFC0E6F5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156082"/>
        </top>
      </border>
    </dxf>
    <dxf>
      <font>
        <b/>
        <color rgb="FFFFFFFF"/>
      </font>
      <fill>
        <patternFill patternType="solid">
          <fgColor rgb="FF156082"/>
          <bgColor rgb="FF156082"/>
        </patternFill>
      </fill>
    </dxf>
    <dxf>
      <font>
        <color rgb="FF000000"/>
      </font>
      <border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  <horizontal style="thin">
          <color rgb="FF44B3E1"/>
        </horizontal>
      </border>
    </dxf>
  </dxfs>
  <tableStyles count="2" defaultTableStyle="TableStyleMedium2" defaultPivotStyle="PivotStyleLight16">
    <tableStyle name="TableStyleMedium2 2" pivot="0" count="7" xr9:uid="{38FC61FE-9185-41C7-898D-B7DE80250D72}">
      <tableStyleElement type="wholeTable" dxfId="280"/>
      <tableStyleElement type="headerRow" dxfId="279"/>
      <tableStyleElement type="totalRow" dxfId="278"/>
      <tableStyleElement type="firstColumn" dxfId="277"/>
      <tableStyleElement type="lastColumn" dxfId="276"/>
      <tableStyleElement type="firstRowStripe" dxfId="275"/>
      <tableStyleElement type="firstColumnStripe" dxfId="274"/>
    </tableStyle>
    <tableStyle name="Invisible" pivot="0" table="0" count="0" xr9:uid="{D30A5DDC-CDBB-49CA-B35E-8F4DBEB968C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externalLink" Target="externalLinks/externalLink1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8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customXml" Target="../customXml/item4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808447\Downloads\buscar%20v.xlsx" TargetMode="External"/><Relationship Id="rId1" Type="http://schemas.openxmlformats.org/officeDocument/2006/relationships/externalLinkPath" Target="https://cargillonline.sharepoint.com/Users/n808447/Downloads/buscar%20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Hoja2"/>
      <sheetName val="buscar v"/>
    </sheetNames>
    <sheetDataSet>
      <sheetData sheetId="0"/>
      <sheetData sheetId="1"/>
      <sheetData sheetId="2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4" xr16:uid="{38058461-C847-471F-810B-6F3B64FEBCDD}" autoFormatId="16" applyNumberFormats="0" applyBorderFormats="0" applyFontFormats="0" applyPatternFormats="0" applyAlignmentFormats="0" applyWidthHeightFormats="0">
  <queryTableRefresh nextId="22">
    <queryTableFields count="18">
      <queryTableField id="1" name="ID_MASTER" tableColumnId="1"/>
      <queryTableField id="2" name="ORIGEN" tableColumnId="2"/>
      <queryTableField id="3" name="DESTINO" tableColumnId="3"/>
      <queryTableField id="4" name="RANGO TM" tableColumnId="4"/>
      <queryTableField id="5" name="LIFTIT" tableColumnId="5"/>
      <queryTableField id="6" name="TRANSMUÑIZ" tableColumnId="6"/>
      <queryTableField id="7" name="ARELLANO" tableColumnId="7"/>
      <queryTableField id="8" name="RAPSECON" tableColumnId="8"/>
      <queryTableField id="9" name="PIPER" tableColumnId="9"/>
      <queryTableField id="10" name="AVALOIL" tableColumnId="10"/>
      <queryTableField id="11" name="TRANSCORPOSA" tableColumnId="11"/>
      <queryTableField id="12" name="TRANSGONZALES" tableColumnId="12"/>
      <queryTableField id="13" name="AGUIRRE" tableColumnId="13"/>
      <queryTableField id="14" name="TRANSLOJANESA" tableColumnId="14"/>
      <queryTableField id="15" name="LENTOCARGA" tableColumnId="15"/>
      <queryTableField id="16" name="TRANSVIAL" tableColumnId="16"/>
      <queryTableField id="18" name="TRANSPEBANOR" tableColumnId="18"/>
      <queryTableField id="20" name="TRANSFREMEC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5" xr16:uid="{DB6271F6-05DB-4FB2-BFD3-95D423C27695}" autoFormatId="16" applyNumberFormats="0" applyBorderFormats="0" applyFontFormats="0" applyPatternFormats="0" applyAlignmentFormats="0" applyWidthHeightFormats="0">
  <queryTableRefresh nextId="12">
    <queryTableFields count="8">
      <queryTableField id="8" name="ID_MASTER" tableColumnId="8"/>
      <queryTableField id="1" name="ORIGEN" tableColumnId="1"/>
      <queryTableField id="2" name="DESTINO" tableColumnId="2"/>
      <queryTableField id="3" name="RANGO TM" tableColumnId="3"/>
      <queryTableField id="4" name="CITIKOLD" tableColumnId="4"/>
      <queryTableField id="6" name="RIVERDIESEL" tableColumnId="6"/>
      <queryTableField id="7" name="SEALDOVA" tableColumnId="7"/>
      <queryTableField id="5" name="COSTAMARKET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6A7DE0F-6A9D-487A-9591-5D390E107C7E}" autoFormatId="16" applyNumberFormats="0" applyBorderFormats="0" applyFontFormats="0" applyPatternFormats="0" applyAlignmentFormats="0" applyWidthHeightFormats="0">
  <queryTableRefresh nextId="12">
    <queryTableFields count="11">
      <queryTableField id="1" name="ORIGEN" tableColumnId="1"/>
      <queryTableField id="2" name="DESTINO" tableColumnId="2"/>
      <queryTableField id="3" name="0,00 - 3,39" tableColumnId="3"/>
      <queryTableField id="4" name="3,40 - 5,20" tableColumnId="4"/>
      <queryTableField id="5" name="5,21 - 8,25" tableColumnId="5"/>
      <queryTableField id="6" name="8,26 - 10,20" tableColumnId="6"/>
      <queryTableField id="7" name="10,21 - 13,20" tableColumnId="7"/>
      <queryTableField id="8" name="13,21 - 16,59" tableColumnId="8"/>
      <queryTableField id="9" name="16,60 - 26,49" tableColumnId="9"/>
      <queryTableField id="10" name="mas de 26,49" tableColumnId="10"/>
      <queryTableField id="11" name="PROVEEDOR" tableColumnId="1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E9152CB1-131E-43A3-B907-E1B5FF13B054}" autoFormatId="16" applyNumberFormats="0" applyBorderFormats="0" applyFontFormats="0" applyPatternFormats="0" applyAlignmentFormats="0" applyWidthHeightFormats="0">
  <queryTableRefresh nextId="12">
    <queryTableFields count="11">
      <queryTableField id="1" name="ORIGEN" tableColumnId="1"/>
      <queryTableField id="2" name="DESTINO" tableColumnId="2"/>
      <queryTableField id="3" name="0,00 - 3,39" tableColumnId="3"/>
      <queryTableField id="4" name="3,40 - 5,20" tableColumnId="4"/>
      <queryTableField id="5" name="5,21 - 8,25" tableColumnId="5"/>
      <queryTableField id="6" name="8,26 - 10,20" tableColumnId="6"/>
      <queryTableField id="7" name="10,21 - 13,20" tableColumnId="7"/>
      <queryTableField id="8" name="13,21 - 16,59" tableColumnId="8"/>
      <queryTableField id="9" name="16,60 - 26,49" tableColumnId="9"/>
      <queryTableField id="10" name="mas de 26,49" tableColumnId="10"/>
      <queryTableField id="11" name="PROVEEDOR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6863A254-8C2E-409D-82EB-9DC869CCB0F0}" autoFormatId="16" applyNumberFormats="0" applyBorderFormats="0" applyFontFormats="0" applyPatternFormats="0" applyAlignmentFormats="0" applyWidthHeightFormats="0">
  <queryTableRefresh nextId="17">
    <queryTableFields count="11">
      <queryTableField id="1" name="ORIGEN" tableColumnId="1"/>
      <queryTableField id="2" name="DESTINO" tableColumnId="2"/>
      <queryTableField id="11" name="0,00 - 3,39" tableColumnId="3"/>
      <queryTableField id="4" name="3,40 - 5,20" tableColumnId="4"/>
      <queryTableField id="5" name="5,21 - 8,25" tableColumnId="5"/>
      <queryTableField id="6" name="8,26 - 10,20" tableColumnId="6"/>
      <queryTableField id="12" name="10,21 - 13,20" tableColumnId="7"/>
      <queryTableField id="13" name="13,21 - 16,59" tableColumnId="11"/>
      <queryTableField id="8" name="16,60 - 26,49" tableColumnId="8"/>
      <queryTableField id="9" name="mas de 26,49" tableColumnId="9"/>
      <queryTableField id="10" name="PROVEEDOR" tableColumnId="10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7" xr16:uid="{F72A3D23-8C02-4D33-BB68-D60287E377F4}" autoFormatId="16" applyNumberFormats="0" applyBorderFormats="0" applyFontFormats="0" applyPatternFormats="0" applyAlignmentFormats="0" applyWidthHeightFormats="0">
  <queryTableRefresh nextId="12">
    <queryTableFields count="11">
      <queryTableField id="1" name="ORIGEN" tableColumnId="1"/>
      <queryTableField id="2" name="DESTINO" tableColumnId="2"/>
      <queryTableField id="3" name="0,00 - 3,39" tableColumnId="3"/>
      <queryTableField id="4" name="3,40 - 5,20" tableColumnId="4"/>
      <queryTableField id="5" name="5,21 - 8,25" tableColumnId="5"/>
      <queryTableField id="6" name="8,26 - 10,20" tableColumnId="6"/>
      <queryTableField id="7" name="10,21 - 13,20" tableColumnId="7"/>
      <queryTableField id="8" name="13,21 - 16,59" tableColumnId="8"/>
      <queryTableField id="9" name="16,60 - 26,49" tableColumnId="9"/>
      <queryTableField id="10" name="mas de 26,49" tableColumnId="10"/>
      <queryTableField id="11" name="PROVEEDOR" tableColumnId="11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0" xr16:uid="{4C704C5D-40E0-48DC-8707-A364A39F782F}" autoFormatId="16" applyNumberFormats="0" applyBorderFormats="0" applyFontFormats="0" applyPatternFormats="0" applyAlignmentFormats="0" applyWidthHeightFormats="0">
  <queryTableRefresh nextId="12">
    <queryTableFields count="11">
      <queryTableField id="1" name="ORIGEN" tableColumnId="1"/>
      <queryTableField id="2" name="DESTINO" tableColumnId="2"/>
      <queryTableField id="3" name="0,00 - 3,39" tableColumnId="3"/>
      <queryTableField id="4" name="3,40 - 5,20" tableColumnId="4"/>
      <queryTableField id="5" name="5,21 - 8,25" tableColumnId="5"/>
      <queryTableField id="6" name="8,26 - 10,20" tableColumnId="6"/>
      <queryTableField id="7" name="10,21 - 13,20" tableColumnId="7"/>
      <queryTableField id="8" name="13,21 - 16,59" tableColumnId="8"/>
      <queryTableField id="9" name="16,60 - 26,49" tableColumnId="9"/>
      <queryTableField id="10" name="mas de 26,49" tableColumnId="10"/>
      <queryTableField id="11" name="PROVEEDOR" tableColumnId="11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6" xr16:uid="{A46ADFEC-96FA-43F7-9FFF-0DC2A380DB6D}" autoFormatId="16" applyNumberFormats="0" applyBorderFormats="0" applyFontFormats="0" applyPatternFormats="0" applyAlignmentFormats="0" applyWidthHeightFormats="0">
  <queryTableRefresh nextId="12">
    <queryTableFields count="11">
      <queryTableField id="1" name="ORIGEN" tableColumnId="1"/>
      <queryTableField id="2" name="DESTINO" tableColumnId="2"/>
      <queryTableField id="3" name="0,00 - 3,39" tableColumnId="3"/>
      <queryTableField id="4" name="3,40 - 5,20" tableColumnId="4"/>
      <queryTableField id="5" name="5,21 - 8,25" tableColumnId="5"/>
      <queryTableField id="6" name="8,26 - 10,20" tableColumnId="6"/>
      <queryTableField id="7" name="10,21 - 13,20" tableColumnId="7"/>
      <queryTableField id="8" name="13,21 - 16,59" tableColumnId="8"/>
      <queryTableField id="9" name="16,60 - 26,49" tableColumnId="9"/>
      <queryTableField id="10" name="mas de 26,49" tableColumnId="10"/>
      <queryTableField id="11" name="PROVEEDOR" tableColumnId="11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1" xr16:uid="{5FE5CA97-9121-4B28-A59A-83BD93FE9E28}" autoFormatId="16" applyNumberFormats="0" applyBorderFormats="0" applyFontFormats="0" applyPatternFormats="0" applyAlignmentFormats="0" applyWidthHeightFormats="0">
  <queryTableRefresh nextId="16">
    <queryTableFields count="11">
      <queryTableField id="1" name="ORIGEN" tableColumnId="1"/>
      <queryTableField id="2" name="DESTINO" tableColumnId="2"/>
      <queryTableField id="3" name="0,00 - 3,39" tableColumnId="3"/>
      <queryTableField id="4" name="3,40 - 5,20" tableColumnId="4"/>
      <queryTableField id="5" name="5,21 - 8,25" tableColumnId="5"/>
      <queryTableField id="12" name="8,26 - 10,20" tableColumnId="6"/>
      <queryTableField id="7" name="10,21 - 13,20" tableColumnId="7"/>
      <queryTableField id="13" name="13,21 - 16,59" tableColumnId="8"/>
      <queryTableField id="9" name="16,60 - 26,49" tableColumnId="9"/>
      <queryTableField id="10" name="mas de 26,49" tableColumnId="10"/>
      <queryTableField id="11" name="PROVEEDOR" tableColumnId="11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2" xr16:uid="{FCFFD72D-D4FF-4D29-9959-994AF42FD7B2}" autoFormatId="16" applyNumberFormats="0" applyBorderFormats="0" applyFontFormats="0" applyPatternFormats="0" applyAlignmentFormats="0" applyWidthHeightFormats="0">
  <queryTableRefresh nextId="12">
    <queryTableFields count="11">
      <queryTableField id="1" name="ORIGEN" tableColumnId="1"/>
      <queryTableField id="2" name="DESTINO" tableColumnId="2"/>
      <queryTableField id="3" name="0,00 - 3,39" tableColumnId="3"/>
      <queryTableField id="4" name="3,40 - 5,20" tableColumnId="4"/>
      <queryTableField id="5" name="5,21 - 8,25" tableColumnId="5"/>
      <queryTableField id="6" name="8,26 - 10,20" tableColumnId="6"/>
      <queryTableField id="7" name="10,21 - 13,20" tableColumnId="7"/>
      <queryTableField id="8" name="13,21 - 16,59" tableColumnId="8"/>
      <queryTableField id="9" name="16,60 - 26,49" tableColumnId="9"/>
      <queryTableField id="10" name="mas de 26,49" tableColumnId="10"/>
      <queryTableField id="11" name="PROVEEDOR" tableColumnId="11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8" xr16:uid="{DA324A9E-0691-4F75-BC31-47A6085EEB18}" autoFormatId="16" applyNumberFormats="0" applyBorderFormats="0" applyFontFormats="0" applyPatternFormats="0" applyAlignmentFormats="0" applyWidthHeightFormats="0">
  <queryTableRefresh nextId="12">
    <queryTableFields count="11">
      <queryTableField id="1" name="ORIGEN" tableColumnId="1"/>
      <queryTableField id="2" name="DESTINO" tableColumnId="2"/>
      <queryTableField id="3" name="0,00 - 3,39" tableColumnId="3"/>
      <queryTableField id="4" name="3,40 - 5,20" tableColumnId="4"/>
      <queryTableField id="5" name="5,21 - 8,25" tableColumnId="5"/>
      <queryTableField id="6" name="8,26 - 10,20" tableColumnId="6"/>
      <queryTableField id="7" name="10,21 - 13,20" tableColumnId="7"/>
      <queryTableField id="8" name="13,21 - 16,59" tableColumnId="8"/>
      <queryTableField id="9" name="16,60 - 26,49" tableColumnId="9"/>
      <queryTableField id="10" name="mas de 26,49" tableColumnId="10"/>
      <queryTableField id="11" name="PROVEEDOR" tableColumnId="11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9" xr16:uid="{5360B8E9-F33B-48BD-901C-8C143CFBF9FF}" autoFormatId="16" applyNumberFormats="0" applyBorderFormats="0" applyFontFormats="0" applyPatternFormats="0" applyAlignmentFormats="0" applyWidthHeightFormats="0">
  <queryTableRefresh nextId="12">
    <queryTableFields count="11">
      <queryTableField id="1" name="ORIGEN" tableColumnId="1"/>
      <queryTableField id="2" name="DESTINO" tableColumnId="2"/>
      <queryTableField id="3" name="0,00 - 3,39" tableColumnId="3"/>
      <queryTableField id="4" name="3,40 - 5,20" tableColumnId="4"/>
      <queryTableField id="5" name="5,21 - 8,25" tableColumnId="5"/>
      <queryTableField id="6" name="8,26 - 10,20" tableColumnId="6"/>
      <queryTableField id="7" name="10,21 - 13,20" tableColumnId="7"/>
      <queryTableField id="8" name="13,21 - 16,59" tableColumnId="8"/>
      <queryTableField id="9" name="16,60 - 26,49" tableColumnId="9"/>
      <queryTableField id="10" name="mas de 26,49" tableColumnId="10"/>
      <queryTableField id="11" name="PROVEEDOR" tableColumnId="11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D9DC13E5-C26E-47F0-A6FC-2AFE3848B187}" autoFormatId="16" applyNumberFormats="0" applyBorderFormats="0" applyFontFormats="0" applyPatternFormats="0" applyAlignmentFormats="0" applyWidthHeightFormats="0">
  <queryTableRefresh nextId="13">
    <queryTableFields count="11">
      <queryTableField id="2" name="ORIGEN" tableColumnId="2"/>
      <queryTableField id="3" name="DESTINO" tableColumnId="3"/>
      <queryTableField id="4" name="0,00 - 3,39" tableColumnId="4"/>
      <queryTableField id="5" name="3,40 - 5,20" tableColumnId="5"/>
      <queryTableField id="6" name="5,21 - 8,25" tableColumnId="6"/>
      <queryTableField id="7" name="8,26 - 10,20" tableColumnId="7"/>
      <queryTableField id="8" name="10,21 - 13,20" tableColumnId="8"/>
      <queryTableField id="9" name="13,21 - 16,59" tableColumnId="9"/>
      <queryTableField id="10" name="16,60 - 26,49" tableColumnId="10"/>
      <queryTableField id="11" name="mas de 26,49" tableColumnId="11"/>
      <queryTableField id="12" name="PROVEEDOR" tableColumnId="12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0" xr16:uid="{2381BCA5-228F-4BD1-8BAC-14D0FB4F1FAD}" autoFormatId="16" applyNumberFormats="0" applyBorderFormats="0" applyFontFormats="0" applyPatternFormats="0" applyAlignmentFormats="0" applyWidthHeightFormats="0">
  <queryTableRefresh nextId="16">
    <queryTableFields count="11">
      <queryTableField id="1" name="ORIGEN" tableColumnId="1"/>
      <queryTableField id="2" name="DESTINO" tableColumnId="2"/>
      <queryTableField id="3" name="0,00 - 3,39" tableColumnId="3"/>
      <queryTableField id="4" name="3,40 - 5,20" tableColumnId="4"/>
      <queryTableField id="5" name="5,21 - 8,25" tableColumnId="5"/>
      <queryTableField id="12" name="8,26 - 10,20" tableColumnId="6"/>
      <queryTableField id="7" name="10,21 - 13,20" tableColumnId="7"/>
      <queryTableField id="13" name="13,21 - 16,59" tableColumnId="8"/>
      <queryTableField id="9" name="16,60 - 26,49" tableColumnId="9"/>
      <queryTableField id="10" name="mas de 26,49" tableColumnId="10"/>
      <queryTableField id="11" name="PROVEEDOR" tableColumnId="11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1" xr16:uid="{F03A6CAE-EAAA-4D52-8C88-D8E2D60DCA8E}" autoFormatId="16" applyNumberFormats="0" applyBorderFormats="0" applyFontFormats="0" applyPatternFormats="0" applyAlignmentFormats="0" applyWidthHeightFormats="0">
  <queryTableRefresh nextId="12">
    <queryTableFields count="11">
      <queryTableField id="1" name="ORIGEN" tableColumnId="1"/>
      <queryTableField id="2" name="DESTINO" tableColumnId="2"/>
      <queryTableField id="3" name="0,00 - 3,39" tableColumnId="3"/>
      <queryTableField id="4" name="3,40 - 5,20" tableColumnId="4"/>
      <queryTableField id="5" name="5,21 - 8,25" tableColumnId="5"/>
      <queryTableField id="6" name="8,26 - 10,20" tableColumnId="6"/>
      <queryTableField id="7" name="10,21 - 13,20" tableColumnId="7"/>
      <queryTableField id="8" name="13,21 - 16,59" tableColumnId="8"/>
      <queryTableField id="9" name="16,60 - 26,49" tableColumnId="9"/>
      <queryTableField id="10" name="mas de 26,49" tableColumnId="10"/>
      <queryTableField id="11" name="PROVEEDOR" tableColumnId="11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9" xr16:uid="{4068949B-BE5D-42F9-BBF6-F199BD56DD0C}" autoFormatId="16" applyNumberFormats="0" applyBorderFormats="0" applyFontFormats="0" applyPatternFormats="0" applyAlignmentFormats="0" applyWidthHeightFormats="0">
  <queryTableRefresh nextId="12">
    <queryTableFields count="11">
      <queryTableField id="1" name="ORIGEN" tableColumnId="1"/>
      <queryTableField id="2" name="DESTINO" tableColumnId="2"/>
      <queryTableField id="3" name="0,00 - 3,39" tableColumnId="3"/>
      <queryTableField id="4" name="3,40 - 5,20" tableColumnId="4"/>
      <queryTableField id="5" name="5,21 - 8,25" tableColumnId="5"/>
      <queryTableField id="6" name="8,26 - 10,20" tableColumnId="6"/>
      <queryTableField id="7" name="10,21 - 13,20" tableColumnId="7"/>
      <queryTableField id="8" name="13,21 - 16,59" tableColumnId="8"/>
      <queryTableField id="9" name="16,60 - 26,49" tableColumnId="9"/>
      <queryTableField id="10" name="mas de 26,49" tableColumnId="10"/>
      <queryTableField id="11" name="PROVEEDOR" tableColumnId="11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3" xr16:uid="{DD040121-B01D-4D5E-8A71-D3359DC0A128}" autoFormatId="16" applyNumberFormats="0" applyBorderFormats="0" applyFontFormats="0" applyPatternFormats="0" applyAlignmentFormats="0" applyWidthHeightFormats="0">
  <queryTableRefresh nextId="12">
    <queryTableFields count="11">
      <queryTableField id="1" name="ORIGEN" tableColumnId="1"/>
      <queryTableField id="2" name="DESTINO" tableColumnId="2"/>
      <queryTableField id="3" name="0,00 - 3,39" tableColumnId="3"/>
      <queryTableField id="4" name="3,40 - 5,20" tableColumnId="4"/>
      <queryTableField id="5" name="5,21 - 8,25" tableColumnId="5"/>
      <queryTableField id="6" name="8,26 - 10,20" tableColumnId="6"/>
      <queryTableField id="7" name="10,21 - 13,20" tableColumnId="7"/>
      <queryTableField id="8" name="13,21 - 16,59" tableColumnId="8"/>
      <queryTableField id="9" name="16,60 - 26,49" tableColumnId="9"/>
      <queryTableField id="10" name="mas de 26,49" tableColumnId="10"/>
      <queryTableField id="11" name="PROVEEDOR" tableColumnId="11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" xr16:uid="{79D75DF5-AB65-4F96-9D15-1BF8117B2B5E}" autoFormatId="16" applyNumberFormats="0" applyBorderFormats="0" applyFontFormats="0" applyPatternFormats="0" applyAlignmentFormats="0" applyWidthHeightFormats="0">
  <queryTableRefresh nextId="15">
    <queryTableFields count="10">
      <queryTableField id="1" name="ORIGEN" tableColumnId="1"/>
      <queryTableField id="2" name="DESTINO" tableColumnId="2"/>
      <queryTableField id="11" name="0 - 25" tableColumnId="3"/>
      <queryTableField id="12" name="0 - 49,99" tableColumnId="4"/>
      <queryTableField id="5" name="50 - 74,99" tableColumnId="5"/>
      <queryTableField id="6" name="75 - 87,49" tableColumnId="6"/>
      <queryTableField id="7" name="87,50 - 99,99" tableColumnId="7"/>
      <queryTableField id="8" name="100 - 124,99" tableColumnId="8"/>
      <queryTableField id="9" name="mas de 125" tableColumnId="9"/>
      <queryTableField id="10" name="PROVEEDOR" tableColumnId="10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2" xr16:uid="{1886769E-51DA-4A00-BB7C-922D8E2FC83E}" autoFormatId="16" applyNumberFormats="0" applyBorderFormats="0" applyFontFormats="0" applyPatternFormats="0" applyAlignmentFormats="0" applyWidthHeightFormats="0">
  <queryTableRefresh nextId="15">
    <queryTableFields count="10">
      <queryTableField id="1" name="ORIGEN" tableColumnId="1"/>
      <queryTableField id="2" name="DESTINO" tableColumnId="2"/>
      <queryTableField id="11" name="0 - 25" tableColumnId="3"/>
      <queryTableField id="12" name="0 - 49,99" tableColumnId="4"/>
      <queryTableField id="5" name="50 - 74,99" tableColumnId="5"/>
      <queryTableField id="6" name="75 - 87,49" tableColumnId="6"/>
      <queryTableField id="7" name="87,50 - 99,99" tableColumnId="7"/>
      <queryTableField id="8" name="100 - 124,99" tableColumnId="8"/>
      <queryTableField id="9" name="mas de 125" tableColumnId="9"/>
      <queryTableField id="10" name="PROVEEDOR" tableColumnId="10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7" xr16:uid="{A9FE350E-6D81-4732-AF3F-681756BD0149}" autoFormatId="16" applyNumberFormats="0" applyBorderFormats="0" applyFontFormats="0" applyPatternFormats="0" applyAlignmentFormats="0" applyWidthHeightFormats="0">
  <queryTableRefresh nextId="15">
    <queryTableFields count="10">
      <queryTableField id="1" name="ORIGEN" tableColumnId="1"/>
      <queryTableField id="2" name="DESTINO" tableColumnId="2"/>
      <queryTableField id="11" name="0 - 25" tableColumnId="3"/>
      <queryTableField id="12" name="0 - 49,99" tableColumnId="4"/>
      <queryTableField id="5" name="50 - 74,99" tableColumnId="5"/>
      <queryTableField id="6" name="75 - 87,49" tableColumnId="6"/>
      <queryTableField id="7" name="87,50 - 99,99" tableColumnId="7"/>
      <queryTableField id="8" name="100 - 124,99" tableColumnId="8"/>
      <queryTableField id="9" name="mas de 125" tableColumnId="9"/>
      <queryTableField id="10" name="PROVEEDOR" tableColumnId="10"/>
    </queryTable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3" xr16:uid="{802074F8-106C-493A-8EBC-06C3DA4F0829}" autoFormatId="16" applyNumberFormats="0" applyBorderFormats="0" applyFontFormats="0" applyPatternFormats="0" applyAlignmentFormats="0" applyWidthHeightFormats="0">
  <queryTableRefresh nextId="15">
    <queryTableFields count="10">
      <queryTableField id="1" name="ORIGEN" tableColumnId="1"/>
      <queryTableField id="2" name="DESTINO" tableColumnId="2"/>
      <queryTableField id="11" name="0 - 25" tableColumnId="3"/>
      <queryTableField id="12" name="0 - 49,99" tableColumnId="4"/>
      <queryTableField id="5" name="50 - 74,99" tableColumnId="5"/>
      <queryTableField id="6" name="75 - 87,49" tableColumnId="6"/>
      <queryTableField id="7" name="87,50 - 99,99" tableColumnId="7"/>
      <queryTableField id="8" name="100 - 124,99" tableColumnId="8"/>
      <queryTableField id="9" name="mas de 125" tableColumnId="9"/>
      <queryTableField id="10" name="PROVEEDOR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2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3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3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3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4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4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4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904D4EF-78D3-4080-944D-932D8A113A17}" name="TABU_MASTER" displayName="TABU_MASTER" ref="A1:R2440" tableType="queryTable" totalsRowShown="0">
  <autoFilter ref="A1:R2440" xr:uid="{9904D4EF-78D3-4080-944D-932D8A113A17}">
    <filterColumn colId="1">
      <filters>
        <filter val="DURAN"/>
        <filter val="GUAYAQUIL"/>
      </filters>
    </filterColumn>
    <filterColumn colId="2">
      <filters>
        <filter val="TAURA"/>
      </filters>
    </filterColumn>
  </autoFilter>
  <sortState xmlns:xlrd2="http://schemas.microsoft.com/office/spreadsheetml/2017/richdata2" ref="A2:R2440">
    <sortCondition descending="1" ref="C1:C2440"/>
  </sortState>
  <tableColumns count="18">
    <tableColumn id="1" xr3:uid="{58192F7B-658F-49E6-B3AE-F70ADA3AF206}" uniqueName="1" name="ID_MASTER" queryTableFieldId="1"/>
    <tableColumn id="2" xr3:uid="{4CA0799E-10A5-45DD-9C44-4E05BBA36ECF}" uniqueName="2" name="ORIGEN" queryTableFieldId="2" dataDxfId="273"/>
    <tableColumn id="3" xr3:uid="{E4D2AEE6-DA00-4CC7-A187-822A7A07015A}" uniqueName="3" name="DESTINO" queryTableFieldId="3" dataDxfId="272"/>
    <tableColumn id="4" xr3:uid="{0EB1EF27-F040-4543-866D-E5B717AC6AD5}" uniqueName="4" name="RANGO TM" queryTableFieldId="4" dataDxfId="271"/>
    <tableColumn id="5" xr3:uid="{63A0143E-7CE7-43BB-8A97-6F1748376FCE}" uniqueName="5" name="LIFTIT" queryTableFieldId="5"/>
    <tableColumn id="6" xr3:uid="{5F362122-178C-463F-8D1B-D0E0017E7E0B}" uniqueName="6" name="TRANSMUÑIZ" queryTableFieldId="6"/>
    <tableColumn id="7" xr3:uid="{64B6668F-1C00-43A5-885F-1C721EEC6819}" uniqueName="7" name="ARELLANO" queryTableFieldId="7"/>
    <tableColumn id="8" xr3:uid="{FAAC28F5-4663-4781-867A-9F7065014D05}" uniqueName="8" name="RAPSECON" queryTableFieldId="8"/>
    <tableColumn id="9" xr3:uid="{6DF48B48-1236-4BDE-96A6-4DE13F141144}" uniqueName="9" name="PIPER" queryTableFieldId="9"/>
    <tableColumn id="10" xr3:uid="{19555AE0-72F9-4EFF-9B6F-164C2A0449A3}" uniqueName="10" name="AVALOIL" queryTableFieldId="10"/>
    <tableColumn id="11" xr3:uid="{C6867E29-5992-4E61-9A50-BCB6CBD79B2E}" uniqueName="11" name="TRANSCORPOSA" queryTableFieldId="11"/>
    <tableColumn id="12" xr3:uid="{3803C342-9437-492C-9715-33226719FFC6}" uniqueName="12" name="TRANSGONZALES" queryTableFieldId="12"/>
    <tableColumn id="13" xr3:uid="{EA8D5D66-C7CF-4F58-AA99-0B8F1027E6CD}" uniqueName="13" name="AGUIRRE" queryTableFieldId="13"/>
    <tableColumn id="14" xr3:uid="{B6905A9C-6E88-451C-8B50-E1E605E31334}" uniqueName="14" name="TRANSLOJANESA" queryTableFieldId="14"/>
    <tableColumn id="15" xr3:uid="{60C9E324-DCAE-4989-B827-285111858B8C}" uniqueName="15" name="LENTOCARGA" queryTableFieldId="15"/>
    <tableColumn id="16" xr3:uid="{826CDE07-A0FF-434F-A845-9F5131B0E74D}" uniqueName="16" name="TRANSVIAL" queryTableFieldId="16"/>
    <tableColumn id="18" xr3:uid="{0D0BCAEA-1B7C-42A8-B621-1D849A6D886E}" uniqueName="18" name="TRANSPEBANOR" queryTableFieldId="18"/>
    <tableColumn id="17" xr3:uid="{35B33498-F277-4362-8B14-6DF26B33EECB}" uniqueName="17" name="TRANSFREMEC" queryTableFieldId="20"/>
  </tableColumns>
  <tableStyleInfo name="TableStyleMedium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7B4CBBD-78DD-485B-9DBB-4A9175B9A960}" name="TABU_MASTER_FLUVIAL" displayName="TABU_MASTER_FLUVIAL" ref="A1:H183" tableType="queryTable" totalsRowShown="0">
  <autoFilter ref="A1:H183" xr:uid="{B7B4CBBD-78DD-485B-9DBB-4A9175B9A960}">
    <filterColumn colId="1">
      <filters>
        <filter val="DURAN"/>
      </filters>
    </filterColumn>
    <filterColumn colId="3">
      <filters>
        <filter val="mas de 125"/>
      </filters>
    </filterColumn>
  </autoFilter>
  <tableColumns count="8">
    <tableColumn id="8" xr3:uid="{5A4C4668-6CA5-4BBC-B554-5CBDC570012A}" uniqueName="8" name="ID_MASTER" queryTableFieldId="8"/>
    <tableColumn id="1" xr3:uid="{FC1A45FA-DC9B-4BB5-B128-35A289399C73}" uniqueName="1" name="ORIGEN" queryTableFieldId="1"/>
    <tableColumn id="2" xr3:uid="{0C6AC2C7-E815-4DF8-8A71-DD318D0241BA}" uniqueName="2" name="DESTINO" queryTableFieldId="2" dataDxfId="270"/>
    <tableColumn id="3" xr3:uid="{5FB11B54-9870-4CDE-893E-74780736BF3C}" uniqueName="3" name="RANGO TM" queryTableFieldId="3" dataDxfId="269"/>
    <tableColumn id="4" xr3:uid="{B852082A-F275-40EF-8670-4D11A5009E67}" uniqueName="4" name="CITIKOLD" queryTableFieldId="4"/>
    <tableColumn id="6" xr3:uid="{A8166BAC-CED7-4254-BFD5-1775F32A2B9E}" uniqueName="6" name="RIVERDIESEL" queryTableFieldId="6"/>
    <tableColumn id="7" xr3:uid="{EDFB6828-74BC-4271-948E-7F8F0019D08C}" uniqueName="7" name="SEALDOVA" queryTableFieldId="7"/>
    <tableColumn id="5" xr3:uid="{5D19555F-AB43-434E-AF0F-D6660BA48FF0}" uniqueName="5" name="COSTAMARKET" queryTableFieldId="5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35DC1B7A-27FE-44E5-99FB-BBD4409CF916}" name="AGUIRRE__C" displayName="AGUIRRE__C" ref="A1:K86" tableType="queryTable" totalsRowShown="0">
  <autoFilter ref="A1:K86" xr:uid="{35DC1B7A-27FE-44E5-99FB-BBD4409CF916}">
    <filterColumn colId="0">
      <filters>
        <filter val="DURAN"/>
      </filters>
    </filterColumn>
    <filterColumn colId="1">
      <filters>
        <filter val="ARENILLAS"/>
        <filter val="DURAN"/>
      </filters>
    </filterColumn>
  </autoFilter>
  <tableColumns count="11">
    <tableColumn id="1" xr3:uid="{A5191EC2-B1B0-4296-8214-B05801AE6817}" uniqueName="1" name="ORIGEN" queryTableFieldId="1" dataDxfId="268"/>
    <tableColumn id="2" xr3:uid="{13FDC1D2-C2B6-4206-8D70-A01E0A508F44}" uniqueName="2" name="DESTINO" queryTableFieldId="2" dataDxfId="267"/>
    <tableColumn id="3" xr3:uid="{2B55F27A-E08C-4633-8590-EBA5FC8D2607}" uniqueName="3" name="0,00 - 3,39" queryTableFieldId="3"/>
    <tableColumn id="4" xr3:uid="{5F1A7564-A195-4C8A-A312-376EFEFCCF67}" uniqueName="4" name="3,40 - 5,20" queryTableFieldId="4"/>
    <tableColumn id="5" xr3:uid="{9DFDB1F7-2538-4AAA-BF16-B95ED093CB92}" uniqueName="5" name="5,21 - 8,25" queryTableFieldId="5"/>
    <tableColumn id="6" xr3:uid="{746065ED-887B-4CC8-AE5D-DF8919CC35FB}" uniqueName="6" name="8,26 - 10,20" queryTableFieldId="6"/>
    <tableColumn id="7" xr3:uid="{82E4529F-A519-4659-9C40-C0C87EBE2214}" uniqueName="7" name="10,21 - 13,20" queryTableFieldId="7"/>
    <tableColumn id="8" xr3:uid="{83759B02-985F-4F60-B370-C0155869B97F}" uniqueName="8" name="13,21 - 16,59" queryTableFieldId="8"/>
    <tableColumn id="9" xr3:uid="{88D01CDC-6420-4BAF-90F5-B547046C965D}" uniqueName="9" name="16,60 - 26,49" queryTableFieldId="9"/>
    <tableColumn id="10" xr3:uid="{AA40C209-A005-4A0A-870D-E8AECEECFD8A}" uniqueName="10" name="mas de 26,49" queryTableFieldId="10"/>
    <tableColumn id="11" xr3:uid="{72D44A78-4820-4D19-B95D-30ABC8908451}" uniqueName="11" name="PROVEEDOR" queryTableFieldId="1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EF5A96-99E5-4CC5-A439-679E38C24705}" name="Tabla2" displayName="Tabla2" ref="A1:J86" totalsRowShown="0">
  <autoFilter ref="A1:J86" xr:uid="{1EEF5A96-99E5-4CC5-A439-679E38C24705}">
    <filterColumn colId="0">
      <filters>
        <filter val="ARENILLAS"/>
      </filters>
    </filterColumn>
    <filterColumn colId="1">
      <filters>
        <filter val="DURAN"/>
      </filters>
    </filterColumn>
  </autoFilter>
  <tableColumns count="10">
    <tableColumn id="1" xr3:uid="{6D8D2141-BD31-4BB8-B5B9-241B014E8F46}" name="ORIGEN"/>
    <tableColumn id="2" xr3:uid="{4B48F08D-E8FF-4DCC-9F5E-8B854F7FEFE2}" name="DESTINO"/>
    <tableColumn id="8" xr3:uid="{0C2E0ACE-D27D-4684-9FE3-BEB0D5591B4C}" name="0,00 - 3,39" dataDxfId="266"/>
    <tableColumn id="11" xr3:uid="{3FF94639-A9A5-4ABB-BBB6-6617549620C6}" name="3,40 - 5,20" dataDxfId="265"/>
    <tableColumn id="7" xr3:uid="{AE8D2416-6D91-4F89-8232-1FAD10272F58}" name="5,21 - 8,25" dataDxfId="264"/>
    <tableColumn id="10" xr3:uid="{0E20B6C5-CB07-4956-AAB2-BBCFCFD78F35}" name="8,26 - 10,20" dataDxfId="263"/>
    <tableColumn id="9" xr3:uid="{B59ECAF5-5118-4E9F-8596-3ED0425350D1}" name="10,21 - 13,20" dataDxfId="262"/>
    <tableColumn id="6" xr3:uid="{5C1CE705-CF81-4DE0-8EC9-0F188020A667}" name="13,21 - 16,59" dataDxfId="261"/>
    <tableColumn id="4" xr3:uid="{04855F7C-702E-4425-8967-0A3CBE9045DC}" name="16,60 - 26,49" dataDxfId="260"/>
    <tableColumn id="5" xr3:uid="{30BB73EF-6143-4C42-B40D-9994B83831F6}" name="mas de 26,49" dataDxfId="25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DD87DC7-FCA5-4861-9316-86E1518ED4FB}" name="ARELLANO__C" displayName="ARELLANO__C" ref="A1:K95" tableType="queryTable" totalsRowShown="0">
  <autoFilter ref="A1:K95" xr:uid="{1DD87DC7-FCA5-4861-9316-86E1518ED4FB}"/>
  <tableColumns count="11">
    <tableColumn id="1" xr3:uid="{9A3611FD-7846-4B25-AD9D-C1F76BB02144}" uniqueName="1" name="ORIGEN" queryTableFieldId="1" dataDxfId="258"/>
    <tableColumn id="2" xr3:uid="{9EA73A6A-2321-40B0-A1F3-280CAE91946E}" uniqueName="2" name="DESTINO" queryTableFieldId="2" dataDxfId="257"/>
    <tableColumn id="3" xr3:uid="{1312032F-FEB0-4B79-B0CC-CF28F1BC9712}" uniqueName="3" name="0,00 - 3,39" queryTableFieldId="3"/>
    <tableColumn id="4" xr3:uid="{7904B56B-1FE9-4110-95E7-54EC10DEF112}" uniqueName="4" name="3,40 - 5,20" queryTableFieldId="4"/>
    <tableColumn id="5" xr3:uid="{86CF9946-4FA2-4CE3-ABFA-FA8104A6AA9F}" uniqueName="5" name="5,21 - 8,25" queryTableFieldId="5"/>
    <tableColumn id="6" xr3:uid="{337CF140-209E-4C06-AB80-9D664B891501}" uniqueName="6" name="8,26 - 10,20" queryTableFieldId="6"/>
    <tableColumn id="7" xr3:uid="{2A20A4B0-97CF-44D9-8953-2FA54C744E98}" uniqueName="7" name="10,21 - 13,20" queryTableFieldId="7"/>
    <tableColumn id="8" xr3:uid="{542AF869-33F3-4B13-920D-B840F4115CD6}" uniqueName="8" name="13,21 - 16,59" queryTableFieldId="8"/>
    <tableColumn id="9" xr3:uid="{A56C69D0-34AB-4E69-8DE6-A81B883B8F8B}" uniqueName="9" name="16,60 - 26,49" queryTableFieldId="9"/>
    <tableColumn id="10" xr3:uid="{5B0FB134-DE1C-4790-8104-20379FD10ABB}" uniqueName="10" name="mas de 26,49" queryTableFieldId="10"/>
    <tableColumn id="11" xr3:uid="{AA71F6C4-4BC8-41B1-A483-30EAA95C4811}" uniqueName="11" name="PROVEEDOR" queryTableFieldId="1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7FC9088A-509B-4EB5-99A3-6F9ED76280D3}" name="Tabla9_1" displayName="Tabla9_1" ref="A1:J95" totalsRowShown="0" dataDxfId="256">
  <autoFilter ref="A1:J95" xr:uid="{7FC9088A-509B-4EB5-99A3-6F9ED76280D3}">
    <filterColumn colId="0">
      <filters>
        <filter val="GUAYAQUIL"/>
      </filters>
    </filterColumn>
    <filterColumn colId="1">
      <filters>
        <filter val="DURAN"/>
      </filters>
    </filterColumn>
  </autoFilter>
  <tableColumns count="10">
    <tableColumn id="1" xr3:uid="{358B2681-415E-4890-9D76-94D5FA8B3E14}" name="ORIGEN" dataDxfId="255"/>
    <tableColumn id="2" xr3:uid="{86BDBEBE-4FC7-4E51-A974-FD29A2CE1DEB}" name="DESTINO" dataDxfId="254"/>
    <tableColumn id="3" xr3:uid="{53CB2A69-63E8-4C27-9D9F-9BD7BD7CC733}" name="0,00 - 3,39" dataDxfId="253"/>
    <tableColumn id="4" xr3:uid="{4762355B-95DE-4CAC-98A6-E637E868114B}" name="3,40 - 5,20" dataDxfId="252"/>
    <tableColumn id="5" xr3:uid="{380C112F-5E38-4EDF-8832-300D5E9A3DBF}" name="5,21 - 8,25" dataDxfId="251"/>
    <tableColumn id="6" xr3:uid="{8F877D23-9ABF-489B-B926-9FEBF9C77DAA}" name="8,26 - 10,20" dataDxfId="250"/>
    <tableColumn id="7" xr3:uid="{B7A7B449-23A4-44C5-800B-B4FD80B4BE75}" name="10,21 - 13,20" dataDxfId="249"/>
    <tableColumn id="8" xr3:uid="{6FAC531F-57DA-4627-A3FC-41A80402F94D}" name="13,21 - 16,59" dataDxfId="248"/>
    <tableColumn id="9" xr3:uid="{E6889B9E-B3B4-4D5C-9933-625B8912BD39}" name="16,60 - 26,49" dataDxfId="247"/>
    <tableColumn id="10" xr3:uid="{A1DF7F87-BBB8-4515-895A-8A00604FE04F}" name="mas de 26,49" dataDxfId="24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BC85E9C-F396-4707-88B8-72AFC8AC6F46}" name="AVALOIL__C" displayName="AVALOIL__C" ref="A1:K26" tableType="queryTable" totalsRowShown="0">
  <autoFilter ref="A1:K26" xr:uid="{6BC85E9C-F396-4707-88B8-72AFC8AC6F46}"/>
  <tableColumns count="11">
    <tableColumn id="1" xr3:uid="{F566CD7D-4106-4E83-90B0-B53F9C56083B}" uniqueName="1" name="ORIGEN" queryTableFieldId="1" dataDxfId="245"/>
    <tableColumn id="2" xr3:uid="{1363E8F5-7C8D-499E-A3D4-DFE95B7E296F}" uniqueName="2" name="DESTINO" queryTableFieldId="2" dataDxfId="244"/>
    <tableColumn id="3" xr3:uid="{98ED0A83-F9C8-4B7C-A2F8-95D36FF50F43}" uniqueName="3" name="0,00 - 3,39" queryTableFieldId="11"/>
    <tableColumn id="4" xr3:uid="{1EB0B843-CF12-407A-B115-38E1E668C9EC}" uniqueName="4" name="3,40 - 5,20" queryTableFieldId="4"/>
    <tableColumn id="5" xr3:uid="{C9A01E45-CED9-427B-BF5A-EDB7B7E0B755}" uniqueName="5" name="5,21 - 8,25" queryTableFieldId="5"/>
    <tableColumn id="6" xr3:uid="{1EAD6780-614B-4232-919F-8053D2E0F422}" uniqueName="6" name="8,26 - 10,20" queryTableFieldId="6"/>
    <tableColumn id="7" xr3:uid="{7A023FA4-608F-4C1C-B550-92D97FDCB6FF}" uniqueName="7" name="10,21 - 13,20" queryTableFieldId="12"/>
    <tableColumn id="11" xr3:uid="{D69404CF-6728-40F0-96C4-CA46531042B9}" uniqueName="11" name="13,21 - 16,59" queryTableFieldId="13"/>
    <tableColumn id="8" xr3:uid="{F9CA0489-BC00-4505-A16B-D669F5432127}" uniqueName="8" name="16,60 - 26,49" queryTableFieldId="8"/>
    <tableColumn id="9" xr3:uid="{BA3DE0E0-BE64-4BA0-947B-6CFA6E6939B3}" uniqueName="9" name="mas de 26,49" queryTableFieldId="9"/>
    <tableColumn id="10" xr3:uid="{9AB8647E-227B-40EE-8DF2-027A8BB8E46C}" uniqueName="10" name="PROVEEDOR" queryTableFieldId="10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58B5ED7-A752-402A-9613-373F994619E9}" name="Tabla8" displayName="Tabla8" ref="A1:J26" totalsRowShown="0" headerRowDxfId="243" dataDxfId="242">
  <autoFilter ref="A1:J26" xr:uid="{958B5ED7-A752-402A-9613-373F994619E9}"/>
  <tableColumns count="10">
    <tableColumn id="1" xr3:uid="{372AD76E-ECAE-4DF3-960B-B8D176B8FF03}" name="ORIGEN"/>
    <tableColumn id="2" xr3:uid="{F0785A70-BC36-4E96-ADFE-A62BAB989645}" name="DESTINO"/>
    <tableColumn id="3" xr3:uid="{7DE17C49-227F-472A-965B-2180D7186270}" name="0,00 - 3,39" dataDxfId="241"/>
    <tableColumn id="4" xr3:uid="{65C02582-F51B-4564-8566-7BCFE3438B47}" name="3,40 - 5,20" dataDxfId="240"/>
    <tableColumn id="5" xr3:uid="{ABF0BD4A-B2A6-4D70-BC1F-F1E0B367A5EB}" name="5,21 - 8,25" dataDxfId="239"/>
    <tableColumn id="8" xr3:uid="{5C938F89-DB25-486E-9110-673D7164E40A}" name="8,26 - 10,20" dataDxfId="238"/>
    <tableColumn id="9" xr3:uid="{76F777E9-8EE4-48DA-8C90-890D9403D9D3}" name="10,21 - 13,20" dataDxfId="237"/>
    <tableColumn id="10" xr3:uid="{A1102277-309D-4E6E-B18A-3F1CD95BB526}" name="13,21 - 16,59" dataDxfId="236"/>
    <tableColumn id="6" xr3:uid="{884B54F0-D0CD-4AAA-8F6B-6FA646A605F5}" name="16,60 - 26,49" dataDxfId="235"/>
    <tableColumn id="7" xr3:uid="{2F175FFE-8C08-4F41-B45D-37A5FBC34A97}" name="mas de 26,49" dataDxfId="23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24C6045A-C24F-44FE-AB90-DA02E6A4BD41}" name="TRANSCORPOSA__C" displayName="TRANSCORPOSA__C" ref="A1:K121" tableType="queryTable" totalsRowShown="0">
  <autoFilter ref="A1:K121" xr:uid="{24C6045A-C24F-44FE-AB90-DA02E6A4BD41}"/>
  <tableColumns count="11">
    <tableColumn id="1" xr3:uid="{E9136B71-D038-4D70-B2B9-0C7775BE8FC9}" uniqueName="1" name="ORIGEN" queryTableFieldId="1" dataDxfId="233"/>
    <tableColumn id="2" xr3:uid="{CBF843C7-3804-42D5-B52A-C4265ECCB0AB}" uniqueName="2" name="DESTINO" queryTableFieldId="2" dataDxfId="232"/>
    <tableColumn id="3" xr3:uid="{562E5C9C-47F7-4095-8636-F063124FD888}" uniqueName="3" name="0,00 - 3,39" queryTableFieldId="3"/>
    <tableColumn id="4" xr3:uid="{68A223F6-76DA-48BB-B311-B2853AA7CEBF}" uniqueName="4" name="3,40 - 5,20" queryTableFieldId="4"/>
    <tableColumn id="5" xr3:uid="{4FE940B0-69E7-47CB-8695-8614D240E942}" uniqueName="5" name="5,21 - 8,25" queryTableFieldId="5"/>
    <tableColumn id="6" xr3:uid="{F235C1C5-7FBC-4E67-87CB-2642E02474BE}" uniqueName="6" name="8,26 - 10,20" queryTableFieldId="6"/>
    <tableColumn id="7" xr3:uid="{C6273CB5-B157-4E08-A5E3-55DDBE55DD53}" uniqueName="7" name="10,21 - 13,20" queryTableFieldId="7"/>
    <tableColumn id="8" xr3:uid="{7744CB87-AF9F-4395-9FA2-6FF4931985B0}" uniqueName="8" name="13,21 - 16,59" queryTableFieldId="8"/>
    <tableColumn id="9" xr3:uid="{8B0ED880-1267-43D1-8ABF-2DF0F0BC65AC}" uniqueName="9" name="16,60 - 26,49" queryTableFieldId="9"/>
    <tableColumn id="10" xr3:uid="{7083A2DF-03B7-465C-8F01-2BF109073D30}" uniqueName="10" name="mas de 26,49" queryTableFieldId="10"/>
    <tableColumn id="11" xr3:uid="{3C7762B8-7377-41F9-9D5E-EEC197C2A980}" uniqueName="11" name="PROVEEDOR" queryTableFieldId="11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17499C8-01D7-4CDC-A073-855A833BAC1D}" name="Tabla3" displayName="Tabla3" ref="A1:J124" totalsRowShown="0" headerRowDxfId="231" dataDxfId="230">
  <autoFilter ref="A1:J124" xr:uid="{F17499C8-01D7-4CDC-A073-855A833BAC1D}">
    <filterColumn colId="1">
      <filters>
        <filter val="DURAN"/>
      </filters>
    </filterColumn>
  </autoFilter>
  <tableColumns count="10">
    <tableColumn id="1" xr3:uid="{75206895-8C97-4C8D-9AE6-B4882724C739}" name="ORIGEN"/>
    <tableColumn id="2" xr3:uid="{7058F993-1D40-4A9C-A4B8-084123D08076}" name="DESTINO" dataDxfId="229"/>
    <tableColumn id="3" xr3:uid="{EA784AA1-ADA5-438E-9648-72DA78BDC8D4}" name="0,00 - 3,39" dataDxfId="228"/>
    <tableColumn id="4" xr3:uid="{6055F257-A16F-4EE6-BC09-4F99E699ABF9}" name="3,40 - 5,20" dataDxfId="227"/>
    <tableColumn id="5" xr3:uid="{97CE196A-3988-465E-B386-8A00C2AE4AE4}" name="5,21 - 8,25" dataDxfId="226"/>
    <tableColumn id="6" xr3:uid="{4FA936C8-559A-4023-94AC-3E42848FC102}" name="8,26 - 10,20" dataDxfId="225"/>
    <tableColumn id="7" xr3:uid="{17E7A414-4F48-4A49-9702-16BA410766E4}" name="10,21 - 13,20" dataDxfId="224"/>
    <tableColumn id="8" xr3:uid="{5AE12B6D-A2B7-4673-9197-7259C7C6792D}" name="13,21 - 16,59" dataDxfId="223"/>
    <tableColumn id="9" xr3:uid="{2725E320-E0D8-4767-BC68-4986FD49B609}" name="16,60 - 26,49" dataDxfId="222"/>
    <tableColumn id="10" xr3:uid="{1184075D-4639-4449-8AC6-9739F5FF96C2}" name="mas de 26,49" dataDxfId="221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F1CEE10-6DE6-485C-BF2E-B2102ED7718B}" name="PIPER__C" displayName="PIPER__C" ref="A1:K110" tableType="queryTable" totalsRowShown="0">
  <autoFilter ref="A1:K110" xr:uid="{BF1CEE10-6DE6-485C-BF2E-B2102ED7718B}"/>
  <tableColumns count="11">
    <tableColumn id="1" xr3:uid="{C0A310C3-154B-4BE3-BDBC-78C16515A681}" uniqueName="1" name="ORIGEN" queryTableFieldId="1" dataDxfId="220"/>
    <tableColumn id="2" xr3:uid="{1804AF01-E54D-4EAE-B98B-AA7B359C1D0E}" uniqueName="2" name="DESTINO" queryTableFieldId="2" dataDxfId="219"/>
    <tableColumn id="3" xr3:uid="{CF8CF062-1723-4D87-AF98-0FB535EEBA5E}" uniqueName="3" name="0,00 - 3,39" queryTableFieldId="3"/>
    <tableColumn id="4" xr3:uid="{B5BB7D14-6374-4A68-BE0B-1B8F3E0DC560}" uniqueName="4" name="3,40 - 5,20" queryTableFieldId="4"/>
    <tableColumn id="5" xr3:uid="{E3884961-2D13-4EDE-BD9B-9E4E55684F9C}" uniqueName="5" name="5,21 - 8,25" queryTableFieldId="5"/>
    <tableColumn id="6" xr3:uid="{B6A5C461-0799-48ED-A623-2B52D6E3018B}" uniqueName="6" name="8,26 - 10,20" queryTableFieldId="6"/>
    <tableColumn id="7" xr3:uid="{4631677A-9A32-4248-B829-B305945F41F7}" uniqueName="7" name="10,21 - 13,20" queryTableFieldId="7"/>
    <tableColumn id="8" xr3:uid="{B1306146-F3C5-46D2-8BC1-B3EE69C75BB9}" uniqueName="8" name="13,21 - 16,59" queryTableFieldId="8"/>
    <tableColumn id="9" xr3:uid="{37419704-23B0-4086-A8F7-A417E25A72DA}" uniqueName="9" name="16,60 - 26,49" queryTableFieldId="9"/>
    <tableColumn id="10" xr3:uid="{AF19FC4D-AE53-4DD4-855D-ACBD2F029FFF}" uniqueName="10" name="mas de 26,49" queryTableFieldId="10"/>
    <tableColumn id="11" xr3:uid="{C750B535-C216-49C4-AFDC-86A39FBE5B84}" uniqueName="11" name="PROVEEDOR" queryTableFieldId="11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1D9FFCE4-D31E-40CD-AC21-7F739A628F8A}" name="Tabla4_1" displayName="Tabla4_1" ref="A1:J110" totalsRowShown="0" dataDxfId="218">
  <autoFilter ref="A1:J110" xr:uid="{1D9FFCE4-D31E-40CD-AC21-7F739A628F8A}"/>
  <tableColumns count="10">
    <tableColumn id="1" xr3:uid="{98162D21-DB2A-4F06-9A0B-8FA1B705DAF4}" name="ORIGEN" dataDxfId="217"/>
    <tableColumn id="2" xr3:uid="{F1858C94-FA26-4C7B-81F2-E455D4DA9380}" name="DESTINO" dataDxfId="216"/>
    <tableColumn id="3" xr3:uid="{99857DCB-FBDD-450E-BD5A-97CA0139C790}" name="0,00 - 3,39" dataDxfId="215"/>
    <tableColumn id="4" xr3:uid="{7E8E5B76-CD72-45DB-9235-6DD0769E1111}" name="3,40 - 5,20" dataDxfId="214"/>
    <tableColumn id="5" xr3:uid="{5D3F0487-ABDF-47D2-9A79-BA05E808A080}" name="5,21 - 8,25" dataDxfId="213"/>
    <tableColumn id="6" xr3:uid="{E41A790D-34D2-4118-80C5-3088E9D82BF2}" name="8,26 - 10,20" dataDxfId="212"/>
    <tableColumn id="7" xr3:uid="{4388A6DD-9582-430D-B5E1-D39D2EE47E05}" name="10,21 - 13,20" dataDxfId="211"/>
    <tableColumn id="8" xr3:uid="{A3199885-BEAC-4DD9-A650-0DFBFF74E51D}" name="13,21 - 16,59" dataDxfId="210"/>
    <tableColumn id="9" xr3:uid="{628819BF-202B-4D71-A0EB-4CECD2A2E407}" name="16,60 - 26,49" dataDxfId="209"/>
    <tableColumn id="10" xr3:uid="{F94D179E-C12F-4189-A655-D7321EC9C624}" name="mas de 26,49" dataDxfId="20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6205A10F-64D8-407D-B8D5-E48FEE040C53}" name="TRANSALOJESA__C" displayName="TRANSALOJESA__C" ref="A1:K121" tableType="queryTable" totalsRowShown="0">
  <autoFilter ref="A1:K121" xr:uid="{6205A10F-64D8-407D-B8D5-E48FEE040C53}"/>
  <tableColumns count="11">
    <tableColumn id="1" xr3:uid="{7ECD7632-A25E-4307-8E9F-7A0CA9F9FAE7}" uniqueName="1" name="ORIGEN" queryTableFieldId="1" dataDxfId="207"/>
    <tableColumn id="2" xr3:uid="{AA3F606C-5568-4D91-9B7A-2B7ECFC5B312}" uniqueName="2" name="DESTINO" queryTableFieldId="2" dataDxfId="206"/>
    <tableColumn id="3" xr3:uid="{4CF8FFFE-48BE-43CB-B508-85DD8D8E34BB}" uniqueName="3" name="0,00 - 3,39" queryTableFieldId="3"/>
    <tableColumn id="4" xr3:uid="{04B07EF5-3BC5-414F-B62A-995C771D5D7B}" uniqueName="4" name="3,40 - 5,20" queryTableFieldId="4"/>
    <tableColumn id="5" xr3:uid="{0186B183-8560-4847-8926-59AEFD30ED02}" uniqueName="5" name="5,21 - 8,25" queryTableFieldId="5"/>
    <tableColumn id="6" xr3:uid="{BDDDD7CF-DFBB-40BF-9D31-BFEE60A9A981}" uniqueName="6" name="8,26 - 10,20" queryTableFieldId="6"/>
    <tableColumn id="7" xr3:uid="{AE08AB16-0260-4217-A9A3-2CA019514881}" uniqueName="7" name="10,21 - 13,20" queryTableFieldId="7"/>
    <tableColumn id="8" xr3:uid="{EF8F8FEF-88A4-422A-B2BD-66E065B70470}" uniqueName="8" name="13,21 - 16,59" queryTableFieldId="8"/>
    <tableColumn id="9" xr3:uid="{8A63ED36-6258-4184-BA0D-EE085BDAD97F}" uniqueName="9" name="16,60 - 26,49" queryTableFieldId="9"/>
    <tableColumn id="10" xr3:uid="{42784AD7-9984-4E73-813D-ADC55BDBD7FC}" uniqueName="10" name="mas de 26,49" queryTableFieldId="10"/>
    <tableColumn id="11" xr3:uid="{1E28536A-B0EB-4ABF-8EEF-2DE9224D109C}" uniqueName="11" name="PROVEEDOR" queryTableFieldId="11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D6C356-57EC-4AD7-AF72-8A24D2D9EDC7}" name="Tabla6_1" displayName="Tabla6_1" ref="A1:J121" totalsRowShown="0" dataDxfId="205">
  <autoFilter ref="A1:J121" xr:uid="{9BD6C356-57EC-4AD7-AF72-8A24D2D9EDC7}">
    <filterColumn colId="1">
      <filters>
        <filter val="SANTA ROSA"/>
      </filters>
    </filterColumn>
  </autoFilter>
  <tableColumns count="10">
    <tableColumn id="1" xr3:uid="{34F857BE-EE9E-4703-AA40-66C6D8DAA76D}" name="ORIGEN" dataDxfId="204"/>
    <tableColumn id="2" xr3:uid="{7ECACA62-36AB-411A-B472-524A07E753D9}" name="DESTINO" dataDxfId="203"/>
    <tableColumn id="3" xr3:uid="{FBBB493A-052D-45C1-8F57-C9926FB461C2}" name="0,00 - 3,39" dataDxfId="202"/>
    <tableColumn id="4" xr3:uid="{60E1C179-F57B-4860-A400-1952BBB2006B}" name="3,40 - 5,20" dataDxfId="201"/>
    <tableColumn id="5" xr3:uid="{B358558B-4952-4219-8F7B-CEBE2F5F0EEF}" name="5,21 - 8,25" dataDxfId="200"/>
    <tableColumn id="6" xr3:uid="{F419B2C5-8031-4569-9FDD-6BAF676712E5}" name="8,26 - 10,20" dataDxfId="199"/>
    <tableColumn id="7" xr3:uid="{095B7203-EC7C-476D-B44D-B3A20DD3C2CA}" name="10,21 - 13,20" dataDxfId="198"/>
    <tableColumn id="8" xr3:uid="{2C7468DB-6C60-4BAD-9826-F5F758C2564F}" name="13,21 - 16,59" dataDxfId="197"/>
    <tableColumn id="9" xr3:uid="{86FC3C7C-22DE-4815-B7B2-3B5622A12255}" name="16,60 - 26,49" dataDxfId="196"/>
    <tableColumn id="10" xr3:uid="{A3CD3D76-5329-41F3-96E1-684A91BD5597}" name="mas de 26,49" dataDxfId="195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34CD4C4-39C7-4E80-9313-B1F57C836780}" name="TRANSMUÑIZ__C" displayName="TRANSMUÑIZ__C" ref="A1:K66" tableType="queryTable" totalsRowShown="0">
  <autoFilter ref="A1:K66" xr:uid="{D34CD4C4-39C7-4E80-9313-B1F57C836780}"/>
  <tableColumns count="11">
    <tableColumn id="1" xr3:uid="{B0671442-E369-4EE8-A423-2456BC514713}" uniqueName="1" name="ORIGEN" queryTableFieldId="1" dataDxfId="194"/>
    <tableColumn id="2" xr3:uid="{51BCABEA-9125-40ED-8128-A15A0E938A78}" uniqueName="2" name="DESTINO" queryTableFieldId="2" dataDxfId="193"/>
    <tableColumn id="3" xr3:uid="{80B55B8D-810F-4087-97B2-FB5918733684}" uniqueName="3" name="0,00 - 3,39" queryTableFieldId="3"/>
    <tableColumn id="4" xr3:uid="{2E92EE57-3249-4817-9191-1E37470D9A0A}" uniqueName="4" name="3,40 - 5,20" queryTableFieldId="4"/>
    <tableColumn id="5" xr3:uid="{ECF85B95-4F05-449C-ACE7-AE394496619F}" uniqueName="5" name="5,21 - 8,25" queryTableFieldId="5"/>
    <tableColumn id="6" xr3:uid="{7E52977D-8E42-45D4-A20F-732DE0B2D392}" uniqueName="6" name="8,26 - 10,20" queryTableFieldId="12"/>
    <tableColumn id="7" xr3:uid="{A93AB0CD-92AE-4344-9DD1-B0FF9D7F1354}" uniqueName="7" name="10,21 - 13,20" queryTableFieldId="7"/>
    <tableColumn id="8" xr3:uid="{1E086A0C-7623-43FC-80E7-E16B381C2138}" uniqueName="8" name="13,21 - 16,59" queryTableFieldId="13"/>
    <tableColumn id="9" xr3:uid="{1920DF72-8385-4046-BB43-4480C13F28A3}" uniqueName="9" name="16,60 - 26,49" queryTableFieldId="9"/>
    <tableColumn id="10" xr3:uid="{8E6D1DD8-48F2-40CC-8A46-52887B4B2C1F}" uniqueName="10" name="mas de 26,49" queryTableFieldId="10"/>
    <tableColumn id="11" xr3:uid="{3702423B-2E2E-4000-943E-C6B31C830655}" uniqueName="11" name="PROVEEDOR" queryTableFieldId="11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E46002A-CFB7-4BDE-99DA-24627504FE93}" name="Tabla7" displayName="Tabla7" ref="A1:J66" totalsRowShown="0" headerRowDxfId="192" dataDxfId="191">
  <autoFilter ref="A1:J66" xr:uid="{EE46002A-CFB7-4BDE-99DA-24627504FE93}"/>
  <tableColumns count="10">
    <tableColumn id="1" xr3:uid="{5E136D28-7096-4795-BFFE-AFBA669D8E32}" name="ORIGEN"/>
    <tableColumn id="2" xr3:uid="{BFB86DF2-8337-4DF4-819B-DE735F550414}" name="DESTINO"/>
    <tableColumn id="11" xr3:uid="{A2976F7D-B5E1-4DA0-A61E-8E0C866D2CB7}" name="0,00 - 3,39"/>
    <tableColumn id="3" xr3:uid="{BAACE238-6E06-4E70-9FA6-A873927E22C6}" name="3,40 - 5,20" dataDxfId="190"/>
    <tableColumn id="4" xr3:uid="{45B03C36-D659-4DE3-88A6-445BA9254BAA}" name="5,21 - 8,25" dataDxfId="189"/>
    <tableColumn id="5" xr3:uid="{7E47B82C-777F-44C2-BBD3-EB0B52178B7B}" name="8,26 - 10,20" dataDxfId="188"/>
    <tableColumn id="10" xr3:uid="{F9988F21-9BF4-4E9E-A25B-6AA812D296C8}" name="10,21 - 13,20" dataDxfId="187"/>
    <tableColumn id="9" xr3:uid="{48EC78B8-BFB0-4472-8985-86D6C754EAAB}" name="13,21 - 16,59" dataDxfId="186"/>
    <tableColumn id="8" xr3:uid="{15726E59-A887-4D8B-910F-F2CC1D5B0331}" name="16,60 - 26,49" dataDxfId="185"/>
    <tableColumn id="7" xr3:uid="{1E528961-155A-4E30-8C05-DB2475E327A3}" name="mas de 26,49" dataDxfId="184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66D37CB-BD94-47ED-9139-5EB3F515D99C}" name="TRANSPEBANOR__C" displayName="TRANSPEBANOR__C" ref="A1:K66" tableType="queryTable" totalsRowShown="0">
  <autoFilter ref="A1:K66" xr:uid="{766D37CB-BD94-47ED-9139-5EB3F515D99C}"/>
  <tableColumns count="11">
    <tableColumn id="1" xr3:uid="{BF831C3E-8160-41D7-B15B-B6FF10AF0841}" uniqueName="1" name="ORIGEN" queryTableFieldId="1" dataDxfId="183"/>
    <tableColumn id="2" xr3:uid="{7531A05F-63F6-41B5-8D6C-70251812D9C2}" uniqueName="2" name="DESTINO" queryTableFieldId="2" dataDxfId="182"/>
    <tableColumn id="3" xr3:uid="{18C6D202-818D-4EDA-9D9E-70CC0F0855C0}" uniqueName="3" name="0,00 - 3,39" queryTableFieldId="3"/>
    <tableColumn id="4" xr3:uid="{6B007B8C-CB6F-4045-8FA7-81CAADC92B41}" uniqueName="4" name="3,40 - 5,20" queryTableFieldId="4"/>
    <tableColumn id="5" xr3:uid="{1E9E37AE-E8D6-4DB5-AB7B-81E7F0C9F72E}" uniqueName="5" name="5,21 - 8,25" queryTableFieldId="5"/>
    <tableColumn id="6" xr3:uid="{AA996F25-C8FC-436A-B9D3-4E6AF037846F}" uniqueName="6" name="8,26 - 10,20" queryTableFieldId="6"/>
    <tableColumn id="7" xr3:uid="{3C6BEB49-DD1E-467E-989C-FF03F78EA41B}" uniqueName="7" name="10,21 - 13,20" queryTableFieldId="7"/>
    <tableColumn id="8" xr3:uid="{DC3131FF-CBA0-44A3-90CA-D79376C13B08}" uniqueName="8" name="13,21 - 16,59" queryTableFieldId="8"/>
    <tableColumn id="9" xr3:uid="{6041A9B1-AE43-43EE-AF07-DC8CE6B14534}" uniqueName="9" name="16,60 - 26,49" queryTableFieldId="9"/>
    <tableColumn id="10" xr3:uid="{1AC15A1D-B1FF-43E0-9E3B-E2A0C8C6F260}" uniqueName="10" name="mas de 26,49" queryTableFieldId="10"/>
    <tableColumn id="11" xr3:uid="{C2F01DDE-95C4-478E-A61D-38FA060EE732}" uniqueName="11" name="PROVEEDOR" queryTableFieldId="11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9D39A710-319A-419D-ACAF-A52D05D10607}" name="Tabla745" displayName="Tabla745" ref="A1:J66" totalsRowShown="0" headerRowDxfId="181" dataDxfId="180">
  <autoFilter ref="A1:J66" xr:uid="{9D39A710-319A-419D-ACAF-A52D05D10607}"/>
  <sortState xmlns:xlrd2="http://schemas.microsoft.com/office/spreadsheetml/2017/richdata2" ref="A2:J66">
    <sortCondition ref="B1:B66"/>
  </sortState>
  <tableColumns count="10">
    <tableColumn id="1" xr3:uid="{37AF30DE-6726-45F3-B23F-E2518ACB42AB}" name="ORIGEN"/>
    <tableColumn id="2" xr3:uid="{B66456A1-DF49-46BB-82BD-A331037BDD8F}" name="DESTINO"/>
    <tableColumn id="11" xr3:uid="{B6E8A394-B16A-446D-A918-426665FA068F}" name="0,00 - 3,39"/>
    <tableColumn id="3" xr3:uid="{499BBFC7-8AF2-4DE4-B0FC-D9DA2231ED3E}" name="3,40 - 5,20" dataDxfId="179"/>
    <tableColumn id="4" xr3:uid="{F26B88AE-1CCC-4A2E-9C21-04495052484A}" name="5,21 - 8,25" dataDxfId="178"/>
    <tableColumn id="5" xr3:uid="{3798CC15-CC6A-4A6C-A93A-136736DF0B4F}" name="8,26 - 10,20" dataDxfId="177"/>
    <tableColumn id="10" xr3:uid="{A01B0DF8-85D5-42CC-B253-413525C7CE37}" name="10,21 - 13,20" dataDxfId="176"/>
    <tableColumn id="9" xr3:uid="{1A404629-70BA-41C7-9BE4-32B6F3150314}" name="13,21 - 16,59" dataDxfId="175"/>
    <tableColumn id="8" xr3:uid="{DBC90579-FE27-4482-85A2-8B7D2AEB809D}" name="16,60 - 26,49" dataDxfId="174"/>
    <tableColumn id="7" xr3:uid="{1AE5BCD1-5D92-4256-BFDA-9AC24CF2EBC9}" name="mas de 26,49" dataDxfId="173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9F8FF34A-7414-45EF-8300-FE1146C5018E}" name="LENTOCARGA__C" displayName="LENTOCARGA__C" ref="A1:K121" tableType="queryTable" totalsRowShown="0">
  <autoFilter ref="A1:K121" xr:uid="{9F8FF34A-7414-45EF-8300-FE1146C5018E}"/>
  <tableColumns count="11">
    <tableColumn id="1" xr3:uid="{246562FE-8178-4169-B0ED-C55430E1CE6E}" uniqueName="1" name="ORIGEN" queryTableFieldId="1" dataDxfId="172"/>
    <tableColumn id="2" xr3:uid="{F574F612-0CAB-4AC7-B3B4-BF51D7C82869}" uniqueName="2" name="DESTINO" queryTableFieldId="2" dataDxfId="171"/>
    <tableColumn id="3" xr3:uid="{E1191B74-5134-4D9D-96D8-7B4909E6D893}" uniqueName="3" name="0,00 - 3,39" queryTableFieldId="3"/>
    <tableColumn id="4" xr3:uid="{89E5AA25-F422-472C-A27D-ADC206E9D8C6}" uniqueName="4" name="3,40 - 5,20" queryTableFieldId="4"/>
    <tableColumn id="5" xr3:uid="{B039ECDD-83D3-47A5-ACE4-684DC1A28E5D}" uniqueName="5" name="5,21 - 8,25" queryTableFieldId="5"/>
    <tableColumn id="6" xr3:uid="{2E288FBA-B7A5-44A6-B604-D0D94195032D}" uniqueName="6" name="8,26 - 10,20" queryTableFieldId="6"/>
    <tableColumn id="7" xr3:uid="{09109515-26DF-47EC-89C1-32CBFC3953E9}" uniqueName="7" name="10,21 - 13,20" queryTableFieldId="7"/>
    <tableColumn id="8" xr3:uid="{17590850-5A52-4D4A-8CF8-90DB369BE717}" uniqueName="8" name="13,21 - 16,59" queryTableFieldId="8"/>
    <tableColumn id="9" xr3:uid="{8B8A9345-2CD0-484F-A39B-4DD385D8DB9E}" uniqueName="9" name="16,60 - 26,49" queryTableFieldId="9"/>
    <tableColumn id="10" xr3:uid="{2AAF881F-A93B-424F-A001-B5F4A3D252CE}" uniqueName="10" name="mas de 26,49" queryTableFieldId="10"/>
    <tableColumn id="11" xr3:uid="{841A2D38-8994-4FF2-AFCD-04D43A36277D}" uniqueName="11" name="PROVEEDOR" queryTableFieldId="11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ACAF590F-A00B-4A14-8879-1BF19F76A5A1}" name="LENTOCARGA" displayName="LENTOCARGA" ref="A1:J121" totalsRowShown="0" headerRowDxfId="170" dataDxfId="169">
  <autoFilter ref="A1:J121" xr:uid="{ACAF590F-A00B-4A14-8879-1BF19F76A5A1}">
    <filterColumn colId="8">
      <filters>
        <filter val="$286.17"/>
      </filters>
    </filterColumn>
  </autoFilter>
  <tableColumns count="10">
    <tableColumn id="1" xr3:uid="{56C8B6DB-387C-406F-B174-7A298F8ACA41}" name="ORIGEN" dataDxfId="168"/>
    <tableColumn id="2" xr3:uid="{5CEB17D9-0665-4E31-BB7B-45DAC337AFBA}" name="DESTINO" dataDxfId="167"/>
    <tableColumn id="3" xr3:uid="{5DA6A704-71DB-40CF-B246-6E2166AFF027}" name="0,00 - 3,39" dataDxfId="166"/>
    <tableColumn id="4" xr3:uid="{BF5FE295-2193-4FC5-BB96-B8FE41BF2E6F}" name="3,40 - 5,20" dataDxfId="165"/>
    <tableColumn id="5" xr3:uid="{BAEF4E57-A313-4D81-A474-A1E697D0E560}" name="5,21 - 8,25" dataDxfId="164"/>
    <tableColumn id="6" xr3:uid="{21BC7C5B-D956-4154-9A41-6CC7E88F6F2E}" name="8,26 - 10,20" dataDxfId="163"/>
    <tableColumn id="7" xr3:uid="{62C43A11-B632-4C7D-B95D-94630A9DB778}" name="10,21 - 13,20" dataDxfId="162"/>
    <tableColumn id="8" xr3:uid="{2FF13B1D-46E5-4905-BA23-37C920EE5BD4}" name="13,21 - 16,59" dataDxfId="161"/>
    <tableColumn id="9" xr3:uid="{9C15DF8F-4436-4ECE-9FFC-BE9FBD6583FF}" name="16,60 - 26,49" dataDxfId="160"/>
    <tableColumn id="10" xr3:uid="{6982FFDD-7368-44F3-B3F8-3F9B25473945}" name="mas de 26,49" dataDxfId="159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6A009D4-6178-4A28-BEAF-6E856EB03477}" name="LIFTIT__C" displayName="LIFTIT__C" ref="A1:K124" tableType="queryTable" totalsRowShown="0">
  <autoFilter ref="A1:K124" xr:uid="{86A009D4-6178-4A28-BEAF-6E856EB03477}"/>
  <tableColumns count="11">
    <tableColumn id="1" xr3:uid="{DBBA73FB-52B1-4F83-9F8C-F262F3B3B919}" uniqueName="1" name="ORIGEN" queryTableFieldId="1" dataDxfId="158"/>
    <tableColumn id="2" xr3:uid="{1987C223-4146-4E89-A6A5-CB164BCA2E0C}" uniqueName="2" name="DESTINO" queryTableFieldId="2" dataDxfId="157"/>
    <tableColumn id="3" xr3:uid="{51CC4033-85DB-4A5D-930A-B96980E2EE37}" uniqueName="3" name="0,00 - 3,39" queryTableFieldId="3"/>
    <tableColumn id="4" xr3:uid="{AE0CEBF3-BE78-4840-9B47-B6AF600DA4DE}" uniqueName="4" name="3,40 - 5,20" queryTableFieldId="4"/>
    <tableColumn id="5" xr3:uid="{09A7F4E3-1BA3-4D62-A0FB-9B2368E97620}" uniqueName="5" name="5,21 - 8,25" queryTableFieldId="5"/>
    <tableColumn id="6" xr3:uid="{3E44CD98-E557-465B-90A4-30BF914EDD0E}" uniqueName="6" name="8,26 - 10,20" queryTableFieldId="6"/>
    <tableColumn id="7" xr3:uid="{DE9638E6-97B1-4259-92B8-7C4C7C8BE46F}" uniqueName="7" name="10,21 - 13,20" queryTableFieldId="7"/>
    <tableColumn id="8" xr3:uid="{08B0719B-5743-434E-B5E3-0E3A3B210E25}" uniqueName="8" name="13,21 - 16,59" queryTableFieldId="8"/>
    <tableColumn id="9" xr3:uid="{8AB0504E-E6F0-472D-BFA5-29FDCC9B217A}" uniqueName="9" name="16,60 - 26,49" queryTableFieldId="9"/>
    <tableColumn id="10" xr3:uid="{9A8D847F-04A5-4C8A-9279-AA3B5DBF6669}" uniqueName="10" name="mas de 26,49" queryTableFieldId="10"/>
    <tableColumn id="11" xr3:uid="{F2126A44-BCE0-446C-897C-DD15120630D1}" uniqueName="11" name="PROVEEDOR" queryTableFieldId="11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F99630A4-D068-4D66-9AAB-054FCFBB51EA}" name="CONVECTOR__C" displayName="CONVECTOR__C" ref="A1:K5" tableType="queryTable" totalsRowShown="0">
  <autoFilter ref="A1:K5" xr:uid="{F99630A4-D068-4D66-9AAB-054FCFBB51EA}"/>
  <tableColumns count="11">
    <tableColumn id="2" xr3:uid="{92C9C940-5725-4EE0-8248-77B74501160F}" uniqueName="2" name="ORIGEN" queryTableFieldId="2" dataDxfId="156"/>
    <tableColumn id="3" xr3:uid="{566D046B-BFE9-4A40-94C1-5C872BFD8A8F}" uniqueName="3" name="DESTINO" queryTableFieldId="3" dataDxfId="155"/>
    <tableColumn id="4" xr3:uid="{955DC47F-3258-4658-9661-3E314187F776}" uniqueName="4" name="0,00 - 3,39" queryTableFieldId="4"/>
    <tableColumn id="5" xr3:uid="{2AD63371-F745-4C3E-8835-887F2C811FBF}" uniqueName="5" name="3,40 - 5,20" queryTableFieldId="5"/>
    <tableColumn id="6" xr3:uid="{08EA7A7A-C533-4038-A97A-7E5624D35AC4}" uniqueName="6" name="5,21 - 8,25" queryTableFieldId="6"/>
    <tableColumn id="7" xr3:uid="{9250CB83-C330-4448-87E2-385895C9EAE4}" uniqueName="7" name="8,26 - 10,20" queryTableFieldId="7"/>
    <tableColumn id="8" xr3:uid="{74B3BAF4-FB5E-4FCA-AE8E-2E19C6324C7D}" uniqueName="8" name="10,21 - 13,20" queryTableFieldId="8"/>
    <tableColumn id="9" xr3:uid="{575C4A98-FC92-473C-BA25-C8E8C00284C4}" uniqueName="9" name="13,21 - 16,59" queryTableFieldId="9"/>
    <tableColumn id="10" xr3:uid="{6C2BA952-700B-4B39-B0DA-197F9E1B11A8}" uniqueName="10" name="16,60 - 26,49" queryTableFieldId="10"/>
    <tableColumn id="11" xr3:uid="{0A9BACA3-2734-47CC-9606-88858735F67F}" uniqueName="11" name="mas de 26,49" queryTableFieldId="11"/>
    <tableColumn id="12" xr3:uid="{75C27EA3-00D7-4E18-B58E-D20CA81B53BE}" uniqueName="12" name="PROVEEDOR" queryTableFieldId="12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244711D6-90F5-465F-BFF9-40D51C5B8AE6}" name="Tabla12_1" displayName="Tabla12_1" ref="A1:J5" totalsRowShown="0">
  <autoFilter ref="A1:J5" xr:uid="{244711D6-90F5-465F-BFF9-40D51C5B8AE6}"/>
  <tableColumns count="10">
    <tableColumn id="2" xr3:uid="{C1650FFB-5639-479B-BFFD-F865AE4C7072}" name="ORIGEN" dataDxfId="154"/>
    <tableColumn id="3" xr3:uid="{AC21E519-AFC0-4C16-A722-44A131E40DF8}" name="DESTINO" dataDxfId="153"/>
    <tableColumn id="7" xr3:uid="{E75006C3-1A8D-4848-8A28-9F17CF488B85}" name="0,00 - 3,39" dataDxfId="152"/>
    <tableColumn id="8" xr3:uid="{A38A8F5A-6EFA-4980-B263-E0BCC265BF58}" name="3,40 - 5,20" dataDxfId="151"/>
    <tableColumn id="9" xr3:uid="{F483753E-B32E-42AD-A8E1-C7561045D447}" name="5,21 - 8,25" dataDxfId="150"/>
    <tableColumn id="10" xr3:uid="{0F3585EA-B947-49A5-8F69-FDFEE7DCC06D}" name="8,26 - 10,20" dataDxfId="149"/>
    <tableColumn id="6" xr3:uid="{CDF995C7-96B2-4584-85C2-8506CA02D521}" name="10,21 - 13,20" dataDxfId="148"/>
    <tableColumn id="5" xr3:uid="{5E0C36D3-7163-4A4D-A55C-7C15B367D0CB}" name="13,21 - 16,59" dataDxfId="147"/>
    <tableColumn id="11" xr3:uid="{541F4E83-6AF6-4412-867F-7B5EF1CA34AD}" name="16,60 - 26,49" dataDxfId="146"/>
    <tableColumn id="4" xr3:uid="{B14E36C6-BEB0-4A53-8677-4F7033665C41}" name="mas de 26,49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21E599DF-12F5-4073-A9B3-E1DEEE0F0C54}" name="TRANSGONZALEZ__C" displayName="TRANSGONZALEZ__C" ref="A1:K3" tableType="queryTable" totalsRowShown="0">
  <autoFilter ref="A1:K3" xr:uid="{21E599DF-12F5-4073-A9B3-E1DEEE0F0C54}"/>
  <tableColumns count="11">
    <tableColumn id="1" xr3:uid="{6AA69F05-9451-4EFE-B769-A5C6F7CC60E4}" uniqueName="1" name="ORIGEN" queryTableFieldId="1" dataDxfId="145"/>
    <tableColumn id="2" xr3:uid="{C51BA150-7D1B-4E19-A115-A9684300D65C}" uniqueName="2" name="DESTINO" queryTableFieldId="2" dataDxfId="144"/>
    <tableColumn id="3" xr3:uid="{6530FE8D-A53B-4550-8804-498252A862EF}" uniqueName="3" name="0,00 - 3,39" queryTableFieldId="3"/>
    <tableColumn id="4" xr3:uid="{6B463B49-91E9-4A67-87C4-628F97142A17}" uniqueName="4" name="3,40 - 5,20" queryTableFieldId="4"/>
    <tableColumn id="5" xr3:uid="{E6E4448C-2305-4307-B747-16EE54860644}" uniqueName="5" name="5,21 - 8,25" queryTableFieldId="5"/>
    <tableColumn id="6" xr3:uid="{1D47FDA2-65B3-4B73-BB63-F3C1EEC1BE3A}" uniqueName="6" name="8,26 - 10,20" queryTableFieldId="12"/>
    <tableColumn id="7" xr3:uid="{C7343B7E-62FB-4133-A2CD-CA4A034E94F2}" uniqueName="7" name="10,21 - 13,20" queryTableFieldId="7"/>
    <tableColumn id="8" xr3:uid="{085F49E5-8B63-4D9B-9BB9-C927FF405249}" uniqueName="8" name="13,21 - 16,59" queryTableFieldId="13"/>
    <tableColumn id="9" xr3:uid="{767AC59D-EDA5-4061-8554-DBD804742F63}" uniqueName="9" name="16,60 - 26,49" queryTableFieldId="9"/>
    <tableColumn id="10" xr3:uid="{632B58C9-E1DB-4986-9DF6-70D9F905A47E}" uniqueName="10" name="mas de 26,49" queryTableFieldId="10"/>
    <tableColumn id="11" xr3:uid="{718D81A0-4999-47AD-84A9-7C154674EC35}" uniqueName="11" name="PROVEEDOR" queryTableFieldId="11"/>
  </tableColumns>
  <tableStyleInfo name="TableStyleMedium7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AAED353-751F-45FA-AFAF-93D5ABBD0F33}" name="RAPSECON__C" displayName="RAPSECON__C" ref="A1:K30" tableType="queryTable" totalsRowShown="0">
  <tableColumns count="11">
    <tableColumn id="1" xr3:uid="{3864A4D1-658B-4382-9DEF-C548A4AA650C}" uniqueName="1" name="ORIGEN" queryTableFieldId="1" dataDxfId="143"/>
    <tableColumn id="2" xr3:uid="{044AB4C9-25CD-4788-BE76-3F5E62B1BB65}" uniqueName="2" name="DESTINO" queryTableFieldId="2" dataDxfId="142"/>
    <tableColumn id="3" xr3:uid="{1E5083A0-0A5F-4690-8A20-6CC4C7C18246}" uniqueName="3" name="0,00 - 3,39" queryTableFieldId="3"/>
    <tableColumn id="4" xr3:uid="{8D0A3219-55B5-4380-AC38-3D712BBFF9FD}" uniqueName="4" name="3,40 - 5,20" queryTableFieldId="4"/>
    <tableColumn id="5" xr3:uid="{0224E25F-2471-44F2-AAB2-FECF53A9E9B2}" uniqueName="5" name="5,21 - 8,25" queryTableFieldId="5"/>
    <tableColumn id="6" xr3:uid="{A47D3059-EDBC-471F-AE7D-AAF5C3FB261B}" uniqueName="6" name="8,26 - 10,20" queryTableFieldId="6"/>
    <tableColumn id="7" xr3:uid="{356C2F68-12BB-4C29-825E-CB17D90D35EB}" uniqueName="7" name="10,21 - 13,20" queryTableFieldId="7"/>
    <tableColumn id="8" xr3:uid="{AE134843-4003-4C20-B9AC-8E5E46EDD2F0}" uniqueName="8" name="13,21 - 16,59" queryTableFieldId="8"/>
    <tableColumn id="9" xr3:uid="{24E2B0EE-0212-44C8-97E4-2C0D3F6D3E2A}" uniqueName="9" name="16,60 - 26,49" queryTableFieldId="9"/>
    <tableColumn id="10" xr3:uid="{FB2C51C3-ACC9-48EB-9FD8-763C28FCC44D}" uniqueName="10" name="mas de 26,49" queryTableFieldId="10"/>
    <tableColumn id="11" xr3:uid="{CD17E656-FED1-428A-A977-95B9A90A1C5D}" uniqueName="11" name="PROVEEDOR" queryTableFieldId="11"/>
  </tableColumns>
  <tableStyleInfo name="TableStyleMedium7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98DC754-63E9-494B-BB08-F88C2C42301B}" name="Tabla11" displayName="Tabla11" ref="A1:J126" totalsRowShown="0" headerRowDxfId="141" dataDxfId="140">
  <autoFilter ref="A1:J126" xr:uid="{098DC754-63E9-494B-BB08-F88C2C42301B}"/>
  <tableColumns count="10">
    <tableColumn id="1" xr3:uid="{F2669293-4B16-409C-921E-2D6613B4D151}" name="ORIGEN"/>
    <tableColumn id="2" xr3:uid="{0068B719-9A38-4294-B25F-825BDA180292}" name="DESTINO"/>
    <tableColumn id="3" xr3:uid="{69408C6B-A8E5-4565-9704-A3F1842F1FF9}" name="0,00 - 3,39" dataDxfId="139"/>
    <tableColumn id="4" xr3:uid="{FE867A0B-4861-4A24-855E-EA16ACBC787D}" name="3,40 - 5,20" dataDxfId="138"/>
    <tableColumn id="5" xr3:uid="{17E8EBEB-2024-4F97-8348-426A74DF919D}" name="5,21 - 8,25" dataDxfId="137"/>
    <tableColumn id="6" xr3:uid="{A3ABE299-601F-4E14-9C75-15E475B7A44C}" name="8,26 - 10,20" dataDxfId="136"/>
    <tableColumn id="7" xr3:uid="{6E098B19-66DD-4F26-A7C5-9E7D9C003AA5}" name="10,21 - 13,20" dataDxfId="135"/>
    <tableColumn id="8" xr3:uid="{C0C6C41C-487C-4EA6-9234-D24D7368D9E9}" name="13,21 - 16,59" dataDxfId="134"/>
    <tableColumn id="9" xr3:uid="{3CDA1F24-4247-4333-84DA-388255190A66}" name="16,60 - 26,49" dataDxfId="133"/>
    <tableColumn id="10" xr3:uid="{38F5DA36-C503-4786-B16B-1C6E92FC1C12}" name="mas de 26,49" dataDxfId="132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55F260E-9C9D-495A-AC91-C1C81BB8F83A}" name="Tabla22" displayName="Tabla22" ref="A1:J199" totalsRowShown="0" headerRowDxfId="131" dataDxfId="129" headerRowBorderDxfId="130" tableBorderDxfId="128" totalsRowBorderDxfId="127">
  <autoFilter ref="A1:J199" xr:uid="{055F260E-9C9D-495A-AC91-C1C81BB8F83A}">
    <filterColumn colId="1">
      <filters>
        <filter val="LA DELICIA - DIOSMAR"/>
      </filters>
    </filterColumn>
  </autoFilter>
  <tableColumns count="10">
    <tableColumn id="1" xr3:uid="{3D960A91-19E4-4C0A-8F76-DCAC88D35FCE}" name="ORIGEN" dataDxfId="126"/>
    <tableColumn id="2" xr3:uid="{D1C2CE1C-3327-49FD-BB18-F14E69A7FC20}" name="DESTINO" dataDxfId="125"/>
    <tableColumn id="10" xr3:uid="{E2DE12DA-7012-44E8-AE79-7F3906D0B74E}" name="0,00 - 3,39" dataDxfId="124"/>
    <tableColumn id="3" xr3:uid="{B32E9702-D9EF-4BF0-88D2-4F8920CB4E24}" name="3,40 - 5,20" dataDxfId="123"/>
    <tableColumn id="4" xr3:uid="{30E2AAA3-AB99-4AB4-92B4-509891ECBB02}" name="5,21 - 8,25" dataDxfId="122"/>
    <tableColumn id="5" xr3:uid="{D11E2962-FDA9-404D-8523-937BF102C00E}" name="8,26 - 10,20" dataDxfId="121"/>
    <tableColumn id="6" xr3:uid="{5BDE2881-EE3B-4561-8A04-B34F08B8D122}" name="10,21 - 13,20" dataDxfId="120"/>
    <tableColumn id="7" xr3:uid="{1B808B7F-7618-4829-B935-7F9EE7B6ACF1}" name="13,21 - 16,59" dataDxfId="119"/>
    <tableColumn id="8" xr3:uid="{0373240F-31BC-4A88-A861-34143A3F7636}" name="16,60 - 26,49" dataDxfId="118"/>
    <tableColumn id="9" xr3:uid="{8063DBAD-6CFA-43D1-95A9-26AF122A96CD}" name="mas de 26,49" dataDxfId="117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752AB37-4E36-49F9-B629-79F7DCFC2A30}" name="Tabla14" displayName="Tabla14" ref="A1:J3" totalsRowShown="0">
  <autoFilter ref="A1:J3" xr:uid="{0752AB37-4E36-49F9-B629-79F7DCFC2A30}"/>
  <tableColumns count="10">
    <tableColumn id="1" xr3:uid="{1E375FB1-9428-4783-BD03-55826EB1C9C4}" name="ORIGEN"/>
    <tableColumn id="2" xr3:uid="{883D992D-C6C5-4E65-8DF7-48CE01DE6E3A}" name="DESTINO"/>
    <tableColumn id="6" xr3:uid="{AB3D15D8-1CCE-4E36-87EB-41019E3CF215}" name="0,00 - 3,39" dataDxfId="116"/>
    <tableColumn id="8" xr3:uid="{12FA6318-9DF7-4872-97A0-856A16ABBDF6}" name="3,40 - 5,20" dataDxfId="115"/>
    <tableColumn id="9" xr3:uid="{4C02A4A3-7B0E-4D65-9B82-571152E3F3F6}" name="5,21 - 8,25" dataDxfId="114"/>
    <tableColumn id="10" xr3:uid="{DBFF9635-D53C-407C-AFF2-1896DADF53B1}" name="8,26 - 10,20" dataDxfId="113"/>
    <tableColumn id="7" xr3:uid="{8904BF53-112D-455C-8C0F-1F3D3697A771}" name="10,21 - 13,20" dataDxfId="112"/>
    <tableColumn id="4" xr3:uid="{A1C27E41-A45D-4DE9-89BC-26489E17B853}" name="13,21 - 16,59" dataDxfId="111"/>
    <tableColumn id="5" xr3:uid="{D112E3D0-D274-4D6B-994B-B3D784EDCAA9}" name="16,60 - 26,49" dataDxfId="110"/>
    <tableColumn id="3" xr3:uid="{1713BAC8-26CE-4CF6-B6B1-6AF7553074BA}" name="mas de 26,49" dataDxfId="109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F6BD230C-A05E-453B-A1AE-6A8FE6C91AFC}" name="Tabla35" displayName="Tabla35" ref="A1:J30" totalsRowShown="0" dataDxfId="108">
  <autoFilter ref="A1:J30" xr:uid="{F6BD230C-A05E-453B-A1AE-6A8FE6C91AFC}">
    <filterColumn colId="0">
      <filters>
        <filter val="GUAYAQUIL"/>
      </filters>
    </filterColumn>
    <filterColumn colId="1">
      <filters>
        <filter val="DURAN"/>
      </filters>
    </filterColumn>
  </autoFilter>
  <tableColumns count="10">
    <tableColumn id="1" xr3:uid="{DB5A847D-C8B6-4A62-9CB9-ADA5DCEBF4DE}" name="ORIGEN"/>
    <tableColumn id="2" xr3:uid="{955B0183-A605-4189-A94C-9C6016269599}" name="DESTINO"/>
    <tableColumn id="3" xr3:uid="{81988C74-6925-4DCD-830B-E2B3A511B8EC}" name="0,00 - 3,39" dataDxfId="107"/>
    <tableColumn id="4" xr3:uid="{612785C4-35C6-48A4-9EBC-F051398513FF}" name="3,40 - 5,20" dataDxfId="106"/>
    <tableColumn id="5" xr3:uid="{6F484307-59D7-423A-9636-AAB56ABCA372}" name="5,21 - 8,25" dataDxfId="105"/>
    <tableColumn id="6" xr3:uid="{302BB560-46F1-44E4-A8FB-640E45C8BF4D}" name="8,26 - 10,20" dataDxfId="104"/>
    <tableColumn id="7" xr3:uid="{A730A573-EFC5-47C3-85AB-ECC18F418970}" name="10,21 - 13,20" dataDxfId="103"/>
    <tableColumn id="8" xr3:uid="{377DB788-8D72-499C-B7D1-B6EC421BFCD5}" name="13,21 - 16,59" dataDxfId="102"/>
    <tableColumn id="9" xr3:uid="{CDF9064D-DCF7-4CE0-A334-6B908ADBC4EF}" name="16,60 - 26,49" dataDxfId="101"/>
    <tableColumn id="10" xr3:uid="{21547A89-25DF-478E-98D4-07833BC312B4}" name="mas de 26,49" dataDxfId="100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98ACD6F-0D06-4453-9A61-77B01599F442}" name="TRANSFREMEC__C" displayName="TRANSFREMEC__C" ref="A1:K199" tableType="queryTable" totalsRowShown="0">
  <autoFilter ref="A1:K199" xr:uid="{098ACD6F-0D06-4453-9A61-77B01599F442}"/>
  <tableColumns count="11">
    <tableColumn id="1" xr3:uid="{ADA0A3E3-1CB1-4C6B-8451-35BADA41170E}" uniqueName="1" name="ORIGEN" queryTableFieldId="1" dataDxfId="99"/>
    <tableColumn id="2" xr3:uid="{2898015D-F9D2-404E-B0D7-D5704586167C}" uniqueName="2" name="DESTINO" queryTableFieldId="2" dataDxfId="98"/>
    <tableColumn id="3" xr3:uid="{23101BAD-A5B8-4113-BEC1-332C9604723B}" uniqueName="3" name="0,00 - 3,39" queryTableFieldId="3"/>
    <tableColumn id="4" xr3:uid="{7DE3A4FE-5ADE-4941-B8EF-69CBD4851FC5}" uniqueName="4" name="3,40 - 5,20" queryTableFieldId="4"/>
    <tableColumn id="5" xr3:uid="{70A6ADEB-D905-4579-8FFE-6DAEA59BA8DB}" uniqueName="5" name="5,21 - 8,25" queryTableFieldId="5"/>
    <tableColumn id="6" xr3:uid="{E5A5B625-C780-4373-AB58-5DF50C6DAEA3}" uniqueName="6" name="8,26 - 10,20" queryTableFieldId="6"/>
    <tableColumn id="7" xr3:uid="{145F0B4C-8ACD-4F29-8D99-CC4174F6B9B0}" uniqueName="7" name="10,21 - 13,20" queryTableFieldId="7"/>
    <tableColumn id="8" xr3:uid="{CFE960D7-ADB2-4D30-AF24-C4F49BAB83DA}" uniqueName="8" name="13,21 - 16,59" queryTableFieldId="8"/>
    <tableColumn id="9" xr3:uid="{F76EFE9C-ABC9-4A53-8404-4613E878B6B5}" uniqueName="9" name="16,60 - 26,49" queryTableFieldId="9"/>
    <tableColumn id="10" xr3:uid="{591A804B-E4F5-4E99-8F25-7D63DDD0CB10}" uniqueName="10" name="mas de 26,49" queryTableFieldId="10"/>
    <tableColumn id="11" xr3:uid="{A1D554DE-84AF-490B-8E84-1D93E71B0E03}" uniqueName="11" name="PROVEEDOR" queryTableFieldId="11"/>
  </tableColumns>
  <tableStyleInfo name="TableStyleMedium7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3CECA5C3-3B03-4795-913E-0BB14356094E}" name="TRANSVIAL__C" displayName="TRANSVIAL__C" ref="A1:K293" tableType="queryTable" totalsRowShown="0">
  <autoFilter ref="A1:K293" xr:uid="{3CECA5C3-3B03-4795-913E-0BB14356094E}"/>
  <tableColumns count="11">
    <tableColumn id="1" xr3:uid="{33C6691A-02B8-49C2-B62C-BEC582E937CE}" uniqueName="1" name="ORIGEN" queryTableFieldId="1" dataDxfId="97"/>
    <tableColumn id="2" xr3:uid="{8E62AE03-71E1-4FCF-BA36-CA7FF2D6AC7E}" uniqueName="2" name="DESTINO" queryTableFieldId="2" dataDxfId="96"/>
    <tableColumn id="3" xr3:uid="{C92AE111-CAD7-418F-B774-E8DAD96A8EAC}" uniqueName="3" name="0,00 - 3,39" queryTableFieldId="3"/>
    <tableColumn id="4" xr3:uid="{4AA2AF45-EB91-476C-BE45-627239B032DB}" uniqueName="4" name="3,40 - 5,20" queryTableFieldId="4"/>
    <tableColumn id="5" xr3:uid="{0E376605-864C-4F34-A5F6-DF424B7797C0}" uniqueName="5" name="5,21 - 8,25" queryTableFieldId="5"/>
    <tableColumn id="6" xr3:uid="{EB1A29B9-4C93-46C6-B6C2-69C125AB6BE2}" uniqueName="6" name="8,26 - 10,20" queryTableFieldId="6"/>
    <tableColumn id="7" xr3:uid="{536E8C9A-64C6-461B-8105-8181DEA564D7}" uniqueName="7" name="10,21 - 13,20" queryTableFieldId="7"/>
    <tableColumn id="8" xr3:uid="{B9F906CD-CC5E-4954-9E2A-DD7B2C808C54}" uniqueName="8" name="13,21 - 16,59" queryTableFieldId="8"/>
    <tableColumn id="9" xr3:uid="{5F4A7D0B-99F2-437C-A865-4B4221A70A8E}" uniqueName="9" name="16,60 - 26,49" queryTableFieldId="9"/>
    <tableColumn id="10" xr3:uid="{B4A4253E-208F-46CB-B6DA-1F293136DA5B}" uniqueName="10" name="mas de 26,49" queryTableFieldId="10"/>
    <tableColumn id="11" xr3:uid="{D2D7A26B-8741-4D46-842A-BCBD9C120B9E}" uniqueName="11" name="PROVEEDOR" queryTableFieldId="11"/>
  </tableColumns>
  <tableStyleInfo name="TableStyleMedium7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232DAAE-8889-48A5-8960-DEF168026AD1}" name="Tabla1_1" displayName="Tabla1_1" ref="A1:J292" totalsRowShown="0">
  <autoFilter ref="A1:J292" xr:uid="{7232DAAE-8889-48A5-8960-DEF168026AD1}">
    <filterColumn colId="0">
      <filters>
        <filter val="DURAN"/>
      </filters>
    </filterColumn>
    <filterColumn colId="1">
      <filters>
        <filter val="BALAO"/>
      </filters>
    </filterColumn>
  </autoFilter>
  <tableColumns count="10">
    <tableColumn id="1" xr3:uid="{736C6DC5-C0C7-4214-8D90-8E282DB141EA}" name="ORIGEN" dataDxfId="95"/>
    <tableColumn id="2" xr3:uid="{621816EB-E3A0-4796-8534-67661E36183A}" name="DESTINO" dataDxfId="94"/>
    <tableColumn id="10" xr3:uid="{31A74983-2CBF-4E4C-B8E4-ABB83FA39962}" name="0,00 - 3,39" dataDxfId="93"/>
    <tableColumn id="3" xr3:uid="{EB718ECB-67EC-4DB2-B2F4-36F2EAB1FA4E}" name="3,40 - 5,20" dataDxfId="92"/>
    <tableColumn id="4" xr3:uid="{7CF001C3-4A35-48A6-B0A8-9CEDA9D6BF30}" name="5,21 - 8,25" dataDxfId="91"/>
    <tableColumn id="5" xr3:uid="{BA4E8DFD-6445-4021-9A72-27B4DBEC189F}" name="8,26 - 10,20" dataDxfId="90"/>
    <tableColumn id="6" xr3:uid="{60F413F4-965B-4395-9F2F-07F07446F8B0}" name="10,21 - 13,20" dataDxfId="89"/>
    <tableColumn id="7" xr3:uid="{5DA6B912-8F81-4FA5-BF11-B590210237B4}" name="13,21 - 16,59" dataDxfId="88"/>
    <tableColumn id="8" xr3:uid="{69D01C52-2462-4BC1-8E40-00D64EA937BB}" name="16,60 - 26,49" dataDxfId="87"/>
    <tableColumn id="9" xr3:uid="{7D71FDAD-E004-40CE-B445-0822F8F0AF11}" name="mas de 26,49" dataDxfId="86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CBC9EE8-AF95-475C-8403-2301E1A1A9E6}" name="Tabla13" displayName="Tabla13" ref="A1:D5">
  <autoFilter ref="A1:D5" xr:uid="{CCBC9EE8-AF95-475C-8403-2301E1A1A9E6}">
    <filterColumn colId="0">
      <filters>
        <filter val="MANTA"/>
      </filters>
    </filterColumn>
  </autoFilter>
  <tableColumns count="4">
    <tableColumn id="1" xr3:uid="{AF331322-3D6F-461B-B770-1739A9414564}" name="ORIGEN"/>
    <tableColumn id="2" xr3:uid="{9861D86A-2335-4303-A91D-579D02FB0A19}" name="DESTINO"/>
    <tableColumn id="3" xr3:uid="{E52CAC4C-3D7A-4751-AD18-62C3C030DE39}" name="SOYA / TRIGO" dataDxfId="85" totalsRowDxfId="84"/>
    <tableColumn id="4" xr3:uid="{F2BAC18B-0245-4AAF-9B7A-59427594A695}" name="DDGS" dataDxfId="83" totalsRowDxfId="82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C733445-D75B-424A-AE87-877F4B435602}" name="Tabla15" displayName="Tabla15" ref="A1:D7" totalsRowShown="0" headerRowDxfId="81" dataDxfId="80">
  <tableColumns count="4">
    <tableColumn id="1" xr3:uid="{92CB05F4-81D2-4653-86B9-E26372ED6102}" name="ORIGEN"/>
    <tableColumn id="2" xr3:uid="{CB7302DB-C5AC-45FA-816C-8E8225651E3F}" name="DESTINO" dataDxfId="79"/>
    <tableColumn id="3" xr3:uid="{E73DD694-2A7C-4013-920F-FB20C2AF1527}" name="SOYA/TRIGO" dataDxfId="78"/>
    <tableColumn id="4" xr3:uid="{5F630732-4C90-4ED5-AA94-72F6BBA2D49E}" name="DDGS" dataDxfId="77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936189E3-06BB-4068-AC8F-D33030EE0EC0}" name="Tabla1" displayName="Tabla1" ref="A1:D7" totalsRowShown="0">
  <tableColumns count="4">
    <tableColumn id="1" xr3:uid="{E205C7B6-D23C-44CC-BA44-60783EBA594E}" name="ORIGEN"/>
    <tableColumn id="2" xr3:uid="{1248C514-7435-424D-BFF6-AA38D7B90ECC}" name="DESTINO"/>
    <tableColumn id="3" xr3:uid="{CDD02599-2ACF-4D2B-AC21-B2FD69741C67}" name="30 TM"/>
    <tableColumn id="4" xr3:uid="{721AC3E3-C35D-4254-BF83-2A8C8FFC092C}" name="31 TM" dataDxfId="76">
      <calculatedColumnFormula>Tabla1[[#This Row],[30 TM]]/30</calculatedColumnFormula>
    </tableColumn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55F96D39-C77C-404A-8326-2A643CAD44B4}" name="Tabla2647" displayName="Tabla2647" ref="A1:D13" totalsRowShown="0" headerRowDxfId="75" dataDxfId="73" headerRowBorderDxfId="74" tableBorderDxfId="72">
  <autoFilter ref="A1:D13" xr:uid="{5F2E133C-9D0E-4CA5-810F-D0A6C05043C7}"/>
  <tableColumns count="4">
    <tableColumn id="1" xr3:uid="{EC117CA3-1DA9-4E24-80CC-F180602DA472}" name="ORIGEN" dataDxfId="71"/>
    <tableColumn id="2" xr3:uid="{DE39D2D0-F857-44A0-8664-9BE2D07C44C8}" name="DESTINO" dataDxfId="70"/>
    <tableColumn id="3" xr3:uid="{C2AEFD14-CC08-4CAC-B535-D50AD25F904A}" name="20 TM" dataDxfId="69"/>
    <tableColumn id="4" xr3:uid="{2B3F0623-2020-4B9A-9E18-7AC624340D5B}" name="tm" dataDxfId="68">
      <calculatedColumnFormula>Tabla2647[[#This Row],[20 TM]]/20</calculatedColumnFormula>
    </tableColumn>
  </tableColumns>
  <tableStyleInfo name="TableStyleLight9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5F2E133C-9D0E-4CA5-810F-D0A6C05043C7}" name="Tabla26" displayName="Tabla26" ref="A1:C2" totalsRowShown="0" headerRowBorderDxfId="67" tableBorderDxfId="66">
  <autoFilter ref="A1:C2" xr:uid="{5F2E133C-9D0E-4CA5-810F-D0A6C05043C7}"/>
  <tableColumns count="3">
    <tableColumn id="1" xr3:uid="{93F6BCC4-442A-4F0A-A143-22CFEB05B886}" name="ORIGEN" dataDxfId="65"/>
    <tableColumn id="2" xr3:uid="{E017EF73-9194-4236-88E8-5E3FE656CC22}" name="DESTINO" dataDxfId="64"/>
    <tableColumn id="3" xr3:uid="{53F3741E-AA08-4021-A70B-AB5186B54338}" name="20 TM" dataDxfId="63"/>
  </tableColumns>
  <tableStyleInfo name="TableStyleLight9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923B3EDE-AAB3-4E25-A740-22912C85980B}" name="CITIKOLD__C" displayName="CITIKOLD__C" ref="A1:J9" tableType="queryTable" totalsRowShown="0">
  <autoFilter ref="A1:J9" xr:uid="{923B3EDE-AAB3-4E25-A740-22912C85980B}"/>
  <tableColumns count="10">
    <tableColumn id="1" xr3:uid="{5D1C4150-6DEC-4D01-8523-C6A1141BB078}" uniqueName="1" name="ORIGEN" queryTableFieldId="1" dataDxfId="62"/>
    <tableColumn id="2" xr3:uid="{E033825B-B264-4F7E-9587-4EA2F7A0F62D}" uniqueName="2" name="DESTINO" queryTableFieldId="2"/>
    <tableColumn id="3" xr3:uid="{ADA5F038-E727-4A33-94F4-2531A9282A29}" uniqueName="3" name="0 - 25" queryTableFieldId="11"/>
    <tableColumn id="4" xr3:uid="{83DD61BE-D732-4765-B25B-F49809E1C1C1}" uniqueName="4" name="0 - 49,99" queryTableFieldId="12"/>
    <tableColumn id="5" xr3:uid="{367683B5-CE69-4604-A3BB-04C392BF12B7}" uniqueName="5" name="50 - 74,99" queryTableFieldId="5"/>
    <tableColumn id="6" xr3:uid="{799F9046-D65E-448B-B37E-31AE60A9DB2D}" uniqueName="6" name="75 - 87,49" queryTableFieldId="6"/>
    <tableColumn id="7" xr3:uid="{AB33FDC3-8C92-4795-89B8-25208ACFF9D8}" uniqueName="7" name="87,50 - 99,99" queryTableFieldId="7"/>
    <tableColumn id="8" xr3:uid="{8801B944-2924-4F7C-95B3-DEB7B414F5EE}" uniqueName="8" name="100 - 124,99" queryTableFieldId="8"/>
    <tableColumn id="9" xr3:uid="{ED6675C3-4737-4C81-867A-022FD1BAAE36}" uniqueName="9" name="mas de 125" queryTableFieldId="9"/>
    <tableColumn id="10" xr3:uid="{F05A4BD2-40D5-4C6F-8E4E-ECD150884345}" uniqueName="10" name="PROVEEDOR" queryTableFieldId="10"/>
  </tableColumns>
  <tableStyleInfo name="TableStyleMedium7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80F20905-FACE-4275-8B40-B04DB7621AD8}" name="Tabla37" displayName="Tabla37" ref="A1:I9" totalsRowShown="0" headerRowDxfId="61" dataDxfId="60" tableBorderDxfId="59">
  <autoFilter ref="A1:I9" xr:uid="{80F20905-FACE-4275-8B40-B04DB7621AD8}"/>
  <tableColumns count="9">
    <tableColumn id="1" xr3:uid="{8FE3706C-DF32-470F-8E2D-6086F21BA286}" name="ORIGEN" dataDxfId="58"/>
    <tableColumn id="2" xr3:uid="{35EC5564-A89C-4001-B575-BC710E1A624F}" name="DESTINO" dataDxfId="57"/>
    <tableColumn id="3" xr3:uid="{F692C927-5CD7-4624-ADF4-2960ADFA30DF}" name="0 - 25" dataDxfId="56"/>
    <tableColumn id="4" xr3:uid="{1C02EBE4-4907-4796-A4D2-0B2B08989C08}" name="0 - 49,99" dataDxfId="55"/>
    <tableColumn id="5" xr3:uid="{0EEB5589-022C-450E-8490-C40D4D819BED}" name="50 - 74,99" dataDxfId="54"/>
    <tableColumn id="6" xr3:uid="{C66C57E8-F0E0-40A8-903A-510C13E5B633}" name="75 - 87,49" dataDxfId="53"/>
    <tableColumn id="7" xr3:uid="{A94B5839-D401-4925-8F67-CFF4303FC09F}" name="87,50 - 99,99" dataDxfId="52"/>
    <tableColumn id="8" xr3:uid="{619C340C-75B3-47E2-B836-C837094C6A14}" name="100 - 124,99" dataDxfId="51"/>
    <tableColumn id="9" xr3:uid="{B79C16E1-B8D7-4FDE-842A-95CE166FAAB4}" name="mas de 125" dataDxfId="50"/>
  </tableColumns>
  <tableStyleInfo name="TableStyleLight9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883BEDCC-E41D-4B01-AFDC-7EBEE5B751D9}" name="RIVERDIESEL__C" displayName="RIVERDIESEL__C" ref="A1:J17" tableType="queryTable" totalsRowShown="0">
  <autoFilter ref="A1:J17" xr:uid="{883BEDCC-E41D-4B01-AFDC-7EBEE5B751D9}"/>
  <tableColumns count="10">
    <tableColumn id="1" xr3:uid="{0E3BAC15-1F61-4DD6-8688-720885FFBB7A}" uniqueName="1" name="ORIGEN" queryTableFieldId="1" dataDxfId="49"/>
    <tableColumn id="2" xr3:uid="{23C644DE-F51B-4F1C-8E78-111F850BB6D9}" uniqueName="2" name="DESTINO" queryTableFieldId="2"/>
    <tableColumn id="3" xr3:uid="{891E3DED-2C22-4968-AF01-D7F160806863}" uniqueName="3" name="0 - 25" queryTableFieldId="11"/>
    <tableColumn id="4" xr3:uid="{4BDF8F8E-AEA3-4A82-8E8A-CA8F5AC860DD}" uniqueName="4" name="0 - 49,99" queryTableFieldId="12"/>
    <tableColumn id="5" xr3:uid="{2E014D6F-FB30-4573-A30A-EA585911D56E}" uniqueName="5" name="50 - 74,99" queryTableFieldId="5"/>
    <tableColumn id="6" xr3:uid="{009C4CF8-0318-4FBB-B2F7-2726A0370A4C}" uniqueName="6" name="75 - 87,49" queryTableFieldId="6"/>
    <tableColumn id="7" xr3:uid="{023B0701-D5A9-4367-8E00-BFB58346FA74}" uniqueName="7" name="87,50 - 99,99" queryTableFieldId="7"/>
    <tableColumn id="8" xr3:uid="{C568D507-79D1-4B5A-B0E8-53E779A98DD9}" uniqueName="8" name="100 - 124,99" queryTableFieldId="8"/>
    <tableColumn id="9" xr3:uid="{2B0E947E-2048-4047-8AB8-B9A4A3960130}" uniqueName="9" name="mas de 125" queryTableFieldId="9"/>
    <tableColumn id="10" xr3:uid="{5A735795-B118-464F-807B-79283C848491}" uniqueName="10" name="PROVEEDOR" queryTableFieldId="10"/>
  </tableColumns>
  <tableStyleInfo name="TableStyleMedium7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84C64175-8820-47F1-BAD0-957DDDA8EDAA}" name="Tabla32" displayName="Tabla32" ref="A1:I17" totalsRowShown="0" headerRowDxfId="48" dataDxfId="47" tableBorderDxfId="46">
  <autoFilter ref="A1:I17" xr:uid="{84C64175-8820-47F1-BAD0-957DDDA8EDAA}"/>
  <tableColumns count="9">
    <tableColumn id="1" xr3:uid="{68E754C9-B5CF-421A-BAE3-029286A7E35A}" name="ORIGEN" dataDxfId="45"/>
    <tableColumn id="2" xr3:uid="{3049B07C-567B-4B7D-9C16-736F25269C43}" name="DESTINO" dataDxfId="44"/>
    <tableColumn id="3" xr3:uid="{154C9EED-4131-45E6-8EA5-D5391846CA1C}" name="0 - 25" dataDxfId="43"/>
    <tableColumn id="4" xr3:uid="{DA50D966-F25C-4B59-9E1A-52F68A33067D}" name="0 - 49,99" dataDxfId="42"/>
    <tableColumn id="5" xr3:uid="{962246C4-E611-4245-828A-F1C15E80DD70}" name="50 - 74,99" dataDxfId="41"/>
    <tableColumn id="6" xr3:uid="{89AA5B8F-4EB1-4628-90C9-820C1B451337}" name="75 - 87,49" dataDxfId="40"/>
    <tableColumn id="7" xr3:uid="{A3F27362-19C7-49FB-8AED-440609583FDC}" name="87,50 - 99,99" dataDxfId="39"/>
    <tableColumn id="8" xr3:uid="{4E6F16F7-02C3-4032-B858-E6B6D9A5A047}" name="100 - 124,99" dataDxfId="38"/>
    <tableColumn id="9" xr3:uid="{A5708189-B640-4DE0-8737-4ED454F43BF7}" name="mas de 125" dataDxfId="37"/>
  </tableColumns>
  <tableStyleInfo name="TableStyleLight9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F53CE800-DC1F-4290-BF0C-167938787734}" name="COSTAMARKET__C" displayName="COSTAMARKET__C" ref="A1:J11" tableType="queryTable" totalsRowShown="0">
  <autoFilter ref="A1:J11" xr:uid="{F53CE800-DC1F-4290-BF0C-167938787734}"/>
  <tableColumns count="10">
    <tableColumn id="1" xr3:uid="{7EDAD39A-773B-446C-8B4E-755585843211}" uniqueName="1" name="ORIGEN" queryTableFieldId="1" dataDxfId="36"/>
    <tableColumn id="2" xr3:uid="{6A851864-F456-424C-9ADE-98C4E2B17163}" uniqueName="2" name="DESTINO" queryTableFieldId="2"/>
    <tableColumn id="3" xr3:uid="{7FB0CA85-CAE4-4554-8B61-8ED46E9B9288}" uniqueName="3" name="0 - 25" queryTableFieldId="11"/>
    <tableColumn id="4" xr3:uid="{B8CFB182-7CB2-4D99-BB15-E355DFCFD3BA}" uniqueName="4" name="0 - 49,99" queryTableFieldId="12"/>
    <tableColumn id="5" xr3:uid="{CEA989A6-E7BC-40BA-BC9C-0BBA3E25C20B}" uniqueName="5" name="50 - 74,99" queryTableFieldId="5"/>
    <tableColumn id="6" xr3:uid="{DF3E40DA-FA5D-43BF-8CF2-9CE01622F802}" uniqueName="6" name="75 - 87,49" queryTableFieldId="6"/>
    <tableColumn id="7" xr3:uid="{EC017FFC-25F0-4169-96A5-AF1D4D743921}" uniqueName="7" name="87,50 - 99,99" queryTableFieldId="7"/>
    <tableColumn id="8" xr3:uid="{DBAD5250-E4EA-4B82-9031-6A731AAB4C41}" uniqueName="8" name="100 - 124,99" queryTableFieldId="8"/>
    <tableColumn id="9" xr3:uid="{F19BBABD-B3CA-4592-B010-FA3D3DFEDB16}" uniqueName="9" name="mas de 125" queryTableFieldId="9"/>
    <tableColumn id="10" xr3:uid="{33510459-4AC2-43A1-BAEC-3794237B6AE3}" uniqueName="10" name="PROVEEDOR" queryTableFieldId="10"/>
  </tableColumns>
  <tableStyleInfo name="TableStyleMedium7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CA54CBE5-71D5-4224-AC8D-044F958ECFC7}" name="Tabla38" displayName="Tabla38" ref="A1:I11" totalsRowShown="0" headerRowDxfId="35" dataDxfId="34" tableBorderDxfId="33">
  <autoFilter ref="A1:I11" xr:uid="{CA54CBE5-71D5-4224-AC8D-044F958ECFC7}"/>
  <tableColumns count="9">
    <tableColumn id="1" xr3:uid="{34016ED5-FF3E-4B86-AE6B-5F5E83DA40D6}" name="ORIGEN" dataDxfId="32"/>
    <tableColumn id="2" xr3:uid="{FE3AC2D5-B2FF-4F17-839E-643BB0EA7E9C}" name="DESTINO" dataDxfId="31"/>
    <tableColumn id="3" xr3:uid="{4D0A06FE-76C8-4518-9AD0-7BCF52020771}" name="0 - 25" dataDxfId="30"/>
    <tableColumn id="4" xr3:uid="{FD3CC4F2-5BA0-4A9B-8891-5BB2098C17D4}" name="0 - 49,99" dataDxfId="29"/>
    <tableColumn id="5" xr3:uid="{08FED9B7-076C-4AEC-AE67-E4A042326E09}" name="50 - 74,99" dataDxfId="28"/>
    <tableColumn id="6" xr3:uid="{BBEF9376-5D53-40CE-AFF5-58E997652FB0}" name="75 - 87,49" dataDxfId="27"/>
    <tableColumn id="7" xr3:uid="{A96EC9BB-CBF7-4533-AB3F-F359BB20033A}" name="87,50 - 99,99" dataDxfId="26"/>
    <tableColumn id="8" xr3:uid="{33647576-7AAF-456F-AE45-BD1F6FB5037C}" name="100 - 124,99" dataDxfId="25"/>
    <tableColumn id="9" xr3:uid="{CB83928B-2658-4B3C-A59B-3A276BED996A}" name="mas de 125" dataDxfId="24"/>
  </tableColumns>
  <tableStyleInfo name="TableStyleLight9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A97A19EA-9EF8-4B75-B87B-CC65BAF95704}" name="SEALDOVA__C" displayName="SEALDOVA__C" ref="A1:J9" tableType="queryTable" totalsRowShown="0">
  <autoFilter ref="A1:J9" xr:uid="{A97A19EA-9EF8-4B75-B87B-CC65BAF95704}"/>
  <tableColumns count="10">
    <tableColumn id="1" xr3:uid="{76C8B938-B6C5-48CC-8EF4-4618AB486115}" uniqueName="1" name="ORIGEN" queryTableFieldId="1" dataDxfId="23"/>
    <tableColumn id="2" xr3:uid="{4B14CAC5-33AB-4EC4-A1BE-398FA803914C}" uniqueName="2" name="DESTINO" queryTableFieldId="2"/>
    <tableColumn id="3" xr3:uid="{89DA860D-4B15-4281-BCBB-C055E6374B7C}" uniqueName="3" name="0 - 25" queryTableFieldId="11"/>
    <tableColumn id="4" xr3:uid="{43381153-3525-4E40-B974-409AA9D48B89}" uniqueName="4" name="0 - 49,99" queryTableFieldId="12"/>
    <tableColumn id="5" xr3:uid="{7508C5B9-5991-4A0E-84A0-8A517DDD2330}" uniqueName="5" name="50 - 74,99" queryTableFieldId="5"/>
    <tableColumn id="6" xr3:uid="{38BE93E5-710F-4BD7-A2ED-967A0477C291}" uniqueName="6" name="75 - 87,49" queryTableFieldId="6"/>
    <tableColumn id="7" xr3:uid="{3CD8ED93-0423-4333-879B-0217E990290A}" uniqueName="7" name="87,50 - 99,99" queryTableFieldId="7"/>
    <tableColumn id="8" xr3:uid="{58C98532-2636-4757-A8DF-7D025EAC3B2A}" uniqueName="8" name="100 - 124,99" queryTableFieldId="8"/>
    <tableColumn id="9" xr3:uid="{32B3214F-E058-425D-A1E8-B0438C010307}" uniqueName="9" name="mas de 125" queryTableFieldId="9"/>
    <tableColumn id="10" xr3:uid="{6734FCD7-2240-4F43-A9A1-3C4BF7529204}" uniqueName="10" name="PROVEEDOR" queryTableFieldId="10"/>
  </tableColumns>
  <tableStyleInfo name="TableStyleMedium7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52215106-C4E8-412D-BAFC-ED306E325A09}" name="Tabla39" displayName="Tabla39" ref="A1:I9" totalsRowShown="0" headerRowDxfId="22" dataDxfId="21" tableBorderDxfId="20">
  <autoFilter ref="A1:I9" xr:uid="{52215106-C4E8-412D-BAFC-ED306E325A09}"/>
  <tableColumns count="9">
    <tableColumn id="1" xr3:uid="{9234B6FF-5EDD-4C51-8C8C-D03481B99399}" name="ORIGEN" dataDxfId="19"/>
    <tableColumn id="2" xr3:uid="{2AB3237E-523C-4CEA-898D-476553FC5081}" name="DESTINO" dataDxfId="18"/>
    <tableColumn id="3" xr3:uid="{D0F326FF-E56C-4C44-9824-A0233E0B3485}" name="0 - 25" dataDxfId="17"/>
    <tableColumn id="4" xr3:uid="{02217D12-B5D5-4B5E-9C60-62561F0BCE1E}" name="0 - 49,99" dataDxfId="16"/>
    <tableColumn id="5" xr3:uid="{0D1B9CFA-56C1-4FDE-8FDF-94A324F0D0A1}" name="50 - 74,99" dataDxfId="15"/>
    <tableColumn id="6" xr3:uid="{64938A1A-917A-468F-81CE-541F1A7DCCDC}" name="75 - 87,49" dataDxfId="14"/>
    <tableColumn id="7" xr3:uid="{D08479FC-1F34-41B1-BB10-D73E88FCF4C8}" name="87,50 - 99,99" dataDxfId="13"/>
    <tableColumn id="8" xr3:uid="{B6DE7661-BB6A-4A74-A4D0-72FAA5179E6F}" name="100 - 124,99" dataDxfId="12"/>
    <tableColumn id="9" xr3:uid="{E532BABE-85C7-4D10-BE25-EE3D426CDCFE}" name="mas de 125" dataDxfId="11"/>
  </tableColumns>
  <tableStyleInfo name="TableStyleLight9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0807D59-BD2D-4A64-BFDC-086ACEA697AB}" name="Tabla17" displayName="Tabla17" ref="A1:F13" totalsRowShown="0" headerRowDxfId="10">
  <autoFilter ref="A1:F13" xr:uid="{10807D59-BD2D-4A64-BFDC-086ACEA697AB}"/>
  <tableColumns count="6">
    <tableColumn id="3" xr3:uid="{090E5333-7A74-47E1-9170-819685700376}" name="OPERACIÓN"/>
    <tableColumn id="1" xr3:uid="{81FB9AED-60EA-4114-B42F-019AE5D84DB2}" name="PROVEEDOR" dataDxfId="9"/>
    <tableColumn id="2" xr3:uid="{17DAE01A-55DE-444B-9A49-F76082D22B54}" name=" PORCENTAJE INCREMENTO " dataDxfId="8"/>
    <tableColumn id="6" xr3:uid="{F6F1DC1C-3DED-48E6-9518-E67B19257621}" name="APROBACIÓN CARRIER" dataDxfId="7"/>
    <tableColumn id="4" xr3:uid="{B6FDB1D0-CAAA-482B-82A3-F4BA890F8C6D}" name="INICIO VIGENCIA" dataDxfId="6"/>
    <tableColumn id="5" xr3:uid="{8C7C4B53-1A64-4E58-959D-119553EC3C94}" name="ADENDUM" dataDxfId="5"/>
  </tableColumns>
  <tableStyleInfo name="TableStyleLight14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E29AF1C-B40A-49D7-8798-1D8C72B28241}" name="Tabla1548" displayName="Tabla1548" ref="H3:K9" totalsRowShown="0" headerRowDxfId="4" dataDxfId="3">
  <autoFilter ref="H3:K9" xr:uid="{0E29AF1C-B40A-49D7-8798-1D8C72B28241}"/>
  <tableColumns count="4">
    <tableColumn id="1" xr3:uid="{CD5B550B-E23F-48B0-BD64-182C5E8E014D}" name="ORIGEN"/>
    <tableColumn id="2" xr3:uid="{DBE00B30-9769-490C-B98A-CAAD0BF2CC6F}" name="DESTINO" dataDxfId="2"/>
    <tableColumn id="3" xr3:uid="{FB1663FA-1E28-45DA-9536-120657144B14}" name="SOYA/TRIGO" dataDxfId="1"/>
    <tableColumn id="4" xr3:uid="{F7779533-6333-45D9-8A36-A9B38CF78DE0}" name="DDG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04B717D-2BDE-43D9-9DA7-A06FBD5350EE}">
  <we:reference id="wa200010725" version="1.0.0.1" store="en-US" storeType="omex"/>
  <we:alternateReferences>
    <we:reference id="wa200010725" version="1.0.0.1" store="omex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47.xml.rels><?xml version="1.0" encoding="UTF-8" standalone="yes"?>
<Relationships xmlns="http://schemas.openxmlformats.org/package/2006/relationships"><Relationship Id="rId8" Type="http://schemas.openxmlformats.org/officeDocument/2006/relationships/hyperlink" Target="mailto:erika.moreira@liftit.co" TargetMode="External"/><Relationship Id="rId13" Type="http://schemas.openxmlformats.org/officeDocument/2006/relationships/hyperlink" Target="mailto:info@transvialecuador.com" TargetMode="External"/><Relationship Id="rId18" Type="http://schemas.openxmlformats.org/officeDocument/2006/relationships/table" Target="../tables/table46.xml"/><Relationship Id="rId3" Type="http://schemas.openxmlformats.org/officeDocument/2006/relationships/hyperlink" Target="mailto:logisticatranspebanor@gmail.com" TargetMode="External"/><Relationship Id="rId7" Type="http://schemas.openxmlformats.org/officeDocument/2006/relationships/hyperlink" Target="mailto:lramirez@convector.ec" TargetMode="External"/><Relationship Id="rId12" Type="http://schemas.openxmlformats.org/officeDocument/2006/relationships/hyperlink" Target="mailto:rafael@piperlogisticsco.com" TargetMode="External"/><Relationship Id="rId17" Type="http://schemas.openxmlformats.org/officeDocument/2006/relationships/hyperlink" Target="mailto:logistica@tortuchargue.com" TargetMode="External"/><Relationship Id="rId2" Type="http://schemas.openxmlformats.org/officeDocument/2006/relationships/hyperlink" Target="mailto:wilmer.cruz@arellanologistica.com" TargetMode="External"/><Relationship Id="rId16" Type="http://schemas.openxmlformats.org/officeDocument/2006/relationships/hyperlink" Target="mailto:gerencia@transcorposa.com" TargetMode="External"/><Relationship Id="rId1" Type="http://schemas.openxmlformats.org/officeDocument/2006/relationships/hyperlink" Target="mailto:transfremec@outlook.es" TargetMode="External"/><Relationship Id="rId6" Type="http://schemas.openxmlformats.org/officeDocument/2006/relationships/hyperlink" Target="mailto:rodrigovelez@ciudadrodrigo.com.ec" TargetMode="External"/><Relationship Id="rId11" Type="http://schemas.openxmlformats.org/officeDocument/2006/relationships/hyperlink" Target="mailto:logistica@rapsecon.com" TargetMode="External"/><Relationship Id="rId5" Type="http://schemas.openxmlformats.org/officeDocument/2006/relationships/hyperlink" Target="mailto:s.yucailla@transalojesa.com" TargetMode="External"/><Relationship Id="rId15" Type="http://schemas.openxmlformats.org/officeDocument/2006/relationships/hyperlink" Target="mailto:transmayorgasa@hotmail.com" TargetMode="External"/><Relationship Id="rId10" Type="http://schemas.openxmlformats.org/officeDocument/2006/relationships/hyperlink" Target="mailto:croditti@citikold.com" TargetMode="External"/><Relationship Id="rId4" Type="http://schemas.openxmlformats.org/officeDocument/2006/relationships/hyperlink" Target="mailto:mcastilloargudo@gmail.com" TargetMode="External"/><Relationship Id="rId9" Type="http://schemas.openxmlformats.org/officeDocument/2006/relationships/hyperlink" Target="mailto:aguisoricom@hotmail.com" TargetMode="External"/><Relationship Id="rId14" Type="http://schemas.openxmlformats.org/officeDocument/2006/relationships/hyperlink" Target="mailto:riverdiesel@hotmail.com" TargetMode="Externa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0816E-325F-4777-98B9-1526AF41438D}">
  <sheetPr>
    <tabColor theme="6"/>
  </sheetPr>
  <dimension ref="A1:U2455"/>
  <sheetViews>
    <sheetView tabSelected="1" zoomScaleNormal="100" workbookViewId="0"/>
  </sheetViews>
  <sheetFormatPr baseColWidth="10" defaultColWidth="11.42578125" defaultRowHeight="15" x14ac:dyDescent="0.25"/>
  <cols>
    <col min="1" max="1" width="46" bestFit="1" customWidth="1"/>
    <col min="2" max="2" width="11.85546875" bestFit="1" customWidth="1"/>
    <col min="3" max="3" width="24" bestFit="1" customWidth="1"/>
    <col min="4" max="4" width="16.140625" customWidth="1"/>
    <col min="5" max="5" width="10.5703125" customWidth="1"/>
    <col min="6" max="6" width="15.28515625" hidden="1" customWidth="1"/>
    <col min="7" max="7" width="13.140625" bestFit="1" customWidth="1"/>
    <col min="8" max="8" width="13.5703125" bestFit="1" customWidth="1"/>
    <col min="9" max="9" width="9.42578125" bestFit="1" customWidth="1"/>
    <col min="10" max="10" width="11.42578125" bestFit="1" customWidth="1"/>
    <col min="11" max="11" width="19.140625" style="1" bestFit="1" customWidth="1"/>
    <col min="12" max="12" width="18.5703125" hidden="1" customWidth="1"/>
    <col min="13" max="13" width="11.7109375" bestFit="1" customWidth="1"/>
    <col min="14" max="14" width="18.140625" bestFit="1" customWidth="1"/>
    <col min="15" max="15" width="15.5703125" bestFit="1" customWidth="1"/>
    <col min="16" max="16" width="13.42578125" bestFit="1" customWidth="1"/>
    <col min="17" max="17" width="17.5703125" bestFit="1" customWidth="1"/>
    <col min="18" max="18" width="16.5703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idden="1" x14ac:dyDescent="0.25">
      <c r="A2" t="s">
        <v>18</v>
      </c>
      <c r="B2" t="s">
        <v>19</v>
      </c>
      <c r="C2" t="s">
        <v>20</v>
      </c>
      <c r="D2" t="s">
        <v>21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R2">
        <v>0</v>
      </c>
    </row>
    <row r="3" spans="1:18" hidden="1" x14ac:dyDescent="0.25">
      <c r="A3" t="s">
        <v>22</v>
      </c>
      <c r="B3" t="s">
        <v>19</v>
      </c>
      <c r="C3" t="s">
        <v>20</v>
      </c>
      <c r="D3" t="s">
        <v>23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R3">
        <v>0</v>
      </c>
    </row>
    <row r="4" spans="1:18" hidden="1" x14ac:dyDescent="0.25">
      <c r="A4" t="s">
        <v>24</v>
      </c>
      <c r="B4" t="s">
        <v>19</v>
      </c>
      <c r="C4" t="s">
        <v>20</v>
      </c>
      <c r="D4" t="s">
        <v>25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R4">
        <v>0</v>
      </c>
    </row>
    <row r="5" spans="1:18" hidden="1" x14ac:dyDescent="0.25">
      <c r="A5" t="s">
        <v>26</v>
      </c>
      <c r="B5" t="s">
        <v>19</v>
      </c>
      <c r="C5" t="s">
        <v>20</v>
      </c>
      <c r="D5" t="s">
        <v>27</v>
      </c>
      <c r="E5">
        <v>0</v>
      </c>
      <c r="F5">
        <v>0</v>
      </c>
      <c r="G5">
        <v>0</v>
      </c>
      <c r="H5">
        <v>302.5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R5">
        <v>0</v>
      </c>
    </row>
    <row r="6" spans="1:18" hidden="1" x14ac:dyDescent="0.25">
      <c r="A6" t="s">
        <v>28</v>
      </c>
      <c r="B6" t="s">
        <v>19</v>
      </c>
      <c r="C6" t="s">
        <v>20</v>
      </c>
      <c r="D6" t="s">
        <v>29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R6">
        <v>0</v>
      </c>
    </row>
    <row r="7" spans="1:18" hidden="1" x14ac:dyDescent="0.25">
      <c r="A7" t="s">
        <v>30</v>
      </c>
      <c r="B7" t="s">
        <v>19</v>
      </c>
      <c r="C7" t="s">
        <v>20</v>
      </c>
      <c r="D7" t="s">
        <v>31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R7">
        <v>0</v>
      </c>
    </row>
    <row r="8" spans="1:18" hidden="1" x14ac:dyDescent="0.25">
      <c r="A8" t="s">
        <v>32</v>
      </c>
      <c r="B8" t="s">
        <v>19</v>
      </c>
      <c r="C8" t="s">
        <v>20</v>
      </c>
      <c r="D8" t="s">
        <v>33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R8">
        <v>0</v>
      </c>
    </row>
    <row r="9" spans="1:18" hidden="1" x14ac:dyDescent="0.25">
      <c r="A9" t="s">
        <v>34</v>
      </c>
      <c r="B9" t="s">
        <v>19</v>
      </c>
      <c r="C9" t="s">
        <v>20</v>
      </c>
      <c r="D9" t="s">
        <v>35</v>
      </c>
      <c r="E9">
        <v>0</v>
      </c>
      <c r="F9">
        <v>0</v>
      </c>
      <c r="G9">
        <v>0</v>
      </c>
      <c r="H9">
        <v>302.5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R9">
        <v>0</v>
      </c>
    </row>
    <row r="10" spans="1:18" hidden="1" x14ac:dyDescent="0.25">
      <c r="A10" t="s">
        <v>36</v>
      </c>
      <c r="B10" t="s">
        <v>19</v>
      </c>
      <c r="C10" t="s">
        <v>37</v>
      </c>
      <c r="D10" t="s">
        <v>21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R10">
        <v>0</v>
      </c>
    </row>
    <row r="11" spans="1:18" hidden="1" x14ac:dyDescent="0.25">
      <c r="A11" t="s">
        <v>38</v>
      </c>
      <c r="B11" t="s">
        <v>19</v>
      </c>
      <c r="C11" t="s">
        <v>37</v>
      </c>
      <c r="D11" t="s">
        <v>23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R11">
        <v>0</v>
      </c>
    </row>
    <row r="12" spans="1:18" hidden="1" x14ac:dyDescent="0.25">
      <c r="A12" t="s">
        <v>39</v>
      </c>
      <c r="B12" t="s">
        <v>19</v>
      </c>
      <c r="C12" t="s">
        <v>37</v>
      </c>
      <c r="D12" t="s">
        <v>25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R12">
        <v>0</v>
      </c>
    </row>
    <row r="13" spans="1:18" hidden="1" x14ac:dyDescent="0.25">
      <c r="A13" t="s">
        <v>40</v>
      </c>
      <c r="B13" t="s">
        <v>19</v>
      </c>
      <c r="C13" t="s">
        <v>37</v>
      </c>
      <c r="D13" t="s">
        <v>27</v>
      </c>
      <c r="E13">
        <v>0</v>
      </c>
      <c r="F13">
        <v>0</v>
      </c>
      <c r="G13">
        <v>0</v>
      </c>
      <c r="H13">
        <v>193.6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R13">
        <v>0</v>
      </c>
    </row>
    <row r="14" spans="1:18" hidden="1" x14ac:dyDescent="0.25">
      <c r="A14" t="s">
        <v>41</v>
      </c>
      <c r="B14" t="s">
        <v>19</v>
      </c>
      <c r="C14" t="s">
        <v>37</v>
      </c>
      <c r="D14" t="s">
        <v>29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R14">
        <v>0</v>
      </c>
    </row>
    <row r="15" spans="1:18" hidden="1" x14ac:dyDescent="0.25">
      <c r="A15" t="s">
        <v>42</v>
      </c>
      <c r="B15" t="s">
        <v>19</v>
      </c>
      <c r="C15" t="s">
        <v>37</v>
      </c>
      <c r="D15" t="s">
        <v>31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R15">
        <v>0</v>
      </c>
    </row>
    <row r="16" spans="1:18" hidden="1" x14ac:dyDescent="0.25">
      <c r="A16" t="s">
        <v>43</v>
      </c>
      <c r="B16" t="s">
        <v>19</v>
      </c>
      <c r="C16" t="s">
        <v>37</v>
      </c>
      <c r="D16" t="s">
        <v>33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R16">
        <v>0</v>
      </c>
    </row>
    <row r="17" spans="1:18" hidden="1" x14ac:dyDescent="0.25">
      <c r="A17" t="s">
        <v>44</v>
      </c>
      <c r="B17" t="s">
        <v>19</v>
      </c>
      <c r="C17" t="s">
        <v>37</v>
      </c>
      <c r="D17" t="s">
        <v>35</v>
      </c>
      <c r="E17">
        <v>0</v>
      </c>
      <c r="F17">
        <v>0</v>
      </c>
      <c r="G17">
        <v>0</v>
      </c>
      <c r="H17">
        <v>193.6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R17">
        <v>0</v>
      </c>
    </row>
    <row r="18" spans="1:18" hidden="1" x14ac:dyDescent="0.25">
      <c r="A18" t="s">
        <v>45</v>
      </c>
      <c r="B18" t="s">
        <v>46</v>
      </c>
      <c r="C18" t="s">
        <v>47</v>
      </c>
      <c r="D18" t="s">
        <v>21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R18">
        <v>0</v>
      </c>
    </row>
    <row r="19" spans="1:18" hidden="1" x14ac:dyDescent="0.25">
      <c r="A19" t="s">
        <v>48</v>
      </c>
      <c r="B19" t="s">
        <v>46</v>
      </c>
      <c r="C19" t="s">
        <v>47</v>
      </c>
      <c r="D19" t="s">
        <v>23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383.08269999999999</v>
      </c>
      <c r="R19">
        <v>0</v>
      </c>
    </row>
    <row r="20" spans="1:18" hidden="1" x14ac:dyDescent="0.25">
      <c r="A20" t="s">
        <v>49</v>
      </c>
      <c r="B20" t="s">
        <v>46</v>
      </c>
      <c r="C20" t="s">
        <v>47</v>
      </c>
      <c r="D20" t="s">
        <v>25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442.5917</v>
      </c>
      <c r="R20">
        <v>0</v>
      </c>
    </row>
    <row r="21" spans="1:18" hidden="1" x14ac:dyDescent="0.25">
      <c r="A21" t="s">
        <v>50</v>
      </c>
      <c r="B21" t="s">
        <v>46</v>
      </c>
      <c r="C21" t="s">
        <v>47</v>
      </c>
      <c r="D21" t="s">
        <v>27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511.8451</v>
      </c>
      <c r="R21">
        <v>0</v>
      </c>
    </row>
    <row r="22" spans="1:18" hidden="1" x14ac:dyDescent="0.25">
      <c r="A22" t="s">
        <v>51</v>
      </c>
      <c r="B22" t="s">
        <v>46</v>
      </c>
      <c r="C22" t="s">
        <v>47</v>
      </c>
      <c r="D22" t="s">
        <v>29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350.93729999999999</v>
      </c>
      <c r="R22">
        <v>0</v>
      </c>
    </row>
    <row r="23" spans="1:18" hidden="1" x14ac:dyDescent="0.25">
      <c r="A23" t="s">
        <v>52</v>
      </c>
      <c r="B23" t="s">
        <v>46</v>
      </c>
      <c r="C23" t="s">
        <v>47</v>
      </c>
      <c r="D23" t="s">
        <v>31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267.42680000000001</v>
      </c>
      <c r="R23">
        <v>0</v>
      </c>
    </row>
    <row r="24" spans="1:18" hidden="1" x14ac:dyDescent="0.25">
      <c r="A24" t="s">
        <v>53</v>
      </c>
      <c r="B24" t="s">
        <v>46</v>
      </c>
      <c r="C24" t="s">
        <v>47</v>
      </c>
      <c r="D24" t="s">
        <v>33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269.5335</v>
      </c>
      <c r="R24">
        <v>0</v>
      </c>
    </row>
    <row r="25" spans="1:18" hidden="1" x14ac:dyDescent="0.25">
      <c r="A25" t="s">
        <v>54</v>
      </c>
      <c r="B25" t="s">
        <v>46</v>
      </c>
      <c r="C25" t="s">
        <v>47</v>
      </c>
      <c r="D25" t="s">
        <v>35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526.05579999999998</v>
      </c>
      <c r="R25">
        <v>0</v>
      </c>
    </row>
    <row r="26" spans="1:18" hidden="1" x14ac:dyDescent="0.25">
      <c r="A26" t="s">
        <v>55</v>
      </c>
      <c r="B26" t="s">
        <v>46</v>
      </c>
      <c r="C26" t="s">
        <v>56</v>
      </c>
      <c r="D26" t="s">
        <v>21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R26">
        <v>0</v>
      </c>
    </row>
    <row r="27" spans="1:18" hidden="1" x14ac:dyDescent="0.25">
      <c r="A27" t="s">
        <v>57</v>
      </c>
      <c r="B27" t="s">
        <v>46</v>
      </c>
      <c r="C27" t="s">
        <v>56</v>
      </c>
      <c r="D27" t="s">
        <v>23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568.55799999999999</v>
      </c>
      <c r="R27">
        <v>0</v>
      </c>
    </row>
    <row r="28" spans="1:18" hidden="1" x14ac:dyDescent="0.25">
      <c r="A28" t="s">
        <v>58</v>
      </c>
      <c r="B28" t="s">
        <v>46</v>
      </c>
      <c r="C28" t="s">
        <v>56</v>
      </c>
      <c r="D28" t="s">
        <v>25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602.27790000000005</v>
      </c>
      <c r="R28">
        <v>0</v>
      </c>
    </row>
    <row r="29" spans="1:18" hidden="1" x14ac:dyDescent="0.25">
      <c r="A29" t="s">
        <v>59</v>
      </c>
      <c r="B29" t="s">
        <v>46</v>
      </c>
      <c r="C29" t="s">
        <v>56</v>
      </c>
      <c r="D29" t="s">
        <v>27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757.72649999999999</v>
      </c>
      <c r="R29">
        <v>0</v>
      </c>
    </row>
    <row r="30" spans="1:18" hidden="1" x14ac:dyDescent="0.25">
      <c r="A30" t="s">
        <v>60</v>
      </c>
      <c r="B30" t="s">
        <v>46</v>
      </c>
      <c r="C30" t="s">
        <v>56</v>
      </c>
      <c r="D30" t="s">
        <v>29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397.87329999999997</v>
      </c>
      <c r="R30">
        <v>0</v>
      </c>
    </row>
    <row r="31" spans="1:18" hidden="1" x14ac:dyDescent="0.25">
      <c r="A31" t="s">
        <v>61</v>
      </c>
      <c r="B31" t="s">
        <v>46</v>
      </c>
      <c r="C31" t="s">
        <v>56</v>
      </c>
      <c r="D31" t="s">
        <v>31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387.9153</v>
      </c>
      <c r="R31">
        <v>0</v>
      </c>
    </row>
    <row r="32" spans="1:18" hidden="1" x14ac:dyDescent="0.25">
      <c r="A32" t="s">
        <v>62</v>
      </c>
      <c r="B32" t="s">
        <v>46</v>
      </c>
      <c r="C32" t="s">
        <v>56</v>
      </c>
      <c r="D32" t="s">
        <v>33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392.0061</v>
      </c>
      <c r="R32">
        <v>0</v>
      </c>
    </row>
    <row r="33" spans="1:18" hidden="1" x14ac:dyDescent="0.25">
      <c r="A33" t="s">
        <v>63</v>
      </c>
      <c r="B33" t="s">
        <v>46</v>
      </c>
      <c r="C33" t="s">
        <v>56</v>
      </c>
      <c r="D33" t="s">
        <v>35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774.57619999999997</v>
      </c>
      <c r="R33">
        <v>0</v>
      </c>
    </row>
    <row r="34" spans="1:18" hidden="1" x14ac:dyDescent="0.25">
      <c r="A34" t="s">
        <v>64</v>
      </c>
      <c r="B34" t="s">
        <v>46</v>
      </c>
      <c r="C34" t="s">
        <v>46</v>
      </c>
      <c r="D34" t="s">
        <v>21</v>
      </c>
      <c r="E34">
        <v>0</v>
      </c>
      <c r="F34">
        <v>0</v>
      </c>
      <c r="G34">
        <v>0</v>
      </c>
      <c r="H34">
        <v>0</v>
      </c>
      <c r="I34">
        <v>0</v>
      </c>
      <c r="J34">
        <v>201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R34">
        <v>0</v>
      </c>
    </row>
    <row r="35" spans="1:18" hidden="1" x14ac:dyDescent="0.25">
      <c r="A35" t="s">
        <v>65</v>
      </c>
      <c r="B35" t="s">
        <v>46</v>
      </c>
      <c r="C35" t="s">
        <v>46</v>
      </c>
      <c r="D35" t="s">
        <v>23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108.79949999999999</v>
      </c>
      <c r="R35">
        <v>0</v>
      </c>
    </row>
    <row r="36" spans="1:18" hidden="1" x14ac:dyDescent="0.25">
      <c r="A36" t="s">
        <v>66</v>
      </c>
      <c r="B36" t="s">
        <v>46</v>
      </c>
      <c r="C36" t="s">
        <v>46</v>
      </c>
      <c r="D36" t="s">
        <v>25</v>
      </c>
      <c r="E36">
        <v>0</v>
      </c>
      <c r="F36">
        <v>0</v>
      </c>
      <c r="G36">
        <v>0</v>
      </c>
      <c r="H36">
        <v>0</v>
      </c>
      <c r="I36">
        <v>0</v>
      </c>
      <c r="J36">
        <v>339.9</v>
      </c>
      <c r="K36">
        <v>0</v>
      </c>
      <c r="L36">
        <v>0</v>
      </c>
      <c r="M36">
        <v>0</v>
      </c>
      <c r="N36">
        <v>0</v>
      </c>
      <c r="O36">
        <v>0</v>
      </c>
      <c r="P36">
        <v>117.1893</v>
      </c>
      <c r="R36">
        <v>0</v>
      </c>
    </row>
    <row r="37" spans="1:18" hidden="1" x14ac:dyDescent="0.25">
      <c r="A37" t="s">
        <v>67</v>
      </c>
      <c r="B37" t="s">
        <v>46</v>
      </c>
      <c r="C37" t="s">
        <v>46</v>
      </c>
      <c r="D37" t="s">
        <v>27</v>
      </c>
      <c r="E37">
        <v>0</v>
      </c>
      <c r="F37">
        <v>0</v>
      </c>
      <c r="G37">
        <v>0</v>
      </c>
      <c r="H37">
        <v>0</v>
      </c>
      <c r="I37">
        <v>0</v>
      </c>
      <c r="J37">
        <v>340</v>
      </c>
      <c r="K37">
        <v>0</v>
      </c>
      <c r="L37">
        <v>0</v>
      </c>
      <c r="M37">
        <v>572.7645</v>
      </c>
      <c r="N37">
        <v>0</v>
      </c>
      <c r="O37">
        <v>0</v>
      </c>
      <c r="P37">
        <v>165.40389999999999</v>
      </c>
      <c r="R37">
        <v>0</v>
      </c>
    </row>
    <row r="38" spans="1:18" hidden="1" x14ac:dyDescent="0.25">
      <c r="A38" t="s">
        <v>68</v>
      </c>
      <c r="B38" t="s">
        <v>46</v>
      </c>
      <c r="C38" t="s">
        <v>46</v>
      </c>
      <c r="D38" t="s">
        <v>29</v>
      </c>
      <c r="E38">
        <v>0</v>
      </c>
      <c r="F38">
        <v>0</v>
      </c>
      <c r="G38">
        <v>0</v>
      </c>
      <c r="H38">
        <v>0</v>
      </c>
      <c r="I38">
        <v>0</v>
      </c>
      <c r="J38">
        <v>201</v>
      </c>
      <c r="K38">
        <v>0</v>
      </c>
      <c r="L38">
        <v>0</v>
      </c>
      <c r="M38">
        <v>0</v>
      </c>
      <c r="N38">
        <v>0</v>
      </c>
      <c r="O38">
        <v>0</v>
      </c>
      <c r="P38">
        <v>77.215500000000006</v>
      </c>
      <c r="R38">
        <v>0</v>
      </c>
    </row>
    <row r="39" spans="1:18" hidden="1" x14ac:dyDescent="0.25">
      <c r="A39" t="s">
        <v>69</v>
      </c>
      <c r="B39" t="s">
        <v>46</v>
      </c>
      <c r="C39" t="s">
        <v>46</v>
      </c>
      <c r="D39" t="s">
        <v>31</v>
      </c>
      <c r="E39">
        <v>0</v>
      </c>
      <c r="F39">
        <v>0</v>
      </c>
      <c r="G39">
        <v>0</v>
      </c>
      <c r="H39">
        <v>0</v>
      </c>
      <c r="I39">
        <v>0</v>
      </c>
      <c r="J39">
        <v>212</v>
      </c>
      <c r="K39">
        <v>0</v>
      </c>
      <c r="L39">
        <v>0</v>
      </c>
      <c r="M39">
        <v>0</v>
      </c>
      <c r="N39">
        <v>0</v>
      </c>
      <c r="O39">
        <v>0</v>
      </c>
      <c r="P39">
        <v>78.918000000000006</v>
      </c>
      <c r="R39">
        <v>0</v>
      </c>
    </row>
    <row r="40" spans="1:18" hidden="1" x14ac:dyDescent="0.25">
      <c r="A40" t="s">
        <v>70</v>
      </c>
      <c r="B40" t="s">
        <v>46</v>
      </c>
      <c r="C40" t="s">
        <v>46</v>
      </c>
      <c r="D40" t="s">
        <v>33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91.679699999999997</v>
      </c>
      <c r="R40">
        <v>0</v>
      </c>
    </row>
    <row r="41" spans="1:18" hidden="1" x14ac:dyDescent="0.25">
      <c r="A41" t="s">
        <v>71</v>
      </c>
      <c r="B41" t="s">
        <v>46</v>
      </c>
      <c r="C41" t="s">
        <v>46</v>
      </c>
      <c r="D41" t="s">
        <v>35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585.30449999999996</v>
      </c>
      <c r="N41">
        <v>0</v>
      </c>
      <c r="O41">
        <v>0</v>
      </c>
      <c r="P41">
        <v>170.79939999999999</v>
      </c>
      <c r="R41">
        <v>0</v>
      </c>
    </row>
    <row r="42" spans="1:18" hidden="1" x14ac:dyDescent="0.25">
      <c r="A42" t="s">
        <v>72</v>
      </c>
      <c r="B42" t="s">
        <v>46</v>
      </c>
      <c r="C42" t="s">
        <v>73</v>
      </c>
      <c r="D42" t="s">
        <v>21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R42">
        <v>0</v>
      </c>
    </row>
    <row r="43" spans="1:18" hidden="1" x14ac:dyDescent="0.25">
      <c r="A43" t="s">
        <v>74</v>
      </c>
      <c r="B43" t="s">
        <v>46</v>
      </c>
      <c r="C43" t="s">
        <v>73</v>
      </c>
      <c r="D43" t="s">
        <v>23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815.34130000000005</v>
      </c>
      <c r="R43">
        <v>0</v>
      </c>
    </row>
    <row r="44" spans="1:18" hidden="1" x14ac:dyDescent="0.25">
      <c r="A44" t="s">
        <v>75</v>
      </c>
      <c r="B44" t="s">
        <v>46</v>
      </c>
      <c r="C44" t="s">
        <v>73</v>
      </c>
      <c r="D44" t="s">
        <v>25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885.61069999999995</v>
      </c>
      <c r="R44">
        <v>0</v>
      </c>
    </row>
    <row r="45" spans="1:18" hidden="1" x14ac:dyDescent="0.25">
      <c r="A45" t="s">
        <v>76</v>
      </c>
      <c r="B45" t="s">
        <v>46</v>
      </c>
      <c r="C45" t="s">
        <v>73</v>
      </c>
      <c r="D45" t="s">
        <v>27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980.78319999999997</v>
      </c>
      <c r="R45">
        <v>0</v>
      </c>
    </row>
    <row r="46" spans="1:18" hidden="1" x14ac:dyDescent="0.25">
      <c r="A46" t="s">
        <v>77</v>
      </c>
      <c r="B46" t="s">
        <v>46</v>
      </c>
      <c r="C46" t="s">
        <v>73</v>
      </c>
      <c r="D46" t="s">
        <v>29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588.39419999999996</v>
      </c>
      <c r="R46">
        <v>0</v>
      </c>
    </row>
    <row r="47" spans="1:18" hidden="1" x14ac:dyDescent="0.25">
      <c r="A47" t="s">
        <v>78</v>
      </c>
      <c r="B47" t="s">
        <v>46</v>
      </c>
      <c r="C47" t="s">
        <v>73</v>
      </c>
      <c r="D47" t="s">
        <v>31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642.23149999999998</v>
      </c>
      <c r="R47">
        <v>0</v>
      </c>
    </row>
    <row r="48" spans="1:18" hidden="1" x14ac:dyDescent="0.25">
      <c r="A48" t="s">
        <v>79</v>
      </c>
      <c r="B48" t="s">
        <v>46</v>
      </c>
      <c r="C48" t="s">
        <v>73</v>
      </c>
      <c r="D48" t="s">
        <v>33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644.33799999999997</v>
      </c>
      <c r="R48">
        <v>0</v>
      </c>
    </row>
    <row r="49" spans="1:18" hidden="1" x14ac:dyDescent="0.25">
      <c r="A49" t="s">
        <v>80</v>
      </c>
      <c r="B49" t="s">
        <v>46</v>
      </c>
      <c r="C49" t="s">
        <v>73</v>
      </c>
      <c r="D49" t="s">
        <v>35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984.36810000000003</v>
      </c>
      <c r="R49">
        <v>0</v>
      </c>
    </row>
    <row r="50" spans="1:18" hidden="1" x14ac:dyDescent="0.25">
      <c r="A50" t="s">
        <v>81</v>
      </c>
      <c r="B50" t="s">
        <v>46</v>
      </c>
      <c r="C50" t="s">
        <v>82</v>
      </c>
      <c r="D50" t="s">
        <v>21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R50">
        <v>0</v>
      </c>
    </row>
    <row r="51" spans="1:18" hidden="1" x14ac:dyDescent="0.25">
      <c r="A51" t="s">
        <v>83</v>
      </c>
      <c r="B51" t="s">
        <v>46</v>
      </c>
      <c r="C51" t="s">
        <v>82</v>
      </c>
      <c r="D51" t="s">
        <v>23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520.41800000000001</v>
      </c>
      <c r="R51">
        <v>0</v>
      </c>
    </row>
    <row r="52" spans="1:18" hidden="1" x14ac:dyDescent="0.25">
      <c r="A52" t="s">
        <v>84</v>
      </c>
      <c r="B52" t="s">
        <v>46</v>
      </c>
      <c r="C52" t="s">
        <v>82</v>
      </c>
      <c r="D52" t="s">
        <v>25</v>
      </c>
      <c r="E52">
        <v>0</v>
      </c>
      <c r="F52">
        <v>0</v>
      </c>
      <c r="G52">
        <v>609.44399999999996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597.09090000000003</v>
      </c>
      <c r="R52">
        <v>0</v>
      </c>
    </row>
    <row r="53" spans="1:18" hidden="1" x14ac:dyDescent="0.25">
      <c r="A53" t="s">
        <v>85</v>
      </c>
      <c r="B53" t="s">
        <v>46</v>
      </c>
      <c r="C53" t="s">
        <v>82</v>
      </c>
      <c r="D53" t="s">
        <v>27</v>
      </c>
      <c r="E53">
        <v>0</v>
      </c>
      <c r="F53">
        <v>0</v>
      </c>
      <c r="G53">
        <v>822.62400000000002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697.78809999999999</v>
      </c>
      <c r="R53">
        <v>0</v>
      </c>
    </row>
    <row r="54" spans="1:18" hidden="1" x14ac:dyDescent="0.25">
      <c r="A54" t="s">
        <v>86</v>
      </c>
      <c r="B54" t="s">
        <v>46</v>
      </c>
      <c r="C54" t="s">
        <v>82</v>
      </c>
      <c r="D54" t="s">
        <v>29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374.02339999999998</v>
      </c>
      <c r="R54">
        <v>0</v>
      </c>
    </row>
    <row r="55" spans="1:18" hidden="1" x14ac:dyDescent="0.25">
      <c r="A55" t="s">
        <v>87</v>
      </c>
      <c r="B55" t="s">
        <v>46</v>
      </c>
      <c r="C55" t="s">
        <v>82</v>
      </c>
      <c r="D55" t="s">
        <v>31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357.8734</v>
      </c>
      <c r="R55">
        <v>0</v>
      </c>
    </row>
    <row r="56" spans="1:18" hidden="1" x14ac:dyDescent="0.25">
      <c r="A56" t="s">
        <v>88</v>
      </c>
      <c r="B56" t="s">
        <v>46</v>
      </c>
      <c r="C56" t="s">
        <v>82</v>
      </c>
      <c r="D56" t="s">
        <v>33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360.7174</v>
      </c>
      <c r="R56">
        <v>0</v>
      </c>
    </row>
    <row r="57" spans="1:18" hidden="1" x14ac:dyDescent="0.25">
      <c r="A57" t="s">
        <v>89</v>
      </c>
      <c r="B57" t="s">
        <v>46</v>
      </c>
      <c r="C57" t="s">
        <v>82</v>
      </c>
      <c r="D57" t="s">
        <v>35</v>
      </c>
      <c r="E57">
        <v>0</v>
      </c>
      <c r="F57">
        <v>0</v>
      </c>
      <c r="G57">
        <v>879.05399999999997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717.41690000000006</v>
      </c>
      <c r="R57">
        <v>0</v>
      </c>
    </row>
    <row r="58" spans="1:18" hidden="1" x14ac:dyDescent="0.25">
      <c r="A58" t="s">
        <v>90</v>
      </c>
      <c r="B58" t="s">
        <v>46</v>
      </c>
      <c r="C58" t="s">
        <v>91</v>
      </c>
      <c r="D58" t="s">
        <v>21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R58">
        <v>0</v>
      </c>
    </row>
    <row r="59" spans="1:18" hidden="1" x14ac:dyDescent="0.25">
      <c r="A59" t="s">
        <v>92</v>
      </c>
      <c r="B59" t="s">
        <v>46</v>
      </c>
      <c r="C59" t="s">
        <v>91</v>
      </c>
      <c r="D59" t="s">
        <v>23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588.15089999999998</v>
      </c>
      <c r="R59">
        <v>0</v>
      </c>
    </row>
    <row r="60" spans="1:18" hidden="1" x14ac:dyDescent="0.25">
      <c r="A60" t="s">
        <v>93</v>
      </c>
      <c r="B60" t="s">
        <v>46</v>
      </c>
      <c r="C60" t="s">
        <v>91</v>
      </c>
      <c r="D60" t="s">
        <v>25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605.92750000000001</v>
      </c>
      <c r="R60">
        <v>0</v>
      </c>
    </row>
    <row r="61" spans="1:18" hidden="1" x14ac:dyDescent="0.25">
      <c r="A61" t="s">
        <v>94</v>
      </c>
      <c r="B61" t="s">
        <v>46</v>
      </c>
      <c r="C61" t="s">
        <v>91</v>
      </c>
      <c r="D61" t="s">
        <v>27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805.61040000000003</v>
      </c>
      <c r="R61">
        <v>0</v>
      </c>
    </row>
    <row r="62" spans="1:18" hidden="1" x14ac:dyDescent="0.25">
      <c r="A62" t="s">
        <v>95</v>
      </c>
      <c r="B62" t="s">
        <v>46</v>
      </c>
      <c r="C62" t="s">
        <v>91</v>
      </c>
      <c r="D62" t="s">
        <v>29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399.45499999999998</v>
      </c>
      <c r="R62">
        <v>0</v>
      </c>
    </row>
    <row r="63" spans="1:18" hidden="1" x14ac:dyDescent="0.25">
      <c r="A63" t="s">
        <v>96</v>
      </c>
      <c r="B63" t="s">
        <v>46</v>
      </c>
      <c r="C63" t="s">
        <v>91</v>
      </c>
      <c r="D63" t="s">
        <v>31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408.30700000000002</v>
      </c>
      <c r="R63">
        <v>0</v>
      </c>
    </row>
    <row r="64" spans="1:18" hidden="1" x14ac:dyDescent="0.25">
      <c r="A64" t="s">
        <v>97</v>
      </c>
      <c r="B64" t="s">
        <v>46</v>
      </c>
      <c r="C64" t="s">
        <v>91</v>
      </c>
      <c r="D64" t="s">
        <v>33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413.9427</v>
      </c>
      <c r="R64">
        <v>0</v>
      </c>
    </row>
    <row r="65" spans="1:18" hidden="1" x14ac:dyDescent="0.25">
      <c r="A65" t="s">
        <v>98</v>
      </c>
      <c r="B65" t="s">
        <v>46</v>
      </c>
      <c r="C65" t="s">
        <v>91</v>
      </c>
      <c r="D65" t="s">
        <v>35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828.43039999999996</v>
      </c>
      <c r="R65">
        <v>0</v>
      </c>
    </row>
    <row r="66" spans="1:18" hidden="1" x14ac:dyDescent="0.25">
      <c r="A66" t="s">
        <v>99</v>
      </c>
      <c r="B66" t="s">
        <v>46</v>
      </c>
      <c r="C66" t="s">
        <v>100</v>
      </c>
      <c r="D66" t="s">
        <v>21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R66">
        <v>0</v>
      </c>
    </row>
    <row r="67" spans="1:18" hidden="1" x14ac:dyDescent="0.25">
      <c r="A67" t="s">
        <v>101</v>
      </c>
      <c r="B67" t="s">
        <v>46</v>
      </c>
      <c r="C67" t="s">
        <v>100</v>
      </c>
      <c r="D67" t="s">
        <v>23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729.11609999999996</v>
      </c>
      <c r="R67">
        <v>0</v>
      </c>
    </row>
    <row r="68" spans="1:18" hidden="1" x14ac:dyDescent="0.25">
      <c r="A68" t="s">
        <v>102</v>
      </c>
      <c r="B68" t="s">
        <v>46</v>
      </c>
      <c r="C68" t="s">
        <v>100</v>
      </c>
      <c r="D68" t="s">
        <v>25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848.53099999999995</v>
      </c>
      <c r="R68">
        <v>0</v>
      </c>
    </row>
    <row r="69" spans="1:18" hidden="1" x14ac:dyDescent="0.25">
      <c r="A69" t="s">
        <v>103</v>
      </c>
      <c r="B69" t="s">
        <v>46</v>
      </c>
      <c r="C69" t="s">
        <v>100</v>
      </c>
      <c r="D69" t="s">
        <v>27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953.19650000000001</v>
      </c>
      <c r="R69">
        <v>0</v>
      </c>
    </row>
    <row r="70" spans="1:18" hidden="1" x14ac:dyDescent="0.25">
      <c r="A70" t="s">
        <v>104</v>
      </c>
      <c r="B70" t="s">
        <v>46</v>
      </c>
      <c r="C70" t="s">
        <v>100</v>
      </c>
      <c r="D70" t="s">
        <v>29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479.27010000000001</v>
      </c>
      <c r="R70">
        <v>0</v>
      </c>
    </row>
    <row r="71" spans="1:18" hidden="1" x14ac:dyDescent="0.25">
      <c r="A71" t="s">
        <v>105</v>
      </c>
      <c r="B71" t="s">
        <v>46</v>
      </c>
      <c r="C71" t="s">
        <v>100</v>
      </c>
      <c r="D71" t="s">
        <v>31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501.98869999999999</v>
      </c>
      <c r="R71">
        <v>0</v>
      </c>
    </row>
    <row r="72" spans="1:18" hidden="1" x14ac:dyDescent="0.25">
      <c r="A72" t="s">
        <v>106</v>
      </c>
      <c r="B72" t="s">
        <v>46</v>
      </c>
      <c r="C72" t="s">
        <v>100</v>
      </c>
      <c r="D72" t="s">
        <v>33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504.55450000000002</v>
      </c>
      <c r="R72">
        <v>0</v>
      </c>
    </row>
    <row r="73" spans="1:18" hidden="1" x14ac:dyDescent="0.25">
      <c r="A73" t="s">
        <v>107</v>
      </c>
      <c r="B73" t="s">
        <v>46</v>
      </c>
      <c r="C73" t="s">
        <v>100</v>
      </c>
      <c r="D73" t="s">
        <v>35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955.91949999999997</v>
      </c>
      <c r="R73">
        <v>0</v>
      </c>
    </row>
    <row r="74" spans="1:18" hidden="1" x14ac:dyDescent="0.25">
      <c r="A74" t="s">
        <v>108</v>
      </c>
      <c r="B74" t="s">
        <v>46</v>
      </c>
      <c r="C74" t="s">
        <v>109</v>
      </c>
      <c r="D74" t="s">
        <v>21</v>
      </c>
      <c r="E74">
        <v>0</v>
      </c>
      <c r="F74">
        <v>0</v>
      </c>
      <c r="G74">
        <v>0</v>
      </c>
      <c r="H74">
        <v>0</v>
      </c>
      <c r="I74">
        <v>0</v>
      </c>
      <c r="J74">
        <v>231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R74">
        <v>0</v>
      </c>
    </row>
    <row r="75" spans="1:18" hidden="1" x14ac:dyDescent="0.25">
      <c r="A75" t="s">
        <v>110</v>
      </c>
      <c r="B75" t="s">
        <v>46</v>
      </c>
      <c r="C75" t="s">
        <v>109</v>
      </c>
      <c r="D75" t="s">
        <v>23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185.398</v>
      </c>
      <c r="R75">
        <v>0</v>
      </c>
    </row>
    <row r="76" spans="1:18" hidden="1" x14ac:dyDescent="0.25">
      <c r="A76" t="s">
        <v>111</v>
      </c>
      <c r="B76" t="s">
        <v>46</v>
      </c>
      <c r="C76" t="s">
        <v>109</v>
      </c>
      <c r="D76" t="s">
        <v>25</v>
      </c>
      <c r="E76">
        <v>0</v>
      </c>
      <c r="F76">
        <v>0</v>
      </c>
      <c r="G76">
        <v>0</v>
      </c>
      <c r="H76">
        <v>0</v>
      </c>
      <c r="I76">
        <v>0</v>
      </c>
      <c r="J76">
        <v>361.9</v>
      </c>
      <c r="K76">
        <v>0</v>
      </c>
      <c r="L76">
        <v>0</v>
      </c>
      <c r="M76">
        <v>0</v>
      </c>
      <c r="N76">
        <v>0</v>
      </c>
      <c r="O76">
        <v>0</v>
      </c>
      <c r="P76">
        <v>218.24549999999999</v>
      </c>
      <c r="R76">
        <v>0</v>
      </c>
    </row>
    <row r="77" spans="1:18" hidden="1" x14ac:dyDescent="0.25">
      <c r="A77" t="s">
        <v>112</v>
      </c>
      <c r="B77" t="s">
        <v>46</v>
      </c>
      <c r="C77" t="s">
        <v>109</v>
      </c>
      <c r="D77" t="s">
        <v>27</v>
      </c>
      <c r="E77">
        <v>0</v>
      </c>
      <c r="F77">
        <v>0</v>
      </c>
      <c r="G77">
        <v>0</v>
      </c>
      <c r="H77">
        <v>0</v>
      </c>
      <c r="I77">
        <v>0</v>
      </c>
      <c r="J77">
        <v>362</v>
      </c>
      <c r="K77">
        <v>0</v>
      </c>
      <c r="L77">
        <v>0</v>
      </c>
      <c r="M77">
        <v>460.90769999999998</v>
      </c>
      <c r="N77">
        <v>0</v>
      </c>
      <c r="O77">
        <v>0</v>
      </c>
      <c r="P77">
        <v>242.01429999999999</v>
      </c>
      <c r="R77">
        <v>0</v>
      </c>
    </row>
    <row r="78" spans="1:18" hidden="1" x14ac:dyDescent="0.25">
      <c r="A78" t="s">
        <v>113</v>
      </c>
      <c r="B78" t="s">
        <v>46</v>
      </c>
      <c r="C78" t="s">
        <v>109</v>
      </c>
      <c r="D78" t="s">
        <v>29</v>
      </c>
      <c r="E78">
        <v>0</v>
      </c>
      <c r="F78">
        <v>0</v>
      </c>
      <c r="G78">
        <v>0</v>
      </c>
      <c r="H78">
        <v>0</v>
      </c>
      <c r="I78">
        <v>0</v>
      </c>
      <c r="J78">
        <v>231</v>
      </c>
      <c r="K78">
        <v>0</v>
      </c>
      <c r="L78">
        <v>0</v>
      </c>
      <c r="M78">
        <v>0</v>
      </c>
      <c r="N78">
        <v>0</v>
      </c>
      <c r="O78">
        <v>0</v>
      </c>
      <c r="P78">
        <v>143.50149999999999</v>
      </c>
      <c r="R78">
        <v>0</v>
      </c>
    </row>
    <row r="79" spans="1:18" hidden="1" x14ac:dyDescent="0.25">
      <c r="A79" t="s">
        <v>114</v>
      </c>
      <c r="B79" t="s">
        <v>46</v>
      </c>
      <c r="C79" t="s">
        <v>109</v>
      </c>
      <c r="D79" t="s">
        <v>31</v>
      </c>
      <c r="E79">
        <v>0</v>
      </c>
      <c r="F79">
        <v>0</v>
      </c>
      <c r="G79">
        <v>0</v>
      </c>
      <c r="H79">
        <v>0</v>
      </c>
      <c r="I79">
        <v>0</v>
      </c>
      <c r="J79">
        <v>242</v>
      </c>
      <c r="K79">
        <v>0</v>
      </c>
      <c r="L79">
        <v>0</v>
      </c>
      <c r="M79">
        <v>0</v>
      </c>
      <c r="N79">
        <v>0</v>
      </c>
      <c r="O79">
        <v>0</v>
      </c>
      <c r="P79">
        <v>123.7346</v>
      </c>
      <c r="R79">
        <v>0</v>
      </c>
    </row>
    <row r="80" spans="1:18" hidden="1" x14ac:dyDescent="0.25">
      <c r="A80" t="s">
        <v>115</v>
      </c>
      <c r="B80" t="s">
        <v>46</v>
      </c>
      <c r="C80" t="s">
        <v>109</v>
      </c>
      <c r="D80" t="s">
        <v>33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125.42749999999999</v>
      </c>
      <c r="R80">
        <v>0</v>
      </c>
    </row>
    <row r="81" spans="1:18" hidden="1" x14ac:dyDescent="0.25">
      <c r="A81" t="s">
        <v>116</v>
      </c>
      <c r="B81" t="s">
        <v>46</v>
      </c>
      <c r="C81" t="s">
        <v>109</v>
      </c>
      <c r="D81" t="s">
        <v>35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495.39269999999999</v>
      </c>
      <c r="N81">
        <v>0</v>
      </c>
      <c r="O81">
        <v>0</v>
      </c>
      <c r="P81">
        <v>283.87479999999999</v>
      </c>
      <c r="R81">
        <v>0</v>
      </c>
    </row>
    <row r="82" spans="1:18" hidden="1" x14ac:dyDescent="0.25">
      <c r="A82" t="s">
        <v>117</v>
      </c>
      <c r="B82" t="s">
        <v>46</v>
      </c>
      <c r="C82" t="s">
        <v>118</v>
      </c>
      <c r="D82" t="s">
        <v>21</v>
      </c>
      <c r="E82">
        <v>171.33600000000001</v>
      </c>
      <c r="F82">
        <v>0</v>
      </c>
      <c r="G82">
        <v>0</v>
      </c>
      <c r="H82">
        <v>0</v>
      </c>
      <c r="I82">
        <v>0</v>
      </c>
      <c r="J82">
        <v>263</v>
      </c>
      <c r="K82">
        <v>0</v>
      </c>
      <c r="L82">
        <v>0</v>
      </c>
      <c r="M82">
        <v>0</v>
      </c>
      <c r="N82">
        <v>195.36</v>
      </c>
      <c r="O82">
        <v>0</v>
      </c>
      <c r="P82">
        <v>0</v>
      </c>
      <c r="R82">
        <v>0</v>
      </c>
    </row>
    <row r="83" spans="1:18" hidden="1" x14ac:dyDescent="0.25">
      <c r="A83" t="s">
        <v>119</v>
      </c>
      <c r="B83" t="s">
        <v>46</v>
      </c>
      <c r="C83" t="s">
        <v>118</v>
      </c>
      <c r="D83" t="s">
        <v>23</v>
      </c>
      <c r="E83">
        <v>273.87799999999999</v>
      </c>
      <c r="F83">
        <v>0</v>
      </c>
      <c r="G83">
        <v>0</v>
      </c>
      <c r="H83">
        <v>0</v>
      </c>
      <c r="I83">
        <v>0</v>
      </c>
      <c r="J83">
        <v>0</v>
      </c>
      <c r="K83">
        <v>520.34159999999997</v>
      </c>
      <c r="L83">
        <v>0</v>
      </c>
      <c r="M83">
        <v>0</v>
      </c>
      <c r="N83">
        <v>323.565</v>
      </c>
      <c r="O83">
        <v>181.5</v>
      </c>
      <c r="P83">
        <v>195.10390000000001</v>
      </c>
      <c r="R83">
        <v>0</v>
      </c>
    </row>
    <row r="84" spans="1:18" hidden="1" x14ac:dyDescent="0.25">
      <c r="A84" t="s">
        <v>120</v>
      </c>
      <c r="B84" t="s">
        <v>46</v>
      </c>
      <c r="C84" t="s">
        <v>118</v>
      </c>
      <c r="D84" t="s">
        <v>25</v>
      </c>
      <c r="E84">
        <v>302.43400000000003</v>
      </c>
      <c r="F84">
        <v>0</v>
      </c>
      <c r="G84">
        <v>0</v>
      </c>
      <c r="H84">
        <v>0</v>
      </c>
      <c r="I84">
        <v>0</v>
      </c>
      <c r="J84">
        <v>394.9</v>
      </c>
      <c r="K84">
        <v>592.90989999999999</v>
      </c>
      <c r="L84">
        <v>0</v>
      </c>
      <c r="M84">
        <v>0</v>
      </c>
      <c r="N84">
        <v>341.88</v>
      </c>
      <c r="O84">
        <v>217.8</v>
      </c>
      <c r="P84">
        <v>227.27430000000001</v>
      </c>
      <c r="R84">
        <v>0</v>
      </c>
    </row>
    <row r="85" spans="1:18" hidden="1" x14ac:dyDescent="0.25">
      <c r="A85" t="s">
        <v>121</v>
      </c>
      <c r="B85" t="s">
        <v>46</v>
      </c>
      <c r="C85" t="s">
        <v>118</v>
      </c>
      <c r="D85" t="s">
        <v>27</v>
      </c>
      <c r="E85">
        <v>330.99</v>
      </c>
      <c r="F85">
        <v>0</v>
      </c>
      <c r="G85">
        <v>0</v>
      </c>
      <c r="H85">
        <v>0</v>
      </c>
      <c r="I85">
        <v>0</v>
      </c>
      <c r="J85">
        <v>395</v>
      </c>
      <c r="K85">
        <v>0</v>
      </c>
      <c r="L85">
        <v>0</v>
      </c>
      <c r="M85">
        <v>359.27100000000002</v>
      </c>
      <c r="N85">
        <v>415.14</v>
      </c>
      <c r="O85">
        <v>242</v>
      </c>
      <c r="P85">
        <v>254.19460000000001</v>
      </c>
      <c r="R85">
        <v>0</v>
      </c>
    </row>
    <row r="86" spans="1:18" hidden="1" x14ac:dyDescent="0.25">
      <c r="A86" t="s">
        <v>122</v>
      </c>
      <c r="B86" t="s">
        <v>46</v>
      </c>
      <c r="C86" t="s">
        <v>118</v>
      </c>
      <c r="D86" t="s">
        <v>29</v>
      </c>
      <c r="E86">
        <v>183.018</v>
      </c>
      <c r="F86">
        <v>0</v>
      </c>
      <c r="G86">
        <v>0</v>
      </c>
      <c r="H86">
        <v>0</v>
      </c>
      <c r="I86">
        <v>0</v>
      </c>
      <c r="J86">
        <v>263</v>
      </c>
      <c r="K86">
        <v>337.5446</v>
      </c>
      <c r="L86">
        <v>0</v>
      </c>
      <c r="M86">
        <v>0</v>
      </c>
      <c r="N86">
        <v>207.57</v>
      </c>
      <c r="O86">
        <v>0</v>
      </c>
      <c r="P86">
        <v>181.17789999999999</v>
      </c>
      <c r="R86">
        <v>0</v>
      </c>
    </row>
    <row r="87" spans="1:18" hidden="1" x14ac:dyDescent="0.25">
      <c r="A87" t="s">
        <v>123</v>
      </c>
      <c r="B87" t="s">
        <v>46</v>
      </c>
      <c r="C87" t="s">
        <v>118</v>
      </c>
      <c r="D87" t="s">
        <v>31</v>
      </c>
      <c r="E87">
        <v>189.50800000000001</v>
      </c>
      <c r="F87">
        <v>0</v>
      </c>
      <c r="G87">
        <v>0</v>
      </c>
      <c r="H87">
        <v>0</v>
      </c>
      <c r="I87">
        <v>0</v>
      </c>
      <c r="J87">
        <v>274</v>
      </c>
      <c r="K87">
        <v>410.70609999999999</v>
      </c>
      <c r="L87">
        <v>0</v>
      </c>
      <c r="M87">
        <v>0</v>
      </c>
      <c r="N87">
        <v>244.2</v>
      </c>
      <c r="O87">
        <v>121</v>
      </c>
      <c r="P87">
        <v>129.3776</v>
      </c>
      <c r="R87">
        <v>0</v>
      </c>
    </row>
    <row r="88" spans="1:18" hidden="1" x14ac:dyDescent="0.25">
      <c r="A88" t="s">
        <v>124</v>
      </c>
      <c r="B88" t="s">
        <v>46</v>
      </c>
      <c r="C88" t="s">
        <v>118</v>
      </c>
      <c r="D88" t="s">
        <v>33</v>
      </c>
      <c r="E88">
        <v>203.786</v>
      </c>
      <c r="F88">
        <v>0</v>
      </c>
      <c r="G88">
        <v>0</v>
      </c>
      <c r="H88">
        <v>0</v>
      </c>
      <c r="I88">
        <v>0</v>
      </c>
      <c r="J88">
        <v>0</v>
      </c>
      <c r="K88">
        <v>431.6155</v>
      </c>
      <c r="L88">
        <v>0</v>
      </c>
      <c r="M88">
        <v>0</v>
      </c>
      <c r="N88">
        <v>268.62</v>
      </c>
      <c r="O88">
        <v>121</v>
      </c>
      <c r="P88">
        <v>131.44669999999999</v>
      </c>
      <c r="R88">
        <v>0</v>
      </c>
    </row>
    <row r="89" spans="1:18" hidden="1" x14ac:dyDescent="0.25">
      <c r="A89" t="s">
        <v>125</v>
      </c>
      <c r="B89" t="s">
        <v>46</v>
      </c>
      <c r="C89" t="s">
        <v>118</v>
      </c>
      <c r="D89" t="s">
        <v>35</v>
      </c>
      <c r="E89">
        <v>429.63799999999998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394.5711</v>
      </c>
      <c r="N89">
        <v>427.35</v>
      </c>
      <c r="O89">
        <v>278.3</v>
      </c>
      <c r="P89">
        <v>296.93939999999998</v>
      </c>
      <c r="R89">
        <v>0</v>
      </c>
    </row>
    <row r="90" spans="1:18" hidden="1" x14ac:dyDescent="0.25">
      <c r="A90" t="s">
        <v>126</v>
      </c>
      <c r="B90" t="s">
        <v>46</v>
      </c>
      <c r="C90" t="s">
        <v>127</v>
      </c>
      <c r="D90" t="s">
        <v>21</v>
      </c>
      <c r="E90">
        <v>0</v>
      </c>
      <c r="F90">
        <v>0</v>
      </c>
      <c r="G90">
        <v>0</v>
      </c>
      <c r="H90">
        <v>0</v>
      </c>
      <c r="I90">
        <v>0</v>
      </c>
      <c r="J90">
        <v>201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R90">
        <v>0</v>
      </c>
    </row>
    <row r="91" spans="1:18" hidden="1" x14ac:dyDescent="0.25">
      <c r="A91" t="s">
        <v>128</v>
      </c>
      <c r="B91" t="s">
        <v>46</v>
      </c>
      <c r="C91" t="s">
        <v>127</v>
      </c>
      <c r="D91" t="s">
        <v>23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184.0231</v>
      </c>
      <c r="R91">
        <v>0</v>
      </c>
    </row>
    <row r="92" spans="1:18" hidden="1" x14ac:dyDescent="0.25">
      <c r="A92" t="s">
        <v>129</v>
      </c>
      <c r="B92" t="s">
        <v>46</v>
      </c>
      <c r="C92" t="s">
        <v>127</v>
      </c>
      <c r="D92" t="s">
        <v>25</v>
      </c>
      <c r="E92">
        <v>0</v>
      </c>
      <c r="F92">
        <v>0</v>
      </c>
      <c r="G92">
        <v>231.99</v>
      </c>
      <c r="H92">
        <v>0</v>
      </c>
      <c r="I92">
        <v>0</v>
      </c>
      <c r="J92">
        <v>339.9</v>
      </c>
      <c r="K92">
        <v>0</v>
      </c>
      <c r="L92">
        <v>0</v>
      </c>
      <c r="M92">
        <v>0</v>
      </c>
      <c r="N92">
        <v>0</v>
      </c>
      <c r="O92">
        <v>0</v>
      </c>
      <c r="P92">
        <v>204.95160000000001</v>
      </c>
      <c r="R92">
        <v>0</v>
      </c>
    </row>
    <row r="93" spans="1:18" hidden="1" x14ac:dyDescent="0.25">
      <c r="A93" t="s">
        <v>130</v>
      </c>
      <c r="B93" t="s">
        <v>46</v>
      </c>
      <c r="C93" t="s">
        <v>127</v>
      </c>
      <c r="D93" t="s">
        <v>27</v>
      </c>
      <c r="E93">
        <v>0</v>
      </c>
      <c r="F93">
        <v>0</v>
      </c>
      <c r="G93">
        <v>342.34199999999998</v>
      </c>
      <c r="H93">
        <v>0</v>
      </c>
      <c r="I93">
        <v>0</v>
      </c>
      <c r="J93">
        <v>340</v>
      </c>
      <c r="K93">
        <v>0</v>
      </c>
      <c r="L93">
        <v>0</v>
      </c>
      <c r="M93">
        <v>457.77269999999999</v>
      </c>
      <c r="N93">
        <v>0</v>
      </c>
      <c r="O93">
        <v>0</v>
      </c>
      <c r="P93">
        <v>253.73920000000001</v>
      </c>
      <c r="R93">
        <v>0</v>
      </c>
    </row>
    <row r="94" spans="1:18" hidden="1" x14ac:dyDescent="0.25">
      <c r="A94" t="s">
        <v>131</v>
      </c>
      <c r="B94" t="s">
        <v>46</v>
      </c>
      <c r="C94" t="s">
        <v>127</v>
      </c>
      <c r="D94" t="s">
        <v>29</v>
      </c>
      <c r="E94">
        <v>0</v>
      </c>
      <c r="F94">
        <v>0</v>
      </c>
      <c r="G94">
        <v>0</v>
      </c>
      <c r="H94">
        <v>0</v>
      </c>
      <c r="I94">
        <v>0</v>
      </c>
      <c r="J94">
        <v>201</v>
      </c>
      <c r="K94">
        <v>0</v>
      </c>
      <c r="L94">
        <v>0</v>
      </c>
      <c r="M94">
        <v>0</v>
      </c>
      <c r="N94">
        <v>0</v>
      </c>
      <c r="O94">
        <v>0</v>
      </c>
      <c r="P94">
        <v>177.06479999999999</v>
      </c>
      <c r="R94">
        <v>0</v>
      </c>
    </row>
    <row r="95" spans="1:18" hidden="1" x14ac:dyDescent="0.25">
      <c r="A95" t="s">
        <v>132</v>
      </c>
      <c r="B95" t="s">
        <v>46</v>
      </c>
      <c r="C95" t="s">
        <v>127</v>
      </c>
      <c r="D95" t="s">
        <v>31</v>
      </c>
      <c r="E95">
        <v>0</v>
      </c>
      <c r="F95">
        <v>0</v>
      </c>
      <c r="G95">
        <v>0</v>
      </c>
      <c r="H95">
        <v>0</v>
      </c>
      <c r="I95">
        <v>0</v>
      </c>
      <c r="J95">
        <v>212</v>
      </c>
      <c r="K95">
        <v>0</v>
      </c>
      <c r="L95">
        <v>0</v>
      </c>
      <c r="M95">
        <v>0</v>
      </c>
      <c r="N95">
        <v>0</v>
      </c>
      <c r="O95">
        <v>0</v>
      </c>
      <c r="P95">
        <v>130.13</v>
      </c>
      <c r="R95">
        <v>0</v>
      </c>
    </row>
    <row r="96" spans="1:18" hidden="1" x14ac:dyDescent="0.25">
      <c r="A96" t="s">
        <v>133</v>
      </c>
      <c r="B96" t="s">
        <v>46</v>
      </c>
      <c r="C96" t="s">
        <v>127</v>
      </c>
      <c r="D96" t="s">
        <v>33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130.6943</v>
      </c>
      <c r="R96">
        <v>0</v>
      </c>
    </row>
    <row r="97" spans="1:18" hidden="1" x14ac:dyDescent="0.25">
      <c r="A97" t="s">
        <v>134</v>
      </c>
      <c r="B97" t="s">
        <v>46</v>
      </c>
      <c r="C97" t="s">
        <v>127</v>
      </c>
      <c r="D97" t="s">
        <v>35</v>
      </c>
      <c r="E97">
        <v>0</v>
      </c>
      <c r="F97">
        <v>0</v>
      </c>
      <c r="G97">
        <v>351.12</v>
      </c>
      <c r="H97">
        <v>0</v>
      </c>
      <c r="I97">
        <v>0</v>
      </c>
      <c r="J97">
        <v>0</v>
      </c>
      <c r="K97">
        <v>0</v>
      </c>
      <c r="L97">
        <v>0</v>
      </c>
      <c r="M97">
        <v>493.51170000000002</v>
      </c>
      <c r="N97">
        <v>0</v>
      </c>
      <c r="O97">
        <v>0</v>
      </c>
      <c r="P97">
        <v>283.2346</v>
      </c>
      <c r="R97">
        <v>0</v>
      </c>
    </row>
    <row r="98" spans="1:18" hidden="1" x14ac:dyDescent="0.25">
      <c r="A98" t="s">
        <v>135</v>
      </c>
      <c r="B98" t="s">
        <v>46</v>
      </c>
      <c r="C98" t="s">
        <v>136</v>
      </c>
      <c r="D98" t="s">
        <v>21</v>
      </c>
      <c r="E98">
        <v>108.669</v>
      </c>
      <c r="F98">
        <v>0</v>
      </c>
      <c r="G98">
        <v>0</v>
      </c>
      <c r="H98">
        <v>0</v>
      </c>
      <c r="I98">
        <v>0</v>
      </c>
      <c r="J98">
        <v>201</v>
      </c>
      <c r="K98">
        <v>0</v>
      </c>
      <c r="L98">
        <v>0</v>
      </c>
      <c r="M98">
        <v>0</v>
      </c>
      <c r="N98">
        <v>170.94</v>
      </c>
      <c r="O98">
        <v>0</v>
      </c>
      <c r="P98">
        <v>0</v>
      </c>
      <c r="R98">
        <v>0</v>
      </c>
    </row>
    <row r="99" spans="1:18" hidden="1" x14ac:dyDescent="0.25">
      <c r="A99" t="s">
        <v>137</v>
      </c>
      <c r="B99" t="s">
        <v>46</v>
      </c>
      <c r="C99" t="s">
        <v>136</v>
      </c>
      <c r="D99" t="s">
        <v>23</v>
      </c>
      <c r="E99">
        <v>173.38200000000001</v>
      </c>
      <c r="F99">
        <v>0</v>
      </c>
      <c r="G99">
        <v>0</v>
      </c>
      <c r="H99">
        <v>0</v>
      </c>
      <c r="I99">
        <v>0</v>
      </c>
      <c r="J99">
        <v>0</v>
      </c>
      <c r="K99">
        <v>295.3125</v>
      </c>
      <c r="L99">
        <v>0</v>
      </c>
      <c r="M99">
        <v>0</v>
      </c>
      <c r="N99">
        <v>299.14499999999998</v>
      </c>
      <c r="O99">
        <v>181.5</v>
      </c>
      <c r="P99">
        <v>178.33529999999999</v>
      </c>
      <c r="R99">
        <v>0</v>
      </c>
    </row>
    <row r="100" spans="1:18" hidden="1" x14ac:dyDescent="0.25">
      <c r="A100" t="s">
        <v>138</v>
      </c>
      <c r="B100" t="s">
        <v>46</v>
      </c>
      <c r="C100" t="s">
        <v>136</v>
      </c>
      <c r="D100" t="s">
        <v>25</v>
      </c>
      <c r="E100">
        <v>191.697</v>
      </c>
      <c r="F100">
        <v>0</v>
      </c>
      <c r="G100">
        <v>250.8</v>
      </c>
      <c r="H100">
        <v>0</v>
      </c>
      <c r="I100">
        <v>0</v>
      </c>
      <c r="J100">
        <v>339.9</v>
      </c>
      <c r="K100">
        <v>322.875</v>
      </c>
      <c r="L100">
        <v>0</v>
      </c>
      <c r="M100">
        <v>0</v>
      </c>
      <c r="N100">
        <v>317.45999999999998</v>
      </c>
      <c r="O100">
        <v>217.8</v>
      </c>
      <c r="P100">
        <v>197.61670000000001</v>
      </c>
      <c r="R100">
        <v>0</v>
      </c>
    </row>
    <row r="101" spans="1:18" hidden="1" x14ac:dyDescent="0.25">
      <c r="A101" t="s">
        <v>139</v>
      </c>
      <c r="B101" t="s">
        <v>46</v>
      </c>
      <c r="C101" t="s">
        <v>136</v>
      </c>
      <c r="D101" t="s">
        <v>27</v>
      </c>
      <c r="E101">
        <v>208.791</v>
      </c>
      <c r="F101">
        <v>0</v>
      </c>
      <c r="G101">
        <v>363.66</v>
      </c>
      <c r="H101">
        <v>0</v>
      </c>
      <c r="I101">
        <v>0</v>
      </c>
      <c r="J101">
        <v>340</v>
      </c>
      <c r="K101">
        <v>0</v>
      </c>
      <c r="L101">
        <v>0</v>
      </c>
      <c r="M101">
        <v>462.1617</v>
      </c>
      <c r="N101">
        <v>390.72</v>
      </c>
      <c r="O101">
        <v>242</v>
      </c>
      <c r="P101">
        <v>218.2389</v>
      </c>
      <c r="R101">
        <v>0</v>
      </c>
    </row>
    <row r="102" spans="1:18" hidden="1" x14ac:dyDescent="0.25">
      <c r="A102" t="s">
        <v>140</v>
      </c>
      <c r="B102" t="s">
        <v>46</v>
      </c>
      <c r="C102" t="s">
        <v>136</v>
      </c>
      <c r="D102" t="s">
        <v>29</v>
      </c>
      <c r="E102">
        <v>115.995</v>
      </c>
      <c r="F102">
        <v>0</v>
      </c>
      <c r="G102">
        <v>0</v>
      </c>
      <c r="H102">
        <v>0</v>
      </c>
      <c r="I102">
        <v>0</v>
      </c>
      <c r="J102">
        <v>201</v>
      </c>
      <c r="K102">
        <v>212.625</v>
      </c>
      <c r="L102">
        <v>0</v>
      </c>
      <c r="M102">
        <v>0</v>
      </c>
      <c r="N102">
        <v>183.15</v>
      </c>
      <c r="O102">
        <v>0</v>
      </c>
      <c r="P102">
        <v>127.4064</v>
      </c>
      <c r="R102">
        <v>0</v>
      </c>
    </row>
    <row r="103" spans="1:18" hidden="1" x14ac:dyDescent="0.25">
      <c r="A103" t="s">
        <v>141</v>
      </c>
      <c r="B103" t="s">
        <v>46</v>
      </c>
      <c r="C103" t="s">
        <v>136</v>
      </c>
      <c r="D103" t="s">
        <v>31</v>
      </c>
      <c r="E103">
        <v>119.658</v>
      </c>
      <c r="F103">
        <v>0</v>
      </c>
      <c r="G103">
        <v>0</v>
      </c>
      <c r="H103">
        <v>0</v>
      </c>
      <c r="I103">
        <v>0</v>
      </c>
      <c r="J103">
        <v>212</v>
      </c>
      <c r="K103">
        <v>236.25</v>
      </c>
      <c r="L103">
        <v>0</v>
      </c>
      <c r="M103">
        <v>0</v>
      </c>
      <c r="N103">
        <v>219.78</v>
      </c>
      <c r="O103">
        <v>121</v>
      </c>
      <c r="P103">
        <v>120.3488</v>
      </c>
      <c r="R103">
        <v>0</v>
      </c>
    </row>
    <row r="104" spans="1:18" hidden="1" x14ac:dyDescent="0.25">
      <c r="A104" t="s">
        <v>142</v>
      </c>
      <c r="B104" t="s">
        <v>46</v>
      </c>
      <c r="C104" t="s">
        <v>136</v>
      </c>
      <c r="D104" t="s">
        <v>33</v>
      </c>
      <c r="E104">
        <v>129.42599999999999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253.96879999999999</v>
      </c>
      <c r="L104">
        <v>0</v>
      </c>
      <c r="M104">
        <v>0</v>
      </c>
      <c r="N104">
        <v>244.2</v>
      </c>
      <c r="O104">
        <v>121</v>
      </c>
      <c r="P104">
        <v>121.8536</v>
      </c>
      <c r="R104">
        <v>0</v>
      </c>
    </row>
    <row r="105" spans="1:18" hidden="1" x14ac:dyDescent="0.25">
      <c r="A105" t="s">
        <v>143</v>
      </c>
      <c r="B105" t="s">
        <v>46</v>
      </c>
      <c r="C105" t="s">
        <v>136</v>
      </c>
      <c r="D105" t="s">
        <v>35</v>
      </c>
      <c r="E105">
        <v>272.28300000000002</v>
      </c>
      <c r="F105">
        <v>0</v>
      </c>
      <c r="G105">
        <v>376.2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491.00369999999998</v>
      </c>
      <c r="N105">
        <v>402.93</v>
      </c>
      <c r="O105">
        <v>278.3</v>
      </c>
      <c r="P105">
        <v>276.35079999999999</v>
      </c>
      <c r="R105">
        <v>0</v>
      </c>
    </row>
    <row r="106" spans="1:18" hidden="1" x14ac:dyDescent="0.25">
      <c r="A106" t="s">
        <v>144</v>
      </c>
      <c r="B106" t="s">
        <v>46</v>
      </c>
      <c r="C106" t="s">
        <v>145</v>
      </c>
      <c r="D106" t="s">
        <v>21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R106">
        <v>0</v>
      </c>
    </row>
    <row r="107" spans="1:18" hidden="1" x14ac:dyDescent="0.25">
      <c r="A107" t="s">
        <v>146</v>
      </c>
      <c r="B107" t="s">
        <v>46</v>
      </c>
      <c r="C107" t="s">
        <v>145</v>
      </c>
      <c r="D107" t="s">
        <v>23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747.42380000000003</v>
      </c>
      <c r="R107">
        <v>0</v>
      </c>
    </row>
    <row r="108" spans="1:18" hidden="1" x14ac:dyDescent="0.25">
      <c r="A108" t="s">
        <v>147</v>
      </c>
      <c r="B108" t="s">
        <v>46</v>
      </c>
      <c r="C108" t="s">
        <v>145</v>
      </c>
      <c r="D108" t="s">
        <v>25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863.49249999999995</v>
      </c>
      <c r="R108">
        <v>0</v>
      </c>
    </row>
    <row r="109" spans="1:18" hidden="1" x14ac:dyDescent="0.25">
      <c r="A109" t="s">
        <v>148</v>
      </c>
      <c r="B109" t="s">
        <v>46</v>
      </c>
      <c r="C109" t="s">
        <v>145</v>
      </c>
      <c r="D109" t="s">
        <v>27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955.50530000000003</v>
      </c>
      <c r="R109">
        <v>0</v>
      </c>
    </row>
    <row r="110" spans="1:18" hidden="1" x14ac:dyDescent="0.25">
      <c r="A110" t="s">
        <v>149</v>
      </c>
      <c r="B110" t="s">
        <v>46</v>
      </c>
      <c r="C110" t="s">
        <v>145</v>
      </c>
      <c r="D110" t="s">
        <v>29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493.73649999999998</v>
      </c>
      <c r="R110">
        <v>0</v>
      </c>
    </row>
    <row r="111" spans="1:18" hidden="1" x14ac:dyDescent="0.25">
      <c r="A111" t="s">
        <v>150</v>
      </c>
      <c r="B111" t="s">
        <v>46</v>
      </c>
      <c r="C111" t="s">
        <v>145</v>
      </c>
      <c r="D111" t="s">
        <v>31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515.12199999999996</v>
      </c>
      <c r="R111">
        <v>0</v>
      </c>
    </row>
    <row r="112" spans="1:18" hidden="1" x14ac:dyDescent="0.25">
      <c r="A112" t="s">
        <v>151</v>
      </c>
      <c r="B112" t="s">
        <v>46</v>
      </c>
      <c r="C112" t="s">
        <v>145</v>
      </c>
      <c r="D112" t="s">
        <v>33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516.90509999999995</v>
      </c>
      <c r="R112">
        <v>0</v>
      </c>
    </row>
    <row r="113" spans="1:18" hidden="1" x14ac:dyDescent="0.25">
      <c r="A113" t="s">
        <v>152</v>
      </c>
      <c r="B113" t="s">
        <v>46</v>
      </c>
      <c r="C113" t="s">
        <v>145</v>
      </c>
      <c r="D113" t="s">
        <v>35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958.30029999999999</v>
      </c>
      <c r="R113">
        <v>0</v>
      </c>
    </row>
    <row r="114" spans="1:18" hidden="1" x14ac:dyDescent="0.25">
      <c r="A114" t="s">
        <v>153</v>
      </c>
      <c r="B114" t="s">
        <v>46</v>
      </c>
      <c r="C114" t="s">
        <v>154</v>
      </c>
      <c r="D114" t="s">
        <v>21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R114">
        <v>0</v>
      </c>
    </row>
    <row r="115" spans="1:18" hidden="1" x14ac:dyDescent="0.25">
      <c r="A115" t="s">
        <v>155</v>
      </c>
      <c r="B115" t="s">
        <v>46</v>
      </c>
      <c r="C115" t="s">
        <v>154</v>
      </c>
      <c r="D115" t="s">
        <v>23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213.68719999999999</v>
      </c>
      <c r="R115">
        <v>0</v>
      </c>
    </row>
    <row r="116" spans="1:18" hidden="1" x14ac:dyDescent="0.25">
      <c r="A116" t="s">
        <v>156</v>
      </c>
      <c r="B116" t="s">
        <v>46</v>
      </c>
      <c r="C116" t="s">
        <v>154</v>
      </c>
      <c r="D116" t="s">
        <v>25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243.1446</v>
      </c>
      <c r="R116">
        <v>0</v>
      </c>
    </row>
    <row r="117" spans="1:18" hidden="1" x14ac:dyDescent="0.25">
      <c r="A117" t="s">
        <v>157</v>
      </c>
      <c r="B117" t="s">
        <v>46</v>
      </c>
      <c r="C117" t="s">
        <v>154</v>
      </c>
      <c r="D117" t="s">
        <v>27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322.90499999999997</v>
      </c>
      <c r="N117">
        <v>0</v>
      </c>
      <c r="O117">
        <v>0</v>
      </c>
      <c r="P117">
        <v>277.51459999999997</v>
      </c>
      <c r="R117">
        <v>0</v>
      </c>
    </row>
    <row r="118" spans="1:18" hidden="1" x14ac:dyDescent="0.25">
      <c r="A118" t="s">
        <v>158</v>
      </c>
      <c r="B118" t="s">
        <v>46</v>
      </c>
      <c r="C118" t="s">
        <v>154</v>
      </c>
      <c r="D118" t="s">
        <v>29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225.13059999999999</v>
      </c>
      <c r="R118">
        <v>0</v>
      </c>
    </row>
    <row r="119" spans="1:18" hidden="1" x14ac:dyDescent="0.25">
      <c r="A119" t="s">
        <v>159</v>
      </c>
      <c r="B119" t="s">
        <v>46</v>
      </c>
      <c r="C119" t="s">
        <v>154</v>
      </c>
      <c r="D119" t="s">
        <v>31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146.27029999999999</v>
      </c>
      <c r="R119">
        <v>0</v>
      </c>
    </row>
    <row r="120" spans="1:18" hidden="1" x14ac:dyDescent="0.25">
      <c r="A120" t="s">
        <v>160</v>
      </c>
      <c r="B120" t="s">
        <v>46</v>
      </c>
      <c r="C120" t="s">
        <v>154</v>
      </c>
      <c r="D120" t="s">
        <v>33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148.37700000000001</v>
      </c>
      <c r="R120">
        <v>0</v>
      </c>
    </row>
    <row r="121" spans="1:18" hidden="1" x14ac:dyDescent="0.25">
      <c r="A121" t="s">
        <v>161</v>
      </c>
      <c r="B121" t="s">
        <v>46</v>
      </c>
      <c r="C121" t="s">
        <v>154</v>
      </c>
      <c r="D121" t="s">
        <v>35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343.596</v>
      </c>
      <c r="N121">
        <v>0</v>
      </c>
      <c r="O121">
        <v>0</v>
      </c>
      <c r="P121">
        <v>287.77690000000001</v>
      </c>
      <c r="R121">
        <v>0</v>
      </c>
    </row>
    <row r="122" spans="1:18" hidden="1" x14ac:dyDescent="0.25">
      <c r="A122" t="s">
        <v>162</v>
      </c>
      <c r="B122" t="s">
        <v>46</v>
      </c>
      <c r="C122" t="s">
        <v>163</v>
      </c>
      <c r="D122" t="s">
        <v>21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R122">
        <v>0</v>
      </c>
    </row>
    <row r="123" spans="1:18" hidden="1" x14ac:dyDescent="0.25">
      <c r="A123" t="s">
        <v>164</v>
      </c>
      <c r="B123" t="s">
        <v>46</v>
      </c>
      <c r="C123" t="s">
        <v>163</v>
      </c>
      <c r="D123" t="s">
        <v>23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757.93539999999996</v>
      </c>
      <c r="R123">
        <v>0</v>
      </c>
    </row>
    <row r="124" spans="1:18" hidden="1" x14ac:dyDescent="0.25">
      <c r="A124" t="s">
        <v>165</v>
      </c>
      <c r="B124" t="s">
        <v>46</v>
      </c>
      <c r="C124" t="s">
        <v>163</v>
      </c>
      <c r="D124" t="s">
        <v>25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896.0598</v>
      </c>
      <c r="R124">
        <v>0</v>
      </c>
    </row>
    <row r="125" spans="1:18" hidden="1" x14ac:dyDescent="0.25">
      <c r="A125" t="s">
        <v>166</v>
      </c>
      <c r="B125" t="s">
        <v>46</v>
      </c>
      <c r="C125" t="s">
        <v>163</v>
      </c>
      <c r="D125" t="s">
        <v>27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992.72490000000005</v>
      </c>
      <c r="R125">
        <v>0</v>
      </c>
    </row>
    <row r="126" spans="1:18" hidden="1" x14ac:dyDescent="0.25">
      <c r="A126" t="s">
        <v>167</v>
      </c>
      <c r="B126" t="s">
        <v>46</v>
      </c>
      <c r="C126" t="s">
        <v>163</v>
      </c>
      <c r="D126" t="s">
        <v>29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578.82449999999994</v>
      </c>
      <c r="R126">
        <v>0</v>
      </c>
    </row>
    <row r="127" spans="1:18" hidden="1" x14ac:dyDescent="0.25">
      <c r="A127" t="s">
        <v>168</v>
      </c>
      <c r="B127" t="s">
        <v>46</v>
      </c>
      <c r="C127" t="s">
        <v>163</v>
      </c>
      <c r="D127" t="s">
        <v>31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654.44939999999997</v>
      </c>
      <c r="R127">
        <v>0</v>
      </c>
    </row>
    <row r="128" spans="1:18" hidden="1" x14ac:dyDescent="0.25">
      <c r="A128" t="s">
        <v>169</v>
      </c>
      <c r="B128" t="s">
        <v>46</v>
      </c>
      <c r="C128" t="s">
        <v>163</v>
      </c>
      <c r="D128" t="s">
        <v>33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668.48270000000002</v>
      </c>
      <c r="R128">
        <v>0</v>
      </c>
    </row>
    <row r="129" spans="1:18" hidden="1" x14ac:dyDescent="0.25">
      <c r="A129" t="s">
        <v>170</v>
      </c>
      <c r="B129" t="s">
        <v>46</v>
      </c>
      <c r="C129" t="s">
        <v>163</v>
      </c>
      <c r="D129" t="s">
        <v>35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996.68309999999997</v>
      </c>
      <c r="R129">
        <v>0</v>
      </c>
    </row>
    <row r="130" spans="1:18" hidden="1" x14ac:dyDescent="0.25">
      <c r="A130" t="s">
        <v>171</v>
      </c>
      <c r="B130" t="s">
        <v>46</v>
      </c>
      <c r="C130" t="s">
        <v>172</v>
      </c>
      <c r="D130" t="s">
        <v>21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R130">
        <v>0</v>
      </c>
    </row>
    <row r="131" spans="1:18" hidden="1" x14ac:dyDescent="0.25">
      <c r="A131" t="s">
        <v>173</v>
      </c>
      <c r="B131" t="s">
        <v>46</v>
      </c>
      <c r="C131" t="s">
        <v>172</v>
      </c>
      <c r="D131" t="s">
        <v>23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757.94960000000003</v>
      </c>
      <c r="R131">
        <v>0</v>
      </c>
    </row>
    <row r="132" spans="1:18" hidden="1" x14ac:dyDescent="0.25">
      <c r="A132" t="s">
        <v>174</v>
      </c>
      <c r="B132" t="s">
        <v>46</v>
      </c>
      <c r="C132" t="s">
        <v>172</v>
      </c>
      <c r="D132" t="s">
        <v>25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864.52639999999997</v>
      </c>
      <c r="R132">
        <v>0</v>
      </c>
    </row>
    <row r="133" spans="1:18" hidden="1" x14ac:dyDescent="0.25">
      <c r="A133" t="s">
        <v>175</v>
      </c>
      <c r="B133" t="s">
        <v>46</v>
      </c>
      <c r="C133" t="s">
        <v>172</v>
      </c>
      <c r="D133" t="s">
        <v>27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956.68679999999995</v>
      </c>
      <c r="R133">
        <v>0</v>
      </c>
    </row>
    <row r="134" spans="1:18" hidden="1" x14ac:dyDescent="0.25">
      <c r="A134" t="s">
        <v>176</v>
      </c>
      <c r="B134" t="s">
        <v>46</v>
      </c>
      <c r="C134" t="s">
        <v>172</v>
      </c>
      <c r="D134" t="s">
        <v>29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506.05709999999999</v>
      </c>
      <c r="R134">
        <v>0</v>
      </c>
    </row>
    <row r="135" spans="1:18" hidden="1" x14ac:dyDescent="0.25">
      <c r="A135" t="s">
        <v>177</v>
      </c>
      <c r="B135" t="s">
        <v>46</v>
      </c>
      <c r="C135" t="s">
        <v>172</v>
      </c>
      <c r="D135" t="s">
        <v>31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522.07669999999996</v>
      </c>
      <c r="R135">
        <v>0</v>
      </c>
    </row>
    <row r="136" spans="1:18" hidden="1" x14ac:dyDescent="0.25">
      <c r="A136" t="s">
        <v>178</v>
      </c>
      <c r="B136" t="s">
        <v>46</v>
      </c>
      <c r="C136" t="s">
        <v>172</v>
      </c>
      <c r="D136" t="s">
        <v>33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524.12580000000003</v>
      </c>
      <c r="R136">
        <v>0</v>
      </c>
    </row>
    <row r="137" spans="1:18" hidden="1" x14ac:dyDescent="0.25">
      <c r="A137" t="s">
        <v>179</v>
      </c>
      <c r="B137" t="s">
        <v>46</v>
      </c>
      <c r="C137" t="s">
        <v>172</v>
      </c>
      <c r="D137" t="s">
        <v>35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959.51880000000006</v>
      </c>
      <c r="R137">
        <v>0</v>
      </c>
    </row>
    <row r="138" spans="1:18" hidden="1" x14ac:dyDescent="0.25">
      <c r="A138" t="s">
        <v>180</v>
      </c>
      <c r="B138" t="s">
        <v>46</v>
      </c>
      <c r="C138" t="s">
        <v>181</v>
      </c>
      <c r="D138" t="s">
        <v>21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R138">
        <v>0</v>
      </c>
    </row>
    <row r="139" spans="1:18" hidden="1" x14ac:dyDescent="0.25">
      <c r="A139" t="s">
        <v>182</v>
      </c>
      <c r="B139" t="s">
        <v>46</v>
      </c>
      <c r="C139" t="s">
        <v>181</v>
      </c>
      <c r="D139" t="s">
        <v>23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454.01130000000001</v>
      </c>
      <c r="R139">
        <v>0</v>
      </c>
    </row>
    <row r="140" spans="1:18" hidden="1" x14ac:dyDescent="0.25">
      <c r="A140" t="s">
        <v>183</v>
      </c>
      <c r="B140" t="s">
        <v>46</v>
      </c>
      <c r="C140" t="s">
        <v>181</v>
      </c>
      <c r="D140" t="s">
        <v>25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526.04349999999999</v>
      </c>
      <c r="R140">
        <v>0</v>
      </c>
    </row>
    <row r="141" spans="1:18" hidden="1" x14ac:dyDescent="0.25">
      <c r="A141" t="s">
        <v>184</v>
      </c>
      <c r="B141" t="s">
        <v>46</v>
      </c>
      <c r="C141" t="s">
        <v>181</v>
      </c>
      <c r="D141" t="s">
        <v>27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346.43470000000002</v>
      </c>
      <c r="R141">
        <v>0</v>
      </c>
    </row>
    <row r="142" spans="1:18" hidden="1" x14ac:dyDescent="0.25">
      <c r="A142" t="s">
        <v>185</v>
      </c>
      <c r="B142" t="s">
        <v>46</v>
      </c>
      <c r="C142" t="s">
        <v>181</v>
      </c>
      <c r="D142" t="s">
        <v>29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363.10109999999997</v>
      </c>
      <c r="R142">
        <v>0</v>
      </c>
    </row>
    <row r="143" spans="1:18" hidden="1" x14ac:dyDescent="0.25">
      <c r="A143" t="s">
        <v>186</v>
      </c>
      <c r="B143" t="s">
        <v>46</v>
      </c>
      <c r="C143" t="s">
        <v>181</v>
      </c>
      <c r="D143" t="s">
        <v>31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314.12049999999999</v>
      </c>
      <c r="R143">
        <v>0</v>
      </c>
    </row>
    <row r="144" spans="1:18" hidden="1" x14ac:dyDescent="0.25">
      <c r="A144" t="s">
        <v>187</v>
      </c>
      <c r="B144" t="s">
        <v>46</v>
      </c>
      <c r="C144" t="s">
        <v>181</v>
      </c>
      <c r="D144" t="s">
        <v>33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318.6936</v>
      </c>
      <c r="R144">
        <v>0</v>
      </c>
    </row>
    <row r="145" spans="1:18" hidden="1" x14ac:dyDescent="0.25">
      <c r="A145" t="s">
        <v>188</v>
      </c>
      <c r="B145" t="s">
        <v>46</v>
      </c>
      <c r="C145" t="s">
        <v>181</v>
      </c>
      <c r="D145" t="s">
        <v>35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359.70920000000001</v>
      </c>
      <c r="R145">
        <v>0</v>
      </c>
    </row>
    <row r="146" spans="1:18" hidden="1" x14ac:dyDescent="0.25">
      <c r="A146" t="s">
        <v>189</v>
      </c>
      <c r="B146" t="s">
        <v>46</v>
      </c>
      <c r="C146" t="s">
        <v>190</v>
      </c>
      <c r="D146" t="s">
        <v>21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R146">
        <v>0</v>
      </c>
    </row>
    <row r="147" spans="1:18" hidden="1" x14ac:dyDescent="0.25">
      <c r="A147" t="s">
        <v>191</v>
      </c>
      <c r="B147" t="s">
        <v>46</v>
      </c>
      <c r="C147" t="s">
        <v>190</v>
      </c>
      <c r="D147" t="s">
        <v>23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559.29560000000004</v>
      </c>
      <c r="R147">
        <v>0</v>
      </c>
    </row>
    <row r="148" spans="1:18" hidden="1" x14ac:dyDescent="0.25">
      <c r="A148" t="s">
        <v>192</v>
      </c>
      <c r="B148" t="s">
        <v>46</v>
      </c>
      <c r="C148" t="s">
        <v>190</v>
      </c>
      <c r="D148" t="s">
        <v>25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601.33699999999999</v>
      </c>
      <c r="R148">
        <v>0</v>
      </c>
    </row>
    <row r="149" spans="1:18" hidden="1" x14ac:dyDescent="0.25">
      <c r="A149" t="s">
        <v>193</v>
      </c>
      <c r="B149" t="s">
        <v>46</v>
      </c>
      <c r="C149" t="s">
        <v>190</v>
      </c>
      <c r="D149" t="s">
        <v>27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746.85400000000004</v>
      </c>
      <c r="R149">
        <v>0</v>
      </c>
    </row>
    <row r="150" spans="1:18" hidden="1" x14ac:dyDescent="0.25">
      <c r="A150" t="s">
        <v>194</v>
      </c>
      <c r="B150" t="s">
        <v>46</v>
      </c>
      <c r="C150" t="s">
        <v>190</v>
      </c>
      <c r="D150" t="s">
        <v>29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395.46100000000001</v>
      </c>
      <c r="R150">
        <v>0</v>
      </c>
    </row>
    <row r="151" spans="1:18" hidden="1" x14ac:dyDescent="0.25">
      <c r="A151" t="s">
        <v>195</v>
      </c>
      <c r="B151" t="s">
        <v>46</v>
      </c>
      <c r="C151" t="s">
        <v>190</v>
      </c>
      <c r="D151" t="s">
        <v>31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382.60599999999999</v>
      </c>
      <c r="R151">
        <v>0</v>
      </c>
    </row>
    <row r="152" spans="1:18" hidden="1" x14ac:dyDescent="0.25">
      <c r="A152" t="s">
        <v>196</v>
      </c>
      <c r="B152" t="s">
        <v>46</v>
      </c>
      <c r="C152" t="s">
        <v>190</v>
      </c>
      <c r="D152" t="s">
        <v>33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384.92309999999998</v>
      </c>
      <c r="R152">
        <v>0</v>
      </c>
    </row>
    <row r="153" spans="1:18" hidden="1" x14ac:dyDescent="0.25">
      <c r="A153" t="s">
        <v>197</v>
      </c>
      <c r="B153" t="s">
        <v>46</v>
      </c>
      <c r="C153" t="s">
        <v>190</v>
      </c>
      <c r="D153" t="s">
        <v>35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768.01599999999996</v>
      </c>
      <c r="R153">
        <v>0</v>
      </c>
    </row>
    <row r="154" spans="1:18" hidden="1" x14ac:dyDescent="0.25">
      <c r="A154" t="s">
        <v>198</v>
      </c>
      <c r="B154" t="s">
        <v>46</v>
      </c>
      <c r="C154" t="s">
        <v>199</v>
      </c>
      <c r="D154" t="s">
        <v>21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R154">
        <v>0</v>
      </c>
    </row>
    <row r="155" spans="1:18" hidden="1" x14ac:dyDescent="0.25">
      <c r="A155" t="s">
        <v>200</v>
      </c>
      <c r="B155" t="s">
        <v>46</v>
      </c>
      <c r="C155" t="s">
        <v>199</v>
      </c>
      <c r="D155" t="s">
        <v>23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719.09109999999998</v>
      </c>
      <c r="R155">
        <v>0</v>
      </c>
    </row>
    <row r="156" spans="1:18" hidden="1" x14ac:dyDescent="0.25">
      <c r="A156" t="s">
        <v>201</v>
      </c>
      <c r="B156" t="s">
        <v>46</v>
      </c>
      <c r="C156" t="s">
        <v>199</v>
      </c>
      <c r="D156" t="s">
        <v>25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745.01949999999999</v>
      </c>
      <c r="R156">
        <v>0</v>
      </c>
    </row>
    <row r="157" spans="1:18" hidden="1" x14ac:dyDescent="0.25">
      <c r="A157" t="s">
        <v>202</v>
      </c>
      <c r="B157" t="s">
        <v>46</v>
      </c>
      <c r="C157" t="s">
        <v>199</v>
      </c>
      <c r="D157" t="s">
        <v>27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894.34180000000003</v>
      </c>
      <c r="R157">
        <v>0</v>
      </c>
    </row>
    <row r="158" spans="1:18" hidden="1" x14ac:dyDescent="0.25">
      <c r="A158" t="s">
        <v>203</v>
      </c>
      <c r="B158" t="s">
        <v>46</v>
      </c>
      <c r="C158" t="s">
        <v>199</v>
      </c>
      <c r="D158" t="s">
        <v>29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531.79700000000003</v>
      </c>
      <c r="R158">
        <v>0</v>
      </c>
    </row>
    <row r="159" spans="1:18" hidden="1" x14ac:dyDescent="0.25">
      <c r="A159" t="s">
        <v>204</v>
      </c>
      <c r="B159" t="s">
        <v>46</v>
      </c>
      <c r="C159" t="s">
        <v>199</v>
      </c>
      <c r="D159" t="s">
        <v>31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492.43740000000003</v>
      </c>
      <c r="R159">
        <v>0</v>
      </c>
    </row>
    <row r="160" spans="1:18" hidden="1" x14ac:dyDescent="0.25">
      <c r="A160" t="s">
        <v>205</v>
      </c>
      <c r="B160" t="s">
        <v>46</v>
      </c>
      <c r="C160" t="s">
        <v>199</v>
      </c>
      <c r="D160" t="s">
        <v>33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499.0933</v>
      </c>
      <c r="R160">
        <v>0</v>
      </c>
    </row>
    <row r="161" spans="1:18" hidden="1" x14ac:dyDescent="0.25">
      <c r="A161" t="s">
        <v>206</v>
      </c>
      <c r="B161" t="s">
        <v>46</v>
      </c>
      <c r="C161" t="s">
        <v>199</v>
      </c>
      <c r="D161" t="s">
        <v>35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897.02980000000002</v>
      </c>
      <c r="R161">
        <v>0</v>
      </c>
    </row>
    <row r="162" spans="1:18" hidden="1" x14ac:dyDescent="0.25">
      <c r="A162" t="s">
        <v>207</v>
      </c>
      <c r="B162" t="s">
        <v>46</v>
      </c>
      <c r="C162" t="s">
        <v>208</v>
      </c>
      <c r="D162" t="s">
        <v>21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R162">
        <v>0</v>
      </c>
    </row>
    <row r="163" spans="1:18" hidden="1" x14ac:dyDescent="0.25">
      <c r="A163" t="s">
        <v>209</v>
      </c>
      <c r="B163" t="s">
        <v>46</v>
      </c>
      <c r="C163" t="s">
        <v>208</v>
      </c>
      <c r="D163" t="s">
        <v>23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420.75110000000001</v>
      </c>
      <c r="R163">
        <v>0</v>
      </c>
    </row>
    <row r="164" spans="1:18" hidden="1" x14ac:dyDescent="0.25">
      <c r="A164" t="s">
        <v>210</v>
      </c>
      <c r="B164" t="s">
        <v>46</v>
      </c>
      <c r="C164" t="s">
        <v>208</v>
      </c>
      <c r="D164" t="s">
        <v>25</v>
      </c>
      <c r="E164">
        <v>0</v>
      </c>
      <c r="F164">
        <v>0</v>
      </c>
      <c r="G164">
        <v>531.69600000000003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487.02089999999998</v>
      </c>
      <c r="R164">
        <v>0</v>
      </c>
    </row>
    <row r="165" spans="1:18" hidden="1" x14ac:dyDescent="0.25">
      <c r="A165" t="s">
        <v>211</v>
      </c>
      <c r="B165" t="s">
        <v>46</v>
      </c>
      <c r="C165" t="s">
        <v>208</v>
      </c>
      <c r="D165" t="s">
        <v>27</v>
      </c>
      <c r="E165">
        <v>0</v>
      </c>
      <c r="F165">
        <v>0</v>
      </c>
      <c r="G165">
        <v>728.57399999999996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559.00980000000004</v>
      </c>
      <c r="R165">
        <v>0</v>
      </c>
    </row>
    <row r="166" spans="1:18" hidden="1" x14ac:dyDescent="0.25">
      <c r="A166" t="s">
        <v>212</v>
      </c>
      <c r="B166" t="s">
        <v>46</v>
      </c>
      <c r="C166" t="s">
        <v>208</v>
      </c>
      <c r="D166" t="s">
        <v>29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345.09370000000001</v>
      </c>
      <c r="R166">
        <v>0</v>
      </c>
    </row>
    <row r="167" spans="1:18" hidden="1" x14ac:dyDescent="0.25">
      <c r="A167" t="s">
        <v>213</v>
      </c>
      <c r="B167" t="s">
        <v>46</v>
      </c>
      <c r="C167" t="s">
        <v>208</v>
      </c>
      <c r="D167" t="s">
        <v>31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292.47969999999998</v>
      </c>
      <c r="R167">
        <v>0</v>
      </c>
    </row>
    <row r="168" spans="1:18" hidden="1" x14ac:dyDescent="0.25">
      <c r="A168" t="s">
        <v>214</v>
      </c>
      <c r="B168" t="s">
        <v>46</v>
      </c>
      <c r="C168" t="s">
        <v>208</v>
      </c>
      <c r="D168" t="s">
        <v>33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295.64909999999998</v>
      </c>
      <c r="R168">
        <v>0</v>
      </c>
    </row>
    <row r="169" spans="1:18" hidden="1" x14ac:dyDescent="0.25">
      <c r="A169" t="s">
        <v>215</v>
      </c>
      <c r="B169" t="s">
        <v>46</v>
      </c>
      <c r="C169" t="s">
        <v>208</v>
      </c>
      <c r="D169" t="s">
        <v>35</v>
      </c>
      <c r="E169">
        <v>0</v>
      </c>
      <c r="F169">
        <v>0</v>
      </c>
      <c r="G169">
        <v>773.71799999999996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574.6943</v>
      </c>
      <c r="R169">
        <v>0</v>
      </c>
    </row>
    <row r="170" spans="1:18" hidden="1" x14ac:dyDescent="0.25">
      <c r="A170" t="s">
        <v>216</v>
      </c>
      <c r="B170" t="s">
        <v>46</v>
      </c>
      <c r="C170" t="s">
        <v>217</v>
      </c>
      <c r="D170" t="s">
        <v>21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R170">
        <v>0</v>
      </c>
    </row>
    <row r="171" spans="1:18" hidden="1" x14ac:dyDescent="0.25">
      <c r="A171" t="s">
        <v>218</v>
      </c>
      <c r="B171" t="s">
        <v>46</v>
      </c>
      <c r="C171" t="s">
        <v>217</v>
      </c>
      <c r="D171" t="s">
        <v>23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258.37790000000001</v>
      </c>
      <c r="R171">
        <v>0</v>
      </c>
    </row>
    <row r="172" spans="1:18" hidden="1" x14ac:dyDescent="0.25">
      <c r="A172" t="s">
        <v>219</v>
      </c>
      <c r="B172" t="s">
        <v>46</v>
      </c>
      <c r="C172" t="s">
        <v>217</v>
      </c>
      <c r="D172" t="s">
        <v>25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294.34109999999998</v>
      </c>
      <c r="R172">
        <v>0</v>
      </c>
    </row>
    <row r="173" spans="1:18" hidden="1" x14ac:dyDescent="0.25">
      <c r="A173" t="s">
        <v>220</v>
      </c>
      <c r="B173" t="s">
        <v>46</v>
      </c>
      <c r="C173" t="s">
        <v>217</v>
      </c>
      <c r="D173" t="s">
        <v>27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280.26900000000001</v>
      </c>
      <c r="N173">
        <v>0</v>
      </c>
      <c r="O173">
        <v>0</v>
      </c>
      <c r="P173">
        <v>286.69290000000001</v>
      </c>
      <c r="R173">
        <v>0</v>
      </c>
    </row>
    <row r="174" spans="1:18" hidden="1" x14ac:dyDescent="0.25">
      <c r="A174" t="s">
        <v>221</v>
      </c>
      <c r="B174" t="s">
        <v>46</v>
      </c>
      <c r="C174" t="s">
        <v>217</v>
      </c>
      <c r="D174" t="s">
        <v>29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248.61410000000001</v>
      </c>
      <c r="R174">
        <v>0</v>
      </c>
    </row>
    <row r="175" spans="1:18" hidden="1" x14ac:dyDescent="0.25">
      <c r="A175" t="s">
        <v>222</v>
      </c>
      <c r="B175" t="s">
        <v>46</v>
      </c>
      <c r="C175" t="s">
        <v>217</v>
      </c>
      <c r="D175" t="s">
        <v>31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176.4126</v>
      </c>
      <c r="R175">
        <v>0</v>
      </c>
    </row>
    <row r="176" spans="1:18" hidden="1" x14ac:dyDescent="0.25">
      <c r="A176" t="s">
        <v>223</v>
      </c>
      <c r="B176" t="s">
        <v>46</v>
      </c>
      <c r="C176" t="s">
        <v>217</v>
      </c>
      <c r="D176" t="s">
        <v>33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181.89599999999999</v>
      </c>
      <c r="R176">
        <v>0</v>
      </c>
    </row>
    <row r="177" spans="1:18" hidden="1" x14ac:dyDescent="0.25">
      <c r="A177" t="s">
        <v>224</v>
      </c>
      <c r="B177" t="s">
        <v>46</v>
      </c>
      <c r="C177" t="s">
        <v>217</v>
      </c>
      <c r="D177" t="s">
        <v>35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298.76549999999997</v>
      </c>
      <c r="N177">
        <v>0</v>
      </c>
      <c r="O177">
        <v>0</v>
      </c>
      <c r="P177">
        <v>304.22160000000002</v>
      </c>
      <c r="R177">
        <v>0</v>
      </c>
    </row>
    <row r="178" spans="1:18" hidden="1" x14ac:dyDescent="0.25">
      <c r="A178" t="s">
        <v>225</v>
      </c>
      <c r="B178" t="s">
        <v>46</v>
      </c>
      <c r="C178" t="s">
        <v>226</v>
      </c>
      <c r="D178" t="s">
        <v>21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R178">
        <v>0</v>
      </c>
    </row>
    <row r="179" spans="1:18" hidden="1" x14ac:dyDescent="0.25">
      <c r="A179" t="s">
        <v>227</v>
      </c>
      <c r="B179" t="s">
        <v>46</v>
      </c>
      <c r="C179" t="s">
        <v>226</v>
      </c>
      <c r="D179" t="s">
        <v>23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194.06639999999999</v>
      </c>
      <c r="R179">
        <v>0</v>
      </c>
    </row>
    <row r="180" spans="1:18" hidden="1" x14ac:dyDescent="0.25">
      <c r="A180" t="s">
        <v>228</v>
      </c>
      <c r="B180" t="s">
        <v>46</v>
      </c>
      <c r="C180" t="s">
        <v>226</v>
      </c>
      <c r="D180" t="s">
        <v>25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225.7063</v>
      </c>
      <c r="R180">
        <v>0</v>
      </c>
    </row>
    <row r="181" spans="1:18" hidden="1" x14ac:dyDescent="0.25">
      <c r="A181" t="s">
        <v>229</v>
      </c>
      <c r="B181" t="s">
        <v>46</v>
      </c>
      <c r="C181" t="s">
        <v>226</v>
      </c>
      <c r="D181" t="s">
        <v>27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389.55509999999998</v>
      </c>
      <c r="N181">
        <v>0</v>
      </c>
      <c r="O181">
        <v>0</v>
      </c>
      <c r="P181">
        <v>255.5575</v>
      </c>
      <c r="R181">
        <v>0</v>
      </c>
    </row>
    <row r="182" spans="1:18" hidden="1" x14ac:dyDescent="0.25">
      <c r="A182" t="s">
        <v>230</v>
      </c>
      <c r="B182" t="s">
        <v>46</v>
      </c>
      <c r="C182" t="s">
        <v>226</v>
      </c>
      <c r="D182" t="s">
        <v>29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193.31659999999999</v>
      </c>
      <c r="R182">
        <v>0</v>
      </c>
    </row>
    <row r="183" spans="1:18" hidden="1" x14ac:dyDescent="0.25">
      <c r="A183" t="s">
        <v>231</v>
      </c>
      <c r="B183" t="s">
        <v>46</v>
      </c>
      <c r="C183" t="s">
        <v>226</v>
      </c>
      <c r="D183" t="s">
        <v>31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131.44669999999999</v>
      </c>
      <c r="R183">
        <v>0</v>
      </c>
    </row>
    <row r="184" spans="1:18" hidden="1" x14ac:dyDescent="0.25">
      <c r="A184" t="s">
        <v>232</v>
      </c>
      <c r="B184" t="s">
        <v>46</v>
      </c>
      <c r="C184" t="s">
        <v>226</v>
      </c>
      <c r="D184" t="s">
        <v>33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133.7039</v>
      </c>
      <c r="R184">
        <v>0</v>
      </c>
    </row>
    <row r="185" spans="1:18" hidden="1" x14ac:dyDescent="0.25">
      <c r="A185" t="s">
        <v>233</v>
      </c>
      <c r="B185" t="s">
        <v>46</v>
      </c>
      <c r="C185" t="s">
        <v>226</v>
      </c>
      <c r="D185" t="s">
        <v>35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413.3811</v>
      </c>
      <c r="N185">
        <v>0</v>
      </c>
      <c r="O185">
        <v>0</v>
      </c>
      <c r="P185">
        <v>293.41109999999998</v>
      </c>
      <c r="R185">
        <v>0</v>
      </c>
    </row>
    <row r="186" spans="1:18" hidden="1" x14ac:dyDescent="0.25">
      <c r="A186" t="s">
        <v>234</v>
      </c>
      <c r="B186" t="s">
        <v>46</v>
      </c>
      <c r="C186" t="s">
        <v>235</v>
      </c>
      <c r="D186" t="s">
        <v>21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R186">
        <v>0</v>
      </c>
    </row>
    <row r="187" spans="1:18" hidden="1" x14ac:dyDescent="0.25">
      <c r="A187" t="s">
        <v>236</v>
      </c>
      <c r="B187" t="s">
        <v>46</v>
      </c>
      <c r="C187" t="s">
        <v>235</v>
      </c>
      <c r="D187" t="s">
        <v>23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771.39829999999995</v>
      </c>
      <c r="R187">
        <v>0</v>
      </c>
    </row>
    <row r="188" spans="1:18" hidden="1" x14ac:dyDescent="0.25">
      <c r="A188" t="s">
        <v>237</v>
      </c>
      <c r="B188" t="s">
        <v>46</v>
      </c>
      <c r="C188" t="s">
        <v>235</v>
      </c>
      <c r="D188" t="s">
        <v>25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878.11630000000002</v>
      </c>
      <c r="R188">
        <v>0</v>
      </c>
    </row>
    <row r="189" spans="1:18" hidden="1" x14ac:dyDescent="0.25">
      <c r="A189" t="s">
        <v>238</v>
      </c>
      <c r="B189" t="s">
        <v>46</v>
      </c>
      <c r="C189" t="s">
        <v>235</v>
      </c>
      <c r="D189" t="s">
        <v>27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978.33579999999995</v>
      </c>
      <c r="R189">
        <v>0</v>
      </c>
    </row>
    <row r="190" spans="1:18" hidden="1" x14ac:dyDescent="0.25">
      <c r="A190" t="s">
        <v>239</v>
      </c>
      <c r="B190" t="s">
        <v>46</v>
      </c>
      <c r="C190" t="s">
        <v>235</v>
      </c>
      <c r="D190" t="s">
        <v>29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544.46029999999996</v>
      </c>
      <c r="R190">
        <v>0</v>
      </c>
    </row>
    <row r="191" spans="1:18" hidden="1" x14ac:dyDescent="0.25">
      <c r="A191" t="s">
        <v>240</v>
      </c>
      <c r="B191" t="s">
        <v>46</v>
      </c>
      <c r="C191" t="s">
        <v>235</v>
      </c>
      <c r="D191" t="s">
        <v>31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624.21709999999996</v>
      </c>
      <c r="R191">
        <v>0</v>
      </c>
    </row>
    <row r="192" spans="1:18" hidden="1" x14ac:dyDescent="0.25">
      <c r="A192" t="s">
        <v>241</v>
      </c>
      <c r="B192" t="s">
        <v>46</v>
      </c>
      <c r="C192" t="s">
        <v>235</v>
      </c>
      <c r="D192" t="s">
        <v>33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627.93899999999996</v>
      </c>
      <c r="R192">
        <v>0</v>
      </c>
    </row>
    <row r="193" spans="1:18" hidden="1" x14ac:dyDescent="0.25">
      <c r="A193" t="s">
        <v>242</v>
      </c>
      <c r="B193" t="s">
        <v>46</v>
      </c>
      <c r="C193" t="s">
        <v>235</v>
      </c>
      <c r="D193" t="s">
        <v>35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981.84429999999998</v>
      </c>
      <c r="R193">
        <v>0</v>
      </c>
    </row>
    <row r="194" spans="1:18" hidden="1" x14ac:dyDescent="0.25">
      <c r="A194" t="s">
        <v>243</v>
      </c>
      <c r="B194" t="s">
        <v>46</v>
      </c>
      <c r="C194" t="s">
        <v>244</v>
      </c>
      <c r="D194" t="s">
        <v>21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R194">
        <v>0</v>
      </c>
    </row>
    <row r="195" spans="1:18" hidden="1" x14ac:dyDescent="0.25">
      <c r="A195" t="s">
        <v>245</v>
      </c>
      <c r="B195" t="s">
        <v>46</v>
      </c>
      <c r="C195" t="s">
        <v>244</v>
      </c>
      <c r="D195" t="s">
        <v>23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435.9522</v>
      </c>
      <c r="R195">
        <v>0</v>
      </c>
    </row>
    <row r="196" spans="1:18" hidden="1" x14ac:dyDescent="0.25">
      <c r="A196" t="s">
        <v>246</v>
      </c>
      <c r="B196" t="s">
        <v>46</v>
      </c>
      <c r="C196" t="s">
        <v>244</v>
      </c>
      <c r="D196" t="s">
        <v>25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504.02179999999998</v>
      </c>
      <c r="R196">
        <v>0</v>
      </c>
    </row>
    <row r="197" spans="1:18" hidden="1" x14ac:dyDescent="0.25">
      <c r="A197" t="s">
        <v>247</v>
      </c>
      <c r="B197" t="s">
        <v>46</v>
      </c>
      <c r="C197" t="s">
        <v>244</v>
      </c>
      <c r="D197" t="s">
        <v>27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255.2253</v>
      </c>
      <c r="R197">
        <v>0</v>
      </c>
    </row>
    <row r="198" spans="1:18" hidden="1" x14ac:dyDescent="0.25">
      <c r="A198" t="s">
        <v>248</v>
      </c>
      <c r="B198" t="s">
        <v>46</v>
      </c>
      <c r="C198" t="s">
        <v>244</v>
      </c>
      <c r="D198" t="s">
        <v>29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345.77080000000001</v>
      </c>
      <c r="R198">
        <v>0</v>
      </c>
    </row>
    <row r="199" spans="1:18" hidden="1" x14ac:dyDescent="0.25">
      <c r="A199" t="s">
        <v>249</v>
      </c>
      <c r="B199" t="s">
        <v>46</v>
      </c>
      <c r="C199" t="s">
        <v>244</v>
      </c>
      <c r="D199" t="s">
        <v>31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303.65719999999999</v>
      </c>
      <c r="R199">
        <v>0</v>
      </c>
    </row>
    <row r="200" spans="1:18" hidden="1" x14ac:dyDescent="0.25">
      <c r="A200" t="s">
        <v>250</v>
      </c>
      <c r="B200" t="s">
        <v>46</v>
      </c>
      <c r="C200" t="s">
        <v>244</v>
      </c>
      <c r="D200" t="s">
        <v>33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306.18450000000001</v>
      </c>
      <c r="R200">
        <v>0</v>
      </c>
    </row>
    <row r="201" spans="1:18" hidden="1" x14ac:dyDescent="0.25">
      <c r="A201" t="s">
        <v>251</v>
      </c>
      <c r="B201" t="s">
        <v>46</v>
      </c>
      <c r="C201" t="s">
        <v>244</v>
      </c>
      <c r="D201" t="s">
        <v>35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257.3732</v>
      </c>
      <c r="R201">
        <v>0</v>
      </c>
    </row>
    <row r="202" spans="1:18" hidden="1" x14ac:dyDescent="0.25">
      <c r="A202" t="s">
        <v>252</v>
      </c>
      <c r="B202" t="s">
        <v>46</v>
      </c>
      <c r="C202" t="s">
        <v>253</v>
      </c>
      <c r="D202" t="s">
        <v>21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R202">
        <v>0</v>
      </c>
    </row>
    <row r="203" spans="1:18" hidden="1" x14ac:dyDescent="0.25">
      <c r="A203" t="s">
        <v>254</v>
      </c>
      <c r="B203" t="s">
        <v>46</v>
      </c>
      <c r="C203" t="s">
        <v>253</v>
      </c>
      <c r="D203" t="s">
        <v>23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401.36619999999999</v>
      </c>
      <c r="R203">
        <v>0</v>
      </c>
    </row>
    <row r="204" spans="1:18" hidden="1" x14ac:dyDescent="0.25">
      <c r="A204" t="s">
        <v>255</v>
      </c>
      <c r="B204" t="s">
        <v>46</v>
      </c>
      <c r="C204" t="s">
        <v>253</v>
      </c>
      <c r="D204" t="s">
        <v>25</v>
      </c>
      <c r="E204">
        <v>0</v>
      </c>
      <c r="F204">
        <v>0</v>
      </c>
      <c r="G204">
        <v>525.42600000000004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463.9776</v>
      </c>
      <c r="R204">
        <v>0</v>
      </c>
    </row>
    <row r="205" spans="1:18" hidden="1" x14ac:dyDescent="0.25">
      <c r="A205" t="s">
        <v>256</v>
      </c>
      <c r="B205" t="s">
        <v>46</v>
      </c>
      <c r="C205" t="s">
        <v>253</v>
      </c>
      <c r="D205" t="s">
        <v>27</v>
      </c>
      <c r="E205">
        <v>0</v>
      </c>
      <c r="F205">
        <v>0</v>
      </c>
      <c r="G205">
        <v>729.82799999999997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533.31949999999995</v>
      </c>
      <c r="R205">
        <v>0</v>
      </c>
    </row>
    <row r="206" spans="1:18" hidden="1" x14ac:dyDescent="0.25">
      <c r="A206" t="s">
        <v>257</v>
      </c>
      <c r="B206" t="s">
        <v>46</v>
      </c>
      <c r="C206" t="s">
        <v>253</v>
      </c>
      <c r="D206" t="s">
        <v>29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352.74310000000003</v>
      </c>
      <c r="R206">
        <v>0</v>
      </c>
    </row>
    <row r="207" spans="1:18" hidden="1" x14ac:dyDescent="0.25">
      <c r="A207" t="s">
        <v>258</v>
      </c>
      <c r="B207" t="s">
        <v>46</v>
      </c>
      <c r="C207" t="s">
        <v>253</v>
      </c>
      <c r="D207" t="s">
        <v>31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280.36829999999998</v>
      </c>
      <c r="R207">
        <v>0</v>
      </c>
    </row>
    <row r="208" spans="1:18" hidden="1" x14ac:dyDescent="0.25">
      <c r="A208" t="s">
        <v>259</v>
      </c>
      <c r="B208" t="s">
        <v>46</v>
      </c>
      <c r="C208" t="s">
        <v>253</v>
      </c>
      <c r="D208" t="s">
        <v>33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282.4751</v>
      </c>
      <c r="R208">
        <v>0</v>
      </c>
    </row>
    <row r="209" spans="1:18" hidden="1" x14ac:dyDescent="0.25">
      <c r="A209" t="s">
        <v>260</v>
      </c>
      <c r="B209" t="s">
        <v>46</v>
      </c>
      <c r="C209" t="s">
        <v>253</v>
      </c>
      <c r="D209" t="s">
        <v>35</v>
      </c>
      <c r="E209">
        <v>0</v>
      </c>
      <c r="F209">
        <v>0</v>
      </c>
      <c r="G209">
        <v>772.46400000000006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548.20119999999997</v>
      </c>
      <c r="R209">
        <v>0</v>
      </c>
    </row>
    <row r="210" spans="1:18" hidden="1" x14ac:dyDescent="0.25">
      <c r="A210" t="s">
        <v>261</v>
      </c>
      <c r="B210" t="s">
        <v>46</v>
      </c>
      <c r="C210" t="s">
        <v>37</v>
      </c>
      <c r="D210" t="s">
        <v>21</v>
      </c>
      <c r="E210">
        <v>331.05599999999998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R210">
        <v>0</v>
      </c>
    </row>
    <row r="211" spans="1:18" hidden="1" x14ac:dyDescent="0.25">
      <c r="A211" t="s">
        <v>262</v>
      </c>
      <c r="B211" t="s">
        <v>46</v>
      </c>
      <c r="C211" t="s">
        <v>37</v>
      </c>
      <c r="D211" t="s">
        <v>23</v>
      </c>
      <c r="E211">
        <v>515.26199999999994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441.0797</v>
      </c>
      <c r="L211">
        <v>0</v>
      </c>
      <c r="M211">
        <v>0</v>
      </c>
      <c r="N211">
        <v>0</v>
      </c>
      <c r="O211">
        <v>324.88499999999999</v>
      </c>
      <c r="P211">
        <v>327.46210000000002</v>
      </c>
      <c r="R211">
        <v>0</v>
      </c>
    </row>
    <row r="212" spans="1:18" hidden="1" x14ac:dyDescent="0.25">
      <c r="A212" t="s">
        <v>263</v>
      </c>
      <c r="B212" t="s">
        <v>46</v>
      </c>
      <c r="C212" t="s">
        <v>37</v>
      </c>
      <c r="D212" t="s">
        <v>25</v>
      </c>
      <c r="E212">
        <v>568.98599999999999</v>
      </c>
      <c r="F212">
        <v>0</v>
      </c>
      <c r="G212">
        <v>0</v>
      </c>
      <c r="H212">
        <v>0</v>
      </c>
      <c r="I212">
        <v>0</v>
      </c>
      <c r="J212">
        <v>537.9</v>
      </c>
      <c r="K212">
        <v>497.79559999999998</v>
      </c>
      <c r="L212">
        <v>0</v>
      </c>
      <c r="M212">
        <v>0</v>
      </c>
      <c r="N212">
        <v>0</v>
      </c>
      <c r="O212">
        <v>379.03800000000001</v>
      </c>
      <c r="P212">
        <v>368.6816</v>
      </c>
      <c r="R212">
        <v>0</v>
      </c>
    </row>
    <row r="213" spans="1:18" hidden="1" x14ac:dyDescent="0.25">
      <c r="A213" t="s">
        <v>264</v>
      </c>
      <c r="B213" t="s">
        <v>46</v>
      </c>
      <c r="C213" t="s">
        <v>37</v>
      </c>
      <c r="D213" t="s">
        <v>27</v>
      </c>
      <c r="E213">
        <v>623.93100000000004</v>
      </c>
      <c r="F213">
        <v>0</v>
      </c>
      <c r="G213">
        <v>0</v>
      </c>
      <c r="H213">
        <v>0</v>
      </c>
      <c r="I213">
        <v>0</v>
      </c>
      <c r="J213">
        <v>538</v>
      </c>
      <c r="K213">
        <v>0</v>
      </c>
      <c r="L213">
        <v>0</v>
      </c>
      <c r="M213">
        <v>585.30999999999995</v>
      </c>
      <c r="N213">
        <v>0</v>
      </c>
      <c r="O213">
        <v>433.18</v>
      </c>
      <c r="P213">
        <v>165.55940000000001</v>
      </c>
      <c r="R213">
        <v>0</v>
      </c>
    </row>
    <row r="214" spans="1:18" hidden="1" x14ac:dyDescent="0.25">
      <c r="A214" t="s">
        <v>265</v>
      </c>
      <c r="B214" t="s">
        <v>46</v>
      </c>
      <c r="C214" t="s">
        <v>37</v>
      </c>
      <c r="D214" t="s">
        <v>29</v>
      </c>
      <c r="E214">
        <v>345.54300000000001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283.79770000000002</v>
      </c>
      <c r="L214">
        <v>0</v>
      </c>
      <c r="M214">
        <v>0</v>
      </c>
      <c r="N214">
        <v>0</v>
      </c>
      <c r="O214">
        <v>0</v>
      </c>
      <c r="P214">
        <v>290.0838</v>
      </c>
      <c r="R214">
        <v>0</v>
      </c>
    </row>
    <row r="215" spans="1:18" hidden="1" x14ac:dyDescent="0.25">
      <c r="A215" t="s">
        <v>266</v>
      </c>
      <c r="B215" t="s">
        <v>46</v>
      </c>
      <c r="C215" t="s">
        <v>37</v>
      </c>
      <c r="D215" t="s">
        <v>31</v>
      </c>
      <c r="E215">
        <v>367.42200000000003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346.05360000000002</v>
      </c>
      <c r="L215">
        <v>0</v>
      </c>
      <c r="M215">
        <v>0</v>
      </c>
      <c r="N215">
        <v>0</v>
      </c>
      <c r="O215">
        <v>216.59</v>
      </c>
      <c r="P215">
        <v>223.5453</v>
      </c>
      <c r="R215">
        <v>0</v>
      </c>
    </row>
    <row r="216" spans="1:18" hidden="1" x14ac:dyDescent="0.25">
      <c r="A216" t="s">
        <v>267</v>
      </c>
      <c r="B216" t="s">
        <v>46</v>
      </c>
      <c r="C216" t="s">
        <v>37</v>
      </c>
      <c r="D216" t="s">
        <v>33</v>
      </c>
      <c r="E216">
        <v>395.01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364.36180000000002</v>
      </c>
      <c r="L216">
        <v>0</v>
      </c>
      <c r="M216">
        <v>0</v>
      </c>
      <c r="N216">
        <v>0</v>
      </c>
      <c r="O216">
        <v>216.59</v>
      </c>
      <c r="P216">
        <v>229.98240000000001</v>
      </c>
      <c r="R216">
        <v>0</v>
      </c>
    </row>
    <row r="217" spans="1:18" hidden="1" x14ac:dyDescent="0.25">
      <c r="A217" t="s">
        <v>268</v>
      </c>
      <c r="B217" t="s">
        <v>46</v>
      </c>
      <c r="C217" t="s">
        <v>37</v>
      </c>
      <c r="D217" t="s">
        <v>35</v>
      </c>
      <c r="E217">
        <v>809.52300000000002</v>
      </c>
      <c r="F217">
        <v>0</v>
      </c>
      <c r="G217">
        <v>292.65499999999997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585.30999999999995</v>
      </c>
      <c r="N217">
        <v>0</v>
      </c>
      <c r="O217">
        <v>446.721</v>
      </c>
      <c r="P217">
        <v>166.62520000000001</v>
      </c>
      <c r="R217">
        <v>0</v>
      </c>
    </row>
    <row r="218" spans="1:18" hidden="1" x14ac:dyDescent="0.25">
      <c r="A218" t="s">
        <v>269</v>
      </c>
      <c r="B218" t="s">
        <v>46</v>
      </c>
      <c r="C218" t="s">
        <v>270</v>
      </c>
      <c r="D218" t="s">
        <v>21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R218">
        <v>0</v>
      </c>
    </row>
    <row r="219" spans="1:18" hidden="1" x14ac:dyDescent="0.25">
      <c r="A219" t="s">
        <v>271</v>
      </c>
      <c r="B219" t="s">
        <v>46</v>
      </c>
      <c r="C219" t="s">
        <v>270</v>
      </c>
      <c r="D219" t="s">
        <v>23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257.30790000000002</v>
      </c>
      <c r="R219">
        <v>0</v>
      </c>
    </row>
    <row r="220" spans="1:18" hidden="1" x14ac:dyDescent="0.25">
      <c r="A220" t="s">
        <v>272</v>
      </c>
      <c r="B220" t="s">
        <v>46</v>
      </c>
      <c r="C220" t="s">
        <v>270</v>
      </c>
      <c r="D220" t="s">
        <v>25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293.05029999999999</v>
      </c>
      <c r="R220">
        <v>0</v>
      </c>
    </row>
    <row r="221" spans="1:18" hidden="1" x14ac:dyDescent="0.25">
      <c r="A221" t="s">
        <v>273</v>
      </c>
      <c r="B221" t="s">
        <v>46</v>
      </c>
      <c r="C221" t="s">
        <v>270</v>
      </c>
      <c r="D221" t="s">
        <v>27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324.47250000000003</v>
      </c>
      <c r="N221">
        <v>0</v>
      </c>
      <c r="O221">
        <v>0</v>
      </c>
      <c r="P221">
        <v>325.39749999999998</v>
      </c>
      <c r="R221">
        <v>0</v>
      </c>
    </row>
    <row r="222" spans="1:18" hidden="1" x14ac:dyDescent="0.25">
      <c r="A222" t="s">
        <v>274</v>
      </c>
      <c r="B222" t="s">
        <v>46</v>
      </c>
      <c r="C222" t="s">
        <v>270</v>
      </c>
      <c r="D222" t="s">
        <v>29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248.61410000000001</v>
      </c>
      <c r="R222">
        <v>0</v>
      </c>
    </row>
    <row r="223" spans="1:18" hidden="1" x14ac:dyDescent="0.25">
      <c r="A223" t="s">
        <v>275</v>
      </c>
      <c r="B223" t="s">
        <v>46</v>
      </c>
      <c r="C223" t="s">
        <v>270</v>
      </c>
      <c r="D223" t="s">
        <v>31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175.6994</v>
      </c>
      <c r="R223">
        <v>0</v>
      </c>
    </row>
    <row r="224" spans="1:18" hidden="1" x14ac:dyDescent="0.25">
      <c r="A224" t="s">
        <v>276</v>
      </c>
      <c r="B224" t="s">
        <v>46</v>
      </c>
      <c r="C224" t="s">
        <v>270</v>
      </c>
      <c r="D224" t="s">
        <v>33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181.18279999999999</v>
      </c>
      <c r="R224">
        <v>0</v>
      </c>
    </row>
    <row r="225" spans="1:18" hidden="1" x14ac:dyDescent="0.25">
      <c r="A225" t="s">
        <v>277</v>
      </c>
      <c r="B225" t="s">
        <v>46</v>
      </c>
      <c r="C225" t="s">
        <v>270</v>
      </c>
      <c r="D225" t="s">
        <v>35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330.74250000000001</v>
      </c>
      <c r="N225">
        <v>0</v>
      </c>
      <c r="O225">
        <v>0</v>
      </c>
      <c r="P225">
        <v>332.16070000000002</v>
      </c>
      <c r="R225">
        <v>0</v>
      </c>
    </row>
    <row r="226" spans="1:18" hidden="1" x14ac:dyDescent="0.25">
      <c r="A226" t="s">
        <v>278</v>
      </c>
      <c r="B226" t="s">
        <v>46</v>
      </c>
      <c r="C226" t="s">
        <v>279</v>
      </c>
      <c r="D226" t="s">
        <v>21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R226">
        <v>0</v>
      </c>
    </row>
    <row r="227" spans="1:18" hidden="1" x14ac:dyDescent="0.25">
      <c r="A227" t="s">
        <v>280</v>
      </c>
      <c r="B227" t="s">
        <v>46</v>
      </c>
      <c r="C227" t="s">
        <v>279</v>
      </c>
      <c r="D227" t="s">
        <v>23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522.79849999999999</v>
      </c>
      <c r="R227">
        <v>0</v>
      </c>
    </row>
    <row r="228" spans="1:18" hidden="1" x14ac:dyDescent="0.25">
      <c r="A228" t="s">
        <v>281</v>
      </c>
      <c r="B228" t="s">
        <v>46</v>
      </c>
      <c r="C228" t="s">
        <v>279</v>
      </c>
      <c r="D228" t="s">
        <v>25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597.2672</v>
      </c>
      <c r="R228">
        <v>0</v>
      </c>
    </row>
    <row r="229" spans="1:18" hidden="1" x14ac:dyDescent="0.25">
      <c r="A229" t="s">
        <v>282</v>
      </c>
      <c r="B229" t="s">
        <v>46</v>
      </c>
      <c r="C229" t="s">
        <v>279</v>
      </c>
      <c r="D229" t="s">
        <v>27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314.8372</v>
      </c>
      <c r="R229">
        <v>0</v>
      </c>
    </row>
    <row r="230" spans="1:18" hidden="1" x14ac:dyDescent="0.25">
      <c r="A230" t="s">
        <v>283</v>
      </c>
      <c r="B230" t="s">
        <v>46</v>
      </c>
      <c r="C230" t="s">
        <v>279</v>
      </c>
      <c r="D230" t="s">
        <v>29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382.68860000000001</v>
      </c>
      <c r="R230">
        <v>0</v>
      </c>
    </row>
    <row r="231" spans="1:18" hidden="1" x14ac:dyDescent="0.25">
      <c r="A231" t="s">
        <v>284</v>
      </c>
      <c r="B231" t="s">
        <v>46</v>
      </c>
      <c r="C231" t="s">
        <v>279</v>
      </c>
      <c r="D231" t="s">
        <v>31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359.36270000000002</v>
      </c>
      <c r="R231">
        <v>0</v>
      </c>
    </row>
    <row r="232" spans="1:18" hidden="1" x14ac:dyDescent="0.25">
      <c r="A232" t="s">
        <v>285</v>
      </c>
      <c r="B232" t="s">
        <v>46</v>
      </c>
      <c r="C232" t="s">
        <v>279</v>
      </c>
      <c r="D232" t="s">
        <v>33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361.70260000000002</v>
      </c>
      <c r="R232">
        <v>0</v>
      </c>
    </row>
    <row r="233" spans="1:18" hidden="1" x14ac:dyDescent="0.25">
      <c r="A233" t="s">
        <v>286</v>
      </c>
      <c r="B233" t="s">
        <v>46</v>
      </c>
      <c r="C233" t="s">
        <v>279</v>
      </c>
      <c r="D233" t="s">
        <v>35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317.43389999999999</v>
      </c>
      <c r="R233">
        <v>0</v>
      </c>
    </row>
    <row r="234" spans="1:18" hidden="1" x14ac:dyDescent="0.25">
      <c r="A234" t="s">
        <v>287</v>
      </c>
      <c r="B234" t="s">
        <v>46</v>
      </c>
      <c r="C234" t="s">
        <v>288</v>
      </c>
      <c r="D234" t="s">
        <v>21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R234">
        <v>0</v>
      </c>
    </row>
    <row r="235" spans="1:18" hidden="1" x14ac:dyDescent="0.25">
      <c r="A235" t="s">
        <v>289</v>
      </c>
      <c r="B235" t="s">
        <v>46</v>
      </c>
      <c r="C235" t="s">
        <v>288</v>
      </c>
      <c r="D235" t="s">
        <v>23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177.9837</v>
      </c>
      <c r="R235">
        <v>0</v>
      </c>
    </row>
    <row r="236" spans="1:18" hidden="1" x14ac:dyDescent="0.25">
      <c r="A236" t="s">
        <v>290</v>
      </c>
      <c r="B236" t="s">
        <v>46</v>
      </c>
      <c r="C236" t="s">
        <v>288</v>
      </c>
      <c r="D236" t="s">
        <v>25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182.23429999999999</v>
      </c>
      <c r="R236">
        <v>0</v>
      </c>
    </row>
    <row r="237" spans="1:18" hidden="1" x14ac:dyDescent="0.25">
      <c r="A237" t="s">
        <v>291</v>
      </c>
      <c r="B237" t="s">
        <v>46</v>
      </c>
      <c r="C237" t="s">
        <v>288</v>
      </c>
      <c r="D237" t="s">
        <v>27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480.34469999999999</v>
      </c>
      <c r="N237">
        <v>0</v>
      </c>
      <c r="O237">
        <v>0</v>
      </c>
      <c r="P237">
        <v>244.75399999999999</v>
      </c>
      <c r="R237">
        <v>0</v>
      </c>
    </row>
    <row r="238" spans="1:18" hidden="1" x14ac:dyDescent="0.25">
      <c r="A238" t="s">
        <v>292</v>
      </c>
      <c r="B238" t="s">
        <v>46</v>
      </c>
      <c r="C238" t="s">
        <v>288</v>
      </c>
      <c r="D238" t="s">
        <v>29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135.59399999999999</v>
      </c>
      <c r="R238">
        <v>0</v>
      </c>
    </row>
    <row r="239" spans="1:18" hidden="1" x14ac:dyDescent="0.25">
      <c r="A239" t="s">
        <v>293</v>
      </c>
      <c r="B239" t="s">
        <v>46</v>
      </c>
      <c r="C239" t="s">
        <v>288</v>
      </c>
      <c r="D239" t="s">
        <v>31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121.1801</v>
      </c>
      <c r="R239">
        <v>0</v>
      </c>
    </row>
    <row r="240" spans="1:18" hidden="1" x14ac:dyDescent="0.25">
      <c r="A240" t="s">
        <v>294</v>
      </c>
      <c r="B240" t="s">
        <v>46</v>
      </c>
      <c r="C240" t="s">
        <v>288</v>
      </c>
      <c r="D240" t="s">
        <v>33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124.7563</v>
      </c>
      <c r="R240">
        <v>0</v>
      </c>
    </row>
    <row r="241" spans="1:18" hidden="1" x14ac:dyDescent="0.25">
      <c r="A241" t="s">
        <v>295</v>
      </c>
      <c r="B241" t="s">
        <v>46</v>
      </c>
      <c r="C241" t="s">
        <v>288</v>
      </c>
      <c r="D241" t="s">
        <v>35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489.74970000000002</v>
      </c>
      <c r="N241">
        <v>0</v>
      </c>
      <c r="O241">
        <v>0</v>
      </c>
      <c r="P241">
        <v>273.2679</v>
      </c>
      <c r="R241">
        <v>0</v>
      </c>
    </row>
    <row r="242" spans="1:18" hidden="1" x14ac:dyDescent="0.25">
      <c r="A242" t="s">
        <v>296</v>
      </c>
      <c r="B242" t="s">
        <v>46</v>
      </c>
      <c r="C242" t="s">
        <v>297</v>
      </c>
      <c r="D242" t="s">
        <v>21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R242">
        <v>0</v>
      </c>
    </row>
    <row r="243" spans="1:18" hidden="1" x14ac:dyDescent="0.25">
      <c r="A243" t="s">
        <v>298</v>
      </c>
      <c r="B243" t="s">
        <v>46</v>
      </c>
      <c r="C243" t="s">
        <v>297</v>
      </c>
      <c r="D243" t="s">
        <v>23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530.37199999999996</v>
      </c>
      <c r="R243">
        <v>0</v>
      </c>
    </row>
    <row r="244" spans="1:18" hidden="1" x14ac:dyDescent="0.25">
      <c r="A244" t="s">
        <v>299</v>
      </c>
      <c r="B244" t="s">
        <v>46</v>
      </c>
      <c r="C244" t="s">
        <v>297</v>
      </c>
      <c r="D244" t="s">
        <v>25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598.11699999999996</v>
      </c>
      <c r="R244">
        <v>0</v>
      </c>
    </row>
    <row r="245" spans="1:18" hidden="1" x14ac:dyDescent="0.25">
      <c r="A245" t="s">
        <v>300</v>
      </c>
      <c r="B245" t="s">
        <v>46</v>
      </c>
      <c r="C245" t="s">
        <v>297</v>
      </c>
      <c r="D245" t="s">
        <v>27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709.64509999999996</v>
      </c>
      <c r="R245">
        <v>0</v>
      </c>
    </row>
    <row r="246" spans="1:18" hidden="1" x14ac:dyDescent="0.25">
      <c r="A246" t="s">
        <v>301</v>
      </c>
      <c r="B246" t="s">
        <v>46</v>
      </c>
      <c r="C246" t="s">
        <v>297</v>
      </c>
      <c r="D246" t="s">
        <v>29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406.99110000000002</v>
      </c>
      <c r="R246">
        <v>0</v>
      </c>
    </row>
    <row r="247" spans="1:18" hidden="1" x14ac:dyDescent="0.25">
      <c r="A247" t="s">
        <v>302</v>
      </c>
      <c r="B247" t="s">
        <v>46</v>
      </c>
      <c r="C247" t="s">
        <v>297</v>
      </c>
      <c r="D247" t="s">
        <v>31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364.66730000000001</v>
      </c>
      <c r="R247">
        <v>0</v>
      </c>
    </row>
    <row r="248" spans="1:18" hidden="1" x14ac:dyDescent="0.25">
      <c r="A248" t="s">
        <v>303</v>
      </c>
      <c r="B248" t="s">
        <v>46</v>
      </c>
      <c r="C248" t="s">
        <v>297</v>
      </c>
      <c r="D248" t="s">
        <v>33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368.75810000000001</v>
      </c>
      <c r="R248">
        <v>0</v>
      </c>
    </row>
    <row r="249" spans="1:18" hidden="1" x14ac:dyDescent="0.25">
      <c r="A249" t="s">
        <v>304</v>
      </c>
      <c r="B249" t="s">
        <v>46</v>
      </c>
      <c r="C249" t="s">
        <v>297</v>
      </c>
      <c r="D249" t="s">
        <v>35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729.64449999999999</v>
      </c>
      <c r="R249">
        <v>0</v>
      </c>
    </row>
    <row r="250" spans="1:18" hidden="1" x14ac:dyDescent="0.25">
      <c r="A250" t="s">
        <v>305</v>
      </c>
      <c r="B250" t="s">
        <v>46</v>
      </c>
      <c r="C250" t="s">
        <v>306</v>
      </c>
      <c r="D250" t="s">
        <v>21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R250">
        <v>0</v>
      </c>
    </row>
    <row r="251" spans="1:18" hidden="1" x14ac:dyDescent="0.25">
      <c r="A251" t="s">
        <v>307</v>
      </c>
      <c r="B251" t="s">
        <v>46</v>
      </c>
      <c r="C251" t="s">
        <v>306</v>
      </c>
      <c r="D251" t="s">
        <v>23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536.6019</v>
      </c>
      <c r="R251">
        <v>0</v>
      </c>
    </row>
    <row r="252" spans="1:18" hidden="1" x14ac:dyDescent="0.25">
      <c r="A252" t="s">
        <v>308</v>
      </c>
      <c r="B252" t="s">
        <v>46</v>
      </c>
      <c r="C252" t="s">
        <v>306</v>
      </c>
      <c r="D252" t="s">
        <v>25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598.30380000000002</v>
      </c>
      <c r="R252">
        <v>0</v>
      </c>
    </row>
    <row r="253" spans="1:18" hidden="1" x14ac:dyDescent="0.25">
      <c r="A253" t="s">
        <v>309</v>
      </c>
      <c r="B253" t="s">
        <v>46</v>
      </c>
      <c r="C253" t="s">
        <v>306</v>
      </c>
      <c r="D253" t="s">
        <v>27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711.80290000000002</v>
      </c>
      <c r="R253">
        <v>0</v>
      </c>
    </row>
    <row r="254" spans="1:18" hidden="1" x14ac:dyDescent="0.25">
      <c r="A254" t="s">
        <v>310</v>
      </c>
      <c r="B254" t="s">
        <v>46</v>
      </c>
      <c r="C254" t="s">
        <v>306</v>
      </c>
      <c r="D254" t="s">
        <v>29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395.46100000000001</v>
      </c>
      <c r="R254">
        <v>0</v>
      </c>
    </row>
    <row r="255" spans="1:18" hidden="1" x14ac:dyDescent="0.25">
      <c r="A255" t="s">
        <v>311</v>
      </c>
      <c r="B255" t="s">
        <v>46</v>
      </c>
      <c r="C255" t="s">
        <v>306</v>
      </c>
      <c r="D255" t="s">
        <v>31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365.71050000000002</v>
      </c>
      <c r="R255">
        <v>0</v>
      </c>
    </row>
    <row r="256" spans="1:18" hidden="1" x14ac:dyDescent="0.25">
      <c r="A256" t="s">
        <v>312</v>
      </c>
      <c r="B256" t="s">
        <v>46</v>
      </c>
      <c r="C256" t="s">
        <v>306</v>
      </c>
      <c r="D256" t="s">
        <v>33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370.28289999999998</v>
      </c>
      <c r="R256">
        <v>0</v>
      </c>
    </row>
    <row r="257" spans="1:18" hidden="1" x14ac:dyDescent="0.25">
      <c r="A257" t="s">
        <v>313</v>
      </c>
      <c r="B257" t="s">
        <v>46</v>
      </c>
      <c r="C257" t="s">
        <v>306</v>
      </c>
      <c r="D257" t="s">
        <v>35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731.86969999999997</v>
      </c>
      <c r="R257">
        <v>0</v>
      </c>
    </row>
    <row r="258" spans="1:18" hidden="1" x14ac:dyDescent="0.25">
      <c r="A258" t="s">
        <v>314</v>
      </c>
      <c r="B258" t="s">
        <v>46</v>
      </c>
      <c r="C258" t="s">
        <v>315</v>
      </c>
      <c r="D258" t="s">
        <v>21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R258">
        <v>0</v>
      </c>
    </row>
    <row r="259" spans="1:18" hidden="1" x14ac:dyDescent="0.25">
      <c r="A259" t="s">
        <v>316</v>
      </c>
      <c r="B259" t="s">
        <v>46</v>
      </c>
      <c r="C259" t="s">
        <v>315</v>
      </c>
      <c r="D259" t="s">
        <v>23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835.34730000000002</v>
      </c>
      <c r="R259">
        <v>0</v>
      </c>
    </row>
    <row r="260" spans="1:18" hidden="1" x14ac:dyDescent="0.25">
      <c r="A260" t="s">
        <v>317</v>
      </c>
      <c r="B260" t="s">
        <v>46</v>
      </c>
      <c r="C260" t="s">
        <v>315</v>
      </c>
      <c r="D260" t="s">
        <v>25</v>
      </c>
      <c r="E260">
        <v>0</v>
      </c>
      <c r="F260">
        <v>0</v>
      </c>
      <c r="G260">
        <v>1191.3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883.02080000000001</v>
      </c>
      <c r="R260">
        <v>0</v>
      </c>
    </row>
    <row r="261" spans="1:18" hidden="1" x14ac:dyDescent="0.25">
      <c r="A261" t="s">
        <v>318</v>
      </c>
      <c r="B261" t="s">
        <v>46</v>
      </c>
      <c r="C261" t="s">
        <v>315</v>
      </c>
      <c r="D261" t="s">
        <v>27</v>
      </c>
      <c r="E261">
        <v>0</v>
      </c>
      <c r="F261">
        <v>0</v>
      </c>
      <c r="G261">
        <v>1610.136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977.82330000000002</v>
      </c>
      <c r="R261">
        <v>0</v>
      </c>
    </row>
    <row r="262" spans="1:18" hidden="1" x14ac:dyDescent="0.25">
      <c r="A262" t="s">
        <v>319</v>
      </c>
      <c r="B262" t="s">
        <v>46</v>
      </c>
      <c r="C262" t="s">
        <v>315</v>
      </c>
      <c r="D262" t="s">
        <v>29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604.37009999999998</v>
      </c>
      <c r="R262">
        <v>0</v>
      </c>
    </row>
    <row r="263" spans="1:18" hidden="1" x14ac:dyDescent="0.25">
      <c r="A263" t="s">
        <v>320</v>
      </c>
      <c r="B263" t="s">
        <v>46</v>
      </c>
      <c r="C263" t="s">
        <v>315</v>
      </c>
      <c r="D263" t="s">
        <v>31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629.85540000000003</v>
      </c>
      <c r="R263">
        <v>0</v>
      </c>
    </row>
    <row r="264" spans="1:18" hidden="1" x14ac:dyDescent="0.25">
      <c r="A264" t="s">
        <v>321</v>
      </c>
      <c r="B264" t="s">
        <v>46</v>
      </c>
      <c r="C264" t="s">
        <v>315</v>
      </c>
      <c r="D264" t="s">
        <v>33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632.65679999999998</v>
      </c>
      <c r="R264">
        <v>0</v>
      </c>
    </row>
    <row r="265" spans="1:18" hidden="1" x14ac:dyDescent="0.25">
      <c r="A265" t="s">
        <v>322</v>
      </c>
      <c r="B265" t="s">
        <v>46</v>
      </c>
      <c r="C265" t="s">
        <v>315</v>
      </c>
      <c r="D265" t="s">
        <v>35</v>
      </c>
      <c r="E265">
        <v>0</v>
      </c>
      <c r="F265">
        <v>0</v>
      </c>
      <c r="G265">
        <v>1710.4559999999999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981.31579999999997</v>
      </c>
      <c r="R265">
        <v>0</v>
      </c>
    </row>
    <row r="266" spans="1:18" hidden="1" x14ac:dyDescent="0.25">
      <c r="A266" t="s">
        <v>323</v>
      </c>
      <c r="B266" t="s">
        <v>46</v>
      </c>
      <c r="C266" t="s">
        <v>324</v>
      </c>
      <c r="D266" t="s">
        <v>21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R266">
        <v>0</v>
      </c>
    </row>
    <row r="267" spans="1:18" hidden="1" x14ac:dyDescent="0.25">
      <c r="A267" t="s">
        <v>325</v>
      </c>
      <c r="B267" t="s">
        <v>46</v>
      </c>
      <c r="C267" t="s">
        <v>324</v>
      </c>
      <c r="D267" t="s">
        <v>23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722.23239999999998</v>
      </c>
      <c r="R267">
        <v>0</v>
      </c>
    </row>
    <row r="268" spans="1:18" hidden="1" x14ac:dyDescent="0.25">
      <c r="A268" t="s">
        <v>326</v>
      </c>
      <c r="B268" t="s">
        <v>46</v>
      </c>
      <c r="C268" t="s">
        <v>324</v>
      </c>
      <c r="D268" t="s">
        <v>25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868.15620000000001</v>
      </c>
      <c r="R268">
        <v>0</v>
      </c>
    </row>
    <row r="269" spans="1:18" hidden="1" x14ac:dyDescent="0.25">
      <c r="A269" t="s">
        <v>327</v>
      </c>
      <c r="B269" t="s">
        <v>46</v>
      </c>
      <c r="C269" t="s">
        <v>324</v>
      </c>
      <c r="D269" t="s">
        <v>27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960.83529999999996</v>
      </c>
      <c r="R269">
        <v>0</v>
      </c>
    </row>
    <row r="270" spans="1:18" hidden="1" x14ac:dyDescent="0.25">
      <c r="A270" t="s">
        <v>328</v>
      </c>
      <c r="B270" t="s">
        <v>46</v>
      </c>
      <c r="C270" t="s">
        <v>324</v>
      </c>
      <c r="D270" t="s">
        <v>29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507.52429999999998</v>
      </c>
      <c r="R270">
        <v>0</v>
      </c>
    </row>
    <row r="271" spans="1:18" hidden="1" x14ac:dyDescent="0.25">
      <c r="A271" t="s">
        <v>329</v>
      </c>
      <c r="B271" t="s">
        <v>46</v>
      </c>
      <c r="C271" t="s">
        <v>324</v>
      </c>
      <c r="D271" t="s">
        <v>31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536.30849999999998</v>
      </c>
      <c r="R271">
        <v>0</v>
      </c>
    </row>
    <row r="272" spans="1:18" hidden="1" x14ac:dyDescent="0.25">
      <c r="A272" t="s">
        <v>330</v>
      </c>
      <c r="B272" t="s">
        <v>46</v>
      </c>
      <c r="C272" t="s">
        <v>324</v>
      </c>
      <c r="D272" t="s">
        <v>33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538.52819999999997</v>
      </c>
      <c r="R272">
        <v>0</v>
      </c>
    </row>
    <row r="273" spans="1:18" hidden="1" x14ac:dyDescent="0.25">
      <c r="A273" t="s">
        <v>331</v>
      </c>
      <c r="B273" t="s">
        <v>46</v>
      </c>
      <c r="C273" t="s">
        <v>324</v>
      </c>
      <c r="D273" t="s">
        <v>35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963.79679999999996</v>
      </c>
      <c r="R273">
        <v>0</v>
      </c>
    </row>
    <row r="274" spans="1:18" hidden="1" x14ac:dyDescent="0.25">
      <c r="A274" t="s">
        <v>332</v>
      </c>
      <c r="B274" t="s">
        <v>46</v>
      </c>
      <c r="C274" t="s">
        <v>333</v>
      </c>
      <c r="D274" t="s">
        <v>21</v>
      </c>
      <c r="E274">
        <v>335.77499999999998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R274">
        <v>0</v>
      </c>
    </row>
    <row r="275" spans="1:18" hidden="1" x14ac:dyDescent="0.25">
      <c r="A275" t="s">
        <v>334</v>
      </c>
      <c r="B275" t="s">
        <v>46</v>
      </c>
      <c r="C275" t="s">
        <v>333</v>
      </c>
      <c r="D275" t="s">
        <v>23</v>
      </c>
      <c r="E275">
        <v>538.46100000000001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502.52929999999998</v>
      </c>
      <c r="L275">
        <v>0</v>
      </c>
      <c r="M275">
        <v>0</v>
      </c>
      <c r="N275">
        <v>0</v>
      </c>
      <c r="O275">
        <v>339.31700000000001</v>
      </c>
      <c r="P275">
        <v>347.04840000000002</v>
      </c>
      <c r="R275">
        <v>0</v>
      </c>
    </row>
    <row r="276" spans="1:18" hidden="1" x14ac:dyDescent="0.25">
      <c r="A276" t="s">
        <v>335</v>
      </c>
      <c r="B276" t="s">
        <v>46</v>
      </c>
      <c r="C276" t="s">
        <v>333</v>
      </c>
      <c r="D276" t="s">
        <v>25</v>
      </c>
      <c r="E276">
        <v>594.62699999999995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571.53510000000006</v>
      </c>
      <c r="L276">
        <v>0</v>
      </c>
      <c r="M276">
        <v>0</v>
      </c>
      <c r="N276">
        <v>0</v>
      </c>
      <c r="O276">
        <v>395.86799999999999</v>
      </c>
      <c r="P276">
        <v>395.79770000000002</v>
      </c>
      <c r="R276">
        <v>0</v>
      </c>
    </row>
    <row r="277" spans="1:18" hidden="1" x14ac:dyDescent="0.25">
      <c r="A277" t="s">
        <v>336</v>
      </c>
      <c r="B277" t="s">
        <v>46</v>
      </c>
      <c r="C277" t="s">
        <v>333</v>
      </c>
      <c r="D277" t="s">
        <v>27</v>
      </c>
      <c r="E277">
        <v>650.79300000000001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251.42699999999999</v>
      </c>
      <c r="N277">
        <v>0</v>
      </c>
      <c r="O277">
        <v>452.41899999999998</v>
      </c>
      <c r="P277">
        <v>217.85120000000001</v>
      </c>
      <c r="R277">
        <v>0</v>
      </c>
    </row>
    <row r="278" spans="1:18" hidden="1" x14ac:dyDescent="0.25">
      <c r="A278" t="s">
        <v>337</v>
      </c>
      <c r="B278" t="s">
        <v>46</v>
      </c>
      <c r="C278" t="s">
        <v>333</v>
      </c>
      <c r="D278" t="s">
        <v>29</v>
      </c>
      <c r="E278">
        <v>361.416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312.73829999999998</v>
      </c>
      <c r="L278">
        <v>0</v>
      </c>
      <c r="M278">
        <v>0</v>
      </c>
      <c r="N278">
        <v>0</v>
      </c>
      <c r="O278">
        <v>0</v>
      </c>
      <c r="P278">
        <v>297.71859999999998</v>
      </c>
      <c r="R278">
        <v>0</v>
      </c>
    </row>
    <row r="279" spans="1:18" hidden="1" x14ac:dyDescent="0.25">
      <c r="A279" t="s">
        <v>338</v>
      </c>
      <c r="B279" t="s">
        <v>46</v>
      </c>
      <c r="C279" t="s">
        <v>333</v>
      </c>
      <c r="D279" t="s">
        <v>31</v>
      </c>
      <c r="E279">
        <v>383.72399999999999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386.96300000000002</v>
      </c>
      <c r="L279">
        <v>0</v>
      </c>
      <c r="M279">
        <v>0</v>
      </c>
      <c r="N279">
        <v>0</v>
      </c>
      <c r="O279">
        <v>226.215</v>
      </c>
      <c r="P279">
        <v>232.5762</v>
      </c>
      <c r="R279">
        <v>0</v>
      </c>
    </row>
    <row r="280" spans="1:18" hidden="1" x14ac:dyDescent="0.25">
      <c r="A280" t="s">
        <v>339</v>
      </c>
      <c r="B280" t="s">
        <v>46</v>
      </c>
      <c r="C280" t="s">
        <v>333</v>
      </c>
      <c r="D280" t="s">
        <v>33</v>
      </c>
      <c r="E280">
        <v>401.709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416.49549999999999</v>
      </c>
      <c r="L280">
        <v>0</v>
      </c>
      <c r="M280">
        <v>0</v>
      </c>
      <c r="N280">
        <v>0</v>
      </c>
      <c r="O280">
        <v>226.215</v>
      </c>
      <c r="P280">
        <v>239.13249999999999</v>
      </c>
      <c r="R280">
        <v>0</v>
      </c>
    </row>
    <row r="281" spans="1:18" hidden="1" x14ac:dyDescent="0.25">
      <c r="A281" t="s">
        <v>340</v>
      </c>
      <c r="B281" t="s">
        <v>46</v>
      </c>
      <c r="C281" t="s">
        <v>333</v>
      </c>
      <c r="D281" t="s">
        <v>35</v>
      </c>
      <c r="E281">
        <v>846.15300000000002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276.78919999999999</v>
      </c>
      <c r="N281">
        <v>0</v>
      </c>
      <c r="O281">
        <v>466.565</v>
      </c>
      <c r="P281">
        <v>221.65639999999999</v>
      </c>
      <c r="R281">
        <v>0</v>
      </c>
    </row>
    <row r="282" spans="1:18" hidden="1" x14ac:dyDescent="0.25">
      <c r="A282" t="s">
        <v>341</v>
      </c>
      <c r="B282" t="s">
        <v>46</v>
      </c>
      <c r="C282" t="s">
        <v>342</v>
      </c>
      <c r="D282" t="s">
        <v>21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R282">
        <v>0</v>
      </c>
    </row>
    <row r="283" spans="1:18" hidden="1" x14ac:dyDescent="0.25">
      <c r="A283" t="s">
        <v>343</v>
      </c>
      <c r="B283" t="s">
        <v>46</v>
      </c>
      <c r="C283" t="s">
        <v>342</v>
      </c>
      <c r="D283" t="s">
        <v>23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405.4085</v>
      </c>
      <c r="R283">
        <v>0</v>
      </c>
    </row>
    <row r="284" spans="1:18" hidden="1" x14ac:dyDescent="0.25">
      <c r="A284" t="s">
        <v>344</v>
      </c>
      <c r="B284" t="s">
        <v>46</v>
      </c>
      <c r="C284" t="s">
        <v>342</v>
      </c>
      <c r="D284" t="s">
        <v>25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468.71719999999999</v>
      </c>
      <c r="R284">
        <v>0</v>
      </c>
    </row>
    <row r="285" spans="1:18" hidden="1" x14ac:dyDescent="0.25">
      <c r="A285" t="s">
        <v>345</v>
      </c>
      <c r="B285" t="s">
        <v>46</v>
      </c>
      <c r="C285" t="s">
        <v>342</v>
      </c>
      <c r="D285" t="s">
        <v>27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538.47810000000004</v>
      </c>
      <c r="R285">
        <v>0</v>
      </c>
    </row>
    <row r="286" spans="1:18" hidden="1" x14ac:dyDescent="0.25">
      <c r="A286" t="s">
        <v>346</v>
      </c>
      <c r="B286" t="s">
        <v>46</v>
      </c>
      <c r="C286" t="s">
        <v>342</v>
      </c>
      <c r="D286" t="s">
        <v>29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352.85590000000002</v>
      </c>
      <c r="R286">
        <v>0</v>
      </c>
    </row>
    <row r="287" spans="1:18" hidden="1" x14ac:dyDescent="0.25">
      <c r="A287" t="s">
        <v>347</v>
      </c>
      <c r="B287" t="s">
        <v>46</v>
      </c>
      <c r="C287" t="s">
        <v>342</v>
      </c>
      <c r="D287" t="s">
        <v>31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283.01310000000001</v>
      </c>
      <c r="R287">
        <v>0</v>
      </c>
    </row>
    <row r="288" spans="1:18" hidden="1" x14ac:dyDescent="0.25">
      <c r="A288" t="s">
        <v>348</v>
      </c>
      <c r="B288" t="s">
        <v>46</v>
      </c>
      <c r="C288" t="s">
        <v>342</v>
      </c>
      <c r="D288" t="s">
        <v>33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285.27030000000002</v>
      </c>
      <c r="R288">
        <v>0</v>
      </c>
    </row>
    <row r="289" spans="1:18" hidden="1" x14ac:dyDescent="0.25">
      <c r="A289" t="s">
        <v>349</v>
      </c>
      <c r="B289" t="s">
        <v>46</v>
      </c>
      <c r="C289" t="s">
        <v>342</v>
      </c>
      <c r="D289" t="s">
        <v>35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553.52110000000005</v>
      </c>
      <c r="R289">
        <v>0</v>
      </c>
    </row>
    <row r="290" spans="1:18" hidden="1" x14ac:dyDescent="0.25">
      <c r="A290" t="s">
        <v>350</v>
      </c>
      <c r="B290" t="s">
        <v>46</v>
      </c>
      <c r="C290" t="s">
        <v>351</v>
      </c>
      <c r="D290" t="s">
        <v>21</v>
      </c>
      <c r="E290">
        <v>134.31</v>
      </c>
      <c r="F290">
        <v>0</v>
      </c>
      <c r="G290">
        <v>0</v>
      </c>
      <c r="H290">
        <v>0</v>
      </c>
      <c r="I290">
        <v>0</v>
      </c>
      <c r="J290">
        <v>201</v>
      </c>
      <c r="K290">
        <v>0</v>
      </c>
      <c r="L290">
        <v>0</v>
      </c>
      <c r="M290">
        <v>0</v>
      </c>
      <c r="N290">
        <v>122.1</v>
      </c>
      <c r="O290">
        <v>0</v>
      </c>
      <c r="P290">
        <v>0</v>
      </c>
      <c r="R290">
        <v>0</v>
      </c>
    </row>
    <row r="291" spans="1:18" hidden="1" x14ac:dyDescent="0.25">
      <c r="A291" t="s">
        <v>352</v>
      </c>
      <c r="B291" t="s">
        <v>46</v>
      </c>
      <c r="C291" t="s">
        <v>351</v>
      </c>
      <c r="D291" t="s">
        <v>23</v>
      </c>
      <c r="E291">
        <v>219.78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107.49379999999999</v>
      </c>
      <c r="L291">
        <v>0</v>
      </c>
      <c r="M291">
        <v>0</v>
      </c>
      <c r="N291">
        <v>195.36</v>
      </c>
      <c r="O291">
        <v>181.5</v>
      </c>
      <c r="P291">
        <v>124.2714</v>
      </c>
      <c r="R291">
        <v>0</v>
      </c>
    </row>
    <row r="292" spans="1:18" hidden="1" x14ac:dyDescent="0.25">
      <c r="A292" t="s">
        <v>353</v>
      </c>
      <c r="B292" t="s">
        <v>46</v>
      </c>
      <c r="C292" t="s">
        <v>351</v>
      </c>
      <c r="D292" t="s">
        <v>25</v>
      </c>
      <c r="E292">
        <v>231.99</v>
      </c>
      <c r="F292">
        <v>0</v>
      </c>
      <c r="G292">
        <v>181.83</v>
      </c>
      <c r="H292">
        <v>0</v>
      </c>
      <c r="I292">
        <v>0</v>
      </c>
      <c r="J292">
        <v>339.9</v>
      </c>
      <c r="K292">
        <v>113.74339999999999</v>
      </c>
      <c r="L292">
        <v>0</v>
      </c>
      <c r="M292">
        <v>0</v>
      </c>
      <c r="N292">
        <v>213.67500000000001</v>
      </c>
      <c r="O292">
        <v>217.8</v>
      </c>
      <c r="P292">
        <v>178.2807</v>
      </c>
      <c r="R292">
        <v>0</v>
      </c>
    </row>
    <row r="293" spans="1:18" hidden="1" x14ac:dyDescent="0.25">
      <c r="A293" t="s">
        <v>354</v>
      </c>
      <c r="B293" t="s">
        <v>46</v>
      </c>
      <c r="C293" t="s">
        <v>351</v>
      </c>
      <c r="D293" t="s">
        <v>27</v>
      </c>
      <c r="E293">
        <v>286.935</v>
      </c>
      <c r="F293">
        <v>0</v>
      </c>
      <c r="G293">
        <v>280.89600000000002</v>
      </c>
      <c r="H293">
        <v>0</v>
      </c>
      <c r="I293">
        <v>0</v>
      </c>
      <c r="J293">
        <v>340</v>
      </c>
      <c r="K293">
        <v>0</v>
      </c>
      <c r="L293">
        <v>0</v>
      </c>
      <c r="M293">
        <v>572.13750000000005</v>
      </c>
      <c r="N293">
        <v>293.04000000000002</v>
      </c>
      <c r="O293">
        <v>242</v>
      </c>
      <c r="P293">
        <v>245.74469999999999</v>
      </c>
      <c r="R293">
        <v>0</v>
      </c>
    </row>
    <row r="294" spans="1:18" hidden="1" x14ac:dyDescent="0.25">
      <c r="A294" t="s">
        <v>355</v>
      </c>
      <c r="B294" t="s">
        <v>46</v>
      </c>
      <c r="C294" t="s">
        <v>351</v>
      </c>
      <c r="D294" t="s">
        <v>29</v>
      </c>
      <c r="E294">
        <v>146.52000000000001</v>
      </c>
      <c r="F294">
        <v>0</v>
      </c>
      <c r="G294">
        <v>0</v>
      </c>
      <c r="H294">
        <v>0</v>
      </c>
      <c r="I294">
        <v>0</v>
      </c>
      <c r="J294">
        <v>201</v>
      </c>
      <c r="K294">
        <v>88.593800000000002</v>
      </c>
      <c r="L294">
        <v>0</v>
      </c>
      <c r="M294">
        <v>0</v>
      </c>
      <c r="N294">
        <v>134.31</v>
      </c>
      <c r="O294">
        <v>0</v>
      </c>
      <c r="P294">
        <v>100.6335</v>
      </c>
      <c r="R294">
        <v>0</v>
      </c>
    </row>
    <row r="295" spans="1:18" hidden="1" x14ac:dyDescent="0.25">
      <c r="A295" t="s">
        <v>356</v>
      </c>
      <c r="B295" t="s">
        <v>46</v>
      </c>
      <c r="C295" t="s">
        <v>351</v>
      </c>
      <c r="D295" t="s">
        <v>31</v>
      </c>
      <c r="E295">
        <v>170.94</v>
      </c>
      <c r="F295">
        <v>0</v>
      </c>
      <c r="G295">
        <v>0</v>
      </c>
      <c r="H295">
        <v>0</v>
      </c>
      <c r="I295">
        <v>0</v>
      </c>
      <c r="J295">
        <v>212</v>
      </c>
      <c r="K295">
        <v>95.681299999999993</v>
      </c>
      <c r="L295">
        <v>0</v>
      </c>
      <c r="M295">
        <v>0</v>
      </c>
      <c r="N295">
        <v>152.625</v>
      </c>
      <c r="O295">
        <v>121</v>
      </c>
      <c r="P295">
        <v>104.87269999999999</v>
      </c>
      <c r="R295">
        <v>0</v>
      </c>
    </row>
    <row r="296" spans="1:18" hidden="1" x14ac:dyDescent="0.25">
      <c r="A296" t="s">
        <v>357</v>
      </c>
      <c r="B296" t="s">
        <v>46</v>
      </c>
      <c r="C296" t="s">
        <v>351</v>
      </c>
      <c r="D296" t="s">
        <v>33</v>
      </c>
      <c r="E296">
        <v>183.15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101.58750000000001</v>
      </c>
      <c r="L296">
        <v>0</v>
      </c>
      <c r="M296">
        <v>0</v>
      </c>
      <c r="N296">
        <v>164.83500000000001</v>
      </c>
      <c r="O296">
        <v>121</v>
      </c>
      <c r="P296">
        <v>110.0141</v>
      </c>
      <c r="R296">
        <v>0</v>
      </c>
    </row>
    <row r="297" spans="1:18" hidden="1" x14ac:dyDescent="0.25">
      <c r="A297" t="s">
        <v>358</v>
      </c>
      <c r="B297" t="s">
        <v>46</v>
      </c>
      <c r="C297" t="s">
        <v>351</v>
      </c>
      <c r="D297" t="s">
        <v>35</v>
      </c>
      <c r="E297">
        <v>305.25</v>
      </c>
      <c r="F297">
        <v>0</v>
      </c>
      <c r="G297">
        <v>282.14999999999998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653.33399999999995</v>
      </c>
      <c r="N297">
        <v>311.35500000000002</v>
      </c>
      <c r="O297">
        <v>278.3</v>
      </c>
      <c r="P297">
        <v>273.35629999999998</v>
      </c>
      <c r="R297">
        <v>0</v>
      </c>
    </row>
    <row r="298" spans="1:18" hidden="1" x14ac:dyDescent="0.25">
      <c r="A298" t="s">
        <v>359</v>
      </c>
      <c r="B298" t="s">
        <v>46</v>
      </c>
      <c r="C298" t="s">
        <v>360</v>
      </c>
      <c r="D298" t="s">
        <v>21</v>
      </c>
      <c r="E298">
        <v>687.423</v>
      </c>
      <c r="F298">
        <v>0</v>
      </c>
      <c r="G298">
        <v>0</v>
      </c>
      <c r="H298">
        <v>0</v>
      </c>
      <c r="I298">
        <v>0</v>
      </c>
      <c r="J298">
        <v>201</v>
      </c>
      <c r="K298">
        <v>0</v>
      </c>
      <c r="L298">
        <v>0</v>
      </c>
      <c r="M298">
        <v>0</v>
      </c>
      <c r="N298">
        <v>122.1</v>
      </c>
      <c r="O298">
        <v>0</v>
      </c>
      <c r="P298">
        <v>0</v>
      </c>
      <c r="R298">
        <v>0</v>
      </c>
    </row>
    <row r="299" spans="1:18" hidden="1" x14ac:dyDescent="0.25">
      <c r="A299" t="s">
        <v>361</v>
      </c>
      <c r="B299" t="s">
        <v>46</v>
      </c>
      <c r="C299" t="s">
        <v>360</v>
      </c>
      <c r="D299" t="s">
        <v>23</v>
      </c>
      <c r="E299">
        <v>1100.1210000000001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621.4221</v>
      </c>
      <c r="L299">
        <v>0</v>
      </c>
      <c r="M299">
        <v>0</v>
      </c>
      <c r="N299">
        <v>195.36</v>
      </c>
      <c r="O299">
        <v>693.03300000000002</v>
      </c>
      <c r="P299">
        <v>232.01509999999999</v>
      </c>
      <c r="R299">
        <v>0</v>
      </c>
    </row>
    <row r="300" spans="1:18" hidden="1" x14ac:dyDescent="0.25">
      <c r="A300" t="s">
        <v>362</v>
      </c>
      <c r="B300" t="s">
        <v>46</v>
      </c>
      <c r="C300" t="s">
        <v>360</v>
      </c>
      <c r="D300" t="s">
        <v>25</v>
      </c>
      <c r="E300">
        <v>1214.895</v>
      </c>
      <c r="F300">
        <v>0</v>
      </c>
      <c r="G300">
        <v>628.25400000000002</v>
      </c>
      <c r="H300">
        <v>0</v>
      </c>
      <c r="I300">
        <v>0</v>
      </c>
      <c r="J300">
        <v>339.9</v>
      </c>
      <c r="K300">
        <v>714.20650000000001</v>
      </c>
      <c r="L300">
        <v>0</v>
      </c>
      <c r="M300">
        <v>0</v>
      </c>
      <c r="N300">
        <v>213.67500000000001</v>
      </c>
      <c r="O300">
        <v>808.54399999999998</v>
      </c>
      <c r="P300">
        <v>242.77440000000001</v>
      </c>
      <c r="R300">
        <v>0</v>
      </c>
    </row>
    <row r="301" spans="1:18" hidden="1" x14ac:dyDescent="0.25">
      <c r="A301" t="s">
        <v>363</v>
      </c>
      <c r="B301" t="s">
        <v>46</v>
      </c>
      <c r="C301" t="s">
        <v>360</v>
      </c>
      <c r="D301" t="s">
        <v>27</v>
      </c>
      <c r="E301">
        <v>1329.6690000000001</v>
      </c>
      <c r="F301">
        <v>0</v>
      </c>
      <c r="G301">
        <v>776.226</v>
      </c>
      <c r="H301">
        <v>0</v>
      </c>
      <c r="I301">
        <v>0</v>
      </c>
      <c r="J301">
        <v>340</v>
      </c>
      <c r="K301">
        <v>0</v>
      </c>
      <c r="L301">
        <v>0</v>
      </c>
      <c r="M301">
        <v>572.13750000000005</v>
      </c>
      <c r="N301">
        <v>293.04000000000002</v>
      </c>
      <c r="O301">
        <v>924.04399999999998</v>
      </c>
      <c r="P301">
        <v>349.77199999999999</v>
      </c>
      <c r="R301">
        <v>0</v>
      </c>
    </row>
    <row r="302" spans="1:18" hidden="1" x14ac:dyDescent="0.25">
      <c r="A302" t="s">
        <v>364</v>
      </c>
      <c r="B302" t="s">
        <v>46</v>
      </c>
      <c r="C302" t="s">
        <v>360</v>
      </c>
      <c r="D302" t="s">
        <v>29</v>
      </c>
      <c r="E302">
        <v>737.48400000000004</v>
      </c>
      <c r="F302">
        <v>0</v>
      </c>
      <c r="G302">
        <v>0</v>
      </c>
      <c r="H302">
        <v>0</v>
      </c>
      <c r="I302">
        <v>0</v>
      </c>
      <c r="J302">
        <v>201</v>
      </c>
      <c r="K302">
        <v>402.0573</v>
      </c>
      <c r="L302">
        <v>0</v>
      </c>
      <c r="M302">
        <v>0</v>
      </c>
      <c r="N302">
        <v>134.31</v>
      </c>
      <c r="O302">
        <v>0</v>
      </c>
      <c r="P302">
        <v>144.52350000000001</v>
      </c>
      <c r="R302">
        <v>0</v>
      </c>
    </row>
    <row r="303" spans="1:18" hidden="1" x14ac:dyDescent="0.25">
      <c r="A303" t="s">
        <v>365</v>
      </c>
      <c r="B303" t="s">
        <v>46</v>
      </c>
      <c r="C303" t="s">
        <v>360</v>
      </c>
      <c r="D303" t="s">
        <v>31</v>
      </c>
      <c r="E303">
        <v>761.904</v>
      </c>
      <c r="F303">
        <v>0</v>
      </c>
      <c r="G303">
        <v>0</v>
      </c>
      <c r="H303">
        <v>0</v>
      </c>
      <c r="I303">
        <v>0</v>
      </c>
      <c r="J303">
        <v>212</v>
      </c>
      <c r="K303">
        <v>493.80700000000002</v>
      </c>
      <c r="L303">
        <v>0</v>
      </c>
      <c r="M303">
        <v>0</v>
      </c>
      <c r="N303">
        <v>152.625</v>
      </c>
      <c r="O303">
        <v>462.02199999999999</v>
      </c>
      <c r="P303">
        <v>164.42449999999999</v>
      </c>
      <c r="R303">
        <v>0</v>
      </c>
    </row>
    <row r="304" spans="1:18" hidden="1" x14ac:dyDescent="0.25">
      <c r="A304" t="s">
        <v>366</v>
      </c>
      <c r="B304" t="s">
        <v>46</v>
      </c>
      <c r="C304" t="s">
        <v>360</v>
      </c>
      <c r="D304" t="s">
        <v>33</v>
      </c>
      <c r="E304">
        <v>820.51199999999994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522.33550000000002</v>
      </c>
      <c r="L304">
        <v>0</v>
      </c>
      <c r="M304">
        <v>0</v>
      </c>
      <c r="N304">
        <v>164.83500000000001</v>
      </c>
      <c r="O304">
        <v>462.02199999999999</v>
      </c>
      <c r="P304">
        <v>174.7073</v>
      </c>
      <c r="R304">
        <v>0</v>
      </c>
    </row>
    <row r="305" spans="1:18" hidden="1" x14ac:dyDescent="0.25">
      <c r="A305" t="s">
        <v>367</v>
      </c>
      <c r="B305" t="s">
        <v>46</v>
      </c>
      <c r="C305" t="s">
        <v>360</v>
      </c>
      <c r="D305" t="s">
        <v>35</v>
      </c>
      <c r="E305">
        <v>1727.7149999999999</v>
      </c>
      <c r="F305">
        <v>0</v>
      </c>
      <c r="G305">
        <v>850.21199999999999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604.11450000000002</v>
      </c>
      <c r="N305">
        <v>311.35500000000002</v>
      </c>
      <c r="O305">
        <v>952.93</v>
      </c>
      <c r="P305">
        <v>370.952</v>
      </c>
      <c r="R305">
        <v>0</v>
      </c>
    </row>
    <row r="306" spans="1:18" hidden="1" x14ac:dyDescent="0.25">
      <c r="A306" t="s">
        <v>368</v>
      </c>
      <c r="B306" t="s">
        <v>46</v>
      </c>
      <c r="C306" t="s">
        <v>369</v>
      </c>
      <c r="D306" t="s">
        <v>21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R306">
        <v>0</v>
      </c>
    </row>
    <row r="307" spans="1:18" hidden="1" x14ac:dyDescent="0.25">
      <c r="A307" t="s">
        <v>370</v>
      </c>
      <c r="B307" t="s">
        <v>46</v>
      </c>
      <c r="C307" t="s">
        <v>369</v>
      </c>
      <c r="D307" t="s">
        <v>23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792.82529999999997</v>
      </c>
      <c r="R307">
        <v>0</v>
      </c>
    </row>
    <row r="308" spans="1:18" hidden="1" x14ac:dyDescent="0.25">
      <c r="A308" t="s">
        <v>371</v>
      </c>
      <c r="B308" t="s">
        <v>46</v>
      </c>
      <c r="C308" t="s">
        <v>369</v>
      </c>
      <c r="D308" t="s">
        <v>25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871.00609999999995</v>
      </c>
      <c r="R308">
        <v>0</v>
      </c>
    </row>
    <row r="309" spans="1:18" hidden="1" x14ac:dyDescent="0.25">
      <c r="A309" t="s">
        <v>372</v>
      </c>
      <c r="B309" t="s">
        <v>46</v>
      </c>
      <c r="C309" t="s">
        <v>369</v>
      </c>
      <c r="D309" t="s">
        <v>27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964.11350000000004</v>
      </c>
      <c r="R309">
        <v>0</v>
      </c>
    </row>
    <row r="310" spans="1:18" hidden="1" x14ac:dyDescent="0.25">
      <c r="A310" t="s">
        <v>373</v>
      </c>
      <c r="B310" t="s">
        <v>46</v>
      </c>
      <c r="C310" t="s">
        <v>369</v>
      </c>
      <c r="D310" t="s">
        <v>29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556.44230000000005</v>
      </c>
      <c r="R310">
        <v>0</v>
      </c>
    </row>
    <row r="311" spans="1:18" hidden="1" x14ac:dyDescent="0.25">
      <c r="A311" t="s">
        <v>374</v>
      </c>
      <c r="B311" t="s">
        <v>46</v>
      </c>
      <c r="C311" t="s">
        <v>369</v>
      </c>
      <c r="D311" t="s">
        <v>31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558.88879999999995</v>
      </c>
      <c r="R311">
        <v>0</v>
      </c>
    </row>
    <row r="312" spans="1:18" hidden="1" x14ac:dyDescent="0.25">
      <c r="A312" t="s">
        <v>375</v>
      </c>
      <c r="B312" t="s">
        <v>46</v>
      </c>
      <c r="C312" t="s">
        <v>369</v>
      </c>
      <c r="D312" t="s">
        <v>33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561.29669999999999</v>
      </c>
      <c r="R312">
        <v>0</v>
      </c>
    </row>
    <row r="313" spans="1:18" hidden="1" x14ac:dyDescent="0.25">
      <c r="A313" t="s">
        <v>376</v>
      </c>
      <c r="B313" t="s">
        <v>46</v>
      </c>
      <c r="C313" t="s">
        <v>369</v>
      </c>
      <c r="D313" t="s">
        <v>35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967.17740000000003</v>
      </c>
      <c r="R313">
        <v>0</v>
      </c>
    </row>
    <row r="314" spans="1:18" hidden="1" x14ac:dyDescent="0.25">
      <c r="A314" t="s">
        <v>377</v>
      </c>
      <c r="B314" t="s">
        <v>46</v>
      </c>
      <c r="C314" t="s">
        <v>378</v>
      </c>
      <c r="D314" t="s">
        <v>21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R314">
        <v>0</v>
      </c>
    </row>
    <row r="315" spans="1:18" hidden="1" x14ac:dyDescent="0.25">
      <c r="A315" t="s">
        <v>379</v>
      </c>
      <c r="B315" t="s">
        <v>46</v>
      </c>
      <c r="C315" t="s">
        <v>378</v>
      </c>
      <c r="D315" t="s">
        <v>23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552.50019999999995</v>
      </c>
      <c r="R315">
        <v>0</v>
      </c>
    </row>
    <row r="316" spans="1:18" hidden="1" x14ac:dyDescent="0.25">
      <c r="A316" t="s">
        <v>380</v>
      </c>
      <c r="B316" t="s">
        <v>46</v>
      </c>
      <c r="C316" t="s">
        <v>378</v>
      </c>
      <c r="D316" t="s">
        <v>25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600.11800000000005</v>
      </c>
      <c r="R316">
        <v>0</v>
      </c>
    </row>
    <row r="317" spans="1:18" hidden="1" x14ac:dyDescent="0.25">
      <c r="A317" t="s">
        <v>381</v>
      </c>
      <c r="B317" t="s">
        <v>46</v>
      </c>
      <c r="C317" t="s">
        <v>378</v>
      </c>
      <c r="D317" t="s">
        <v>27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732.76750000000004</v>
      </c>
      <c r="R317">
        <v>0</v>
      </c>
    </row>
    <row r="318" spans="1:18" hidden="1" x14ac:dyDescent="0.25">
      <c r="A318" t="s">
        <v>382</v>
      </c>
      <c r="B318" t="s">
        <v>46</v>
      </c>
      <c r="C318" t="s">
        <v>378</v>
      </c>
      <c r="D318" t="s">
        <v>29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415.43090000000001</v>
      </c>
      <c r="R318">
        <v>0</v>
      </c>
    </row>
    <row r="319" spans="1:18" hidden="1" x14ac:dyDescent="0.25">
      <c r="A319" t="s">
        <v>383</v>
      </c>
      <c r="B319" t="s">
        <v>46</v>
      </c>
      <c r="C319" t="s">
        <v>378</v>
      </c>
      <c r="D319" t="s">
        <v>31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375.84719999999999</v>
      </c>
      <c r="R319">
        <v>0</v>
      </c>
    </row>
    <row r="320" spans="1:18" hidden="1" x14ac:dyDescent="0.25">
      <c r="A320" t="s">
        <v>384</v>
      </c>
      <c r="B320" t="s">
        <v>46</v>
      </c>
      <c r="C320" t="s">
        <v>378</v>
      </c>
      <c r="D320" t="s">
        <v>33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384.27190000000002</v>
      </c>
      <c r="R320">
        <v>0</v>
      </c>
    </row>
    <row r="321" spans="1:18" hidden="1" x14ac:dyDescent="0.25">
      <c r="A321" t="s">
        <v>385</v>
      </c>
      <c r="B321" t="s">
        <v>46</v>
      </c>
      <c r="C321" t="s">
        <v>378</v>
      </c>
      <c r="D321" t="s">
        <v>35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753.48940000000005</v>
      </c>
      <c r="R321">
        <v>0</v>
      </c>
    </row>
    <row r="322" spans="1:18" hidden="1" x14ac:dyDescent="0.25">
      <c r="A322" t="s">
        <v>386</v>
      </c>
      <c r="B322" t="s">
        <v>46</v>
      </c>
      <c r="C322" t="s">
        <v>387</v>
      </c>
      <c r="D322" t="s">
        <v>21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R322">
        <v>0</v>
      </c>
    </row>
    <row r="323" spans="1:18" hidden="1" x14ac:dyDescent="0.25">
      <c r="A323" t="s">
        <v>388</v>
      </c>
      <c r="B323" t="s">
        <v>46</v>
      </c>
      <c r="C323" t="s">
        <v>387</v>
      </c>
      <c r="D323" t="s">
        <v>23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363.505</v>
      </c>
      <c r="R323">
        <v>0</v>
      </c>
    </row>
    <row r="324" spans="1:18" hidden="1" x14ac:dyDescent="0.25">
      <c r="A324" t="s">
        <v>389</v>
      </c>
      <c r="B324" t="s">
        <v>46</v>
      </c>
      <c r="C324" t="s">
        <v>387</v>
      </c>
      <c r="D324" t="s">
        <v>25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414.92540000000002</v>
      </c>
      <c r="R324">
        <v>0</v>
      </c>
    </row>
    <row r="325" spans="1:18" hidden="1" x14ac:dyDescent="0.25">
      <c r="A325" t="s">
        <v>390</v>
      </c>
      <c r="B325" t="s">
        <v>46</v>
      </c>
      <c r="C325" t="s">
        <v>387</v>
      </c>
      <c r="D325" t="s">
        <v>27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481.21600000000001</v>
      </c>
      <c r="R325">
        <v>0</v>
      </c>
    </row>
    <row r="326" spans="1:18" hidden="1" x14ac:dyDescent="0.25">
      <c r="A326" t="s">
        <v>391</v>
      </c>
      <c r="B326" t="s">
        <v>46</v>
      </c>
      <c r="C326" t="s">
        <v>387</v>
      </c>
      <c r="D326" t="s">
        <v>29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298.11360000000002</v>
      </c>
      <c r="R326">
        <v>0</v>
      </c>
    </row>
    <row r="327" spans="1:18" hidden="1" x14ac:dyDescent="0.25">
      <c r="A327" t="s">
        <v>392</v>
      </c>
      <c r="B327" t="s">
        <v>46</v>
      </c>
      <c r="C327" t="s">
        <v>387</v>
      </c>
      <c r="D327" t="s">
        <v>31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243.14599999999999</v>
      </c>
      <c r="R327">
        <v>0</v>
      </c>
    </row>
    <row r="328" spans="1:18" hidden="1" x14ac:dyDescent="0.25">
      <c r="A328" t="s">
        <v>393</v>
      </c>
      <c r="B328" t="s">
        <v>46</v>
      </c>
      <c r="C328" t="s">
        <v>387</v>
      </c>
      <c r="D328" t="s">
        <v>33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249.70230000000001</v>
      </c>
      <c r="R328">
        <v>0</v>
      </c>
    </row>
    <row r="329" spans="1:18" hidden="1" x14ac:dyDescent="0.25">
      <c r="A329" t="s">
        <v>394</v>
      </c>
      <c r="B329" t="s">
        <v>46</v>
      </c>
      <c r="C329" t="s">
        <v>387</v>
      </c>
      <c r="D329" t="s">
        <v>35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494.64800000000002</v>
      </c>
      <c r="R329">
        <v>0</v>
      </c>
    </row>
    <row r="330" spans="1:18" hidden="1" x14ac:dyDescent="0.25">
      <c r="A330" t="s">
        <v>395</v>
      </c>
      <c r="B330" t="s">
        <v>46</v>
      </c>
      <c r="C330" t="s">
        <v>396</v>
      </c>
      <c r="D330" t="s">
        <v>21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201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R330">
        <v>0</v>
      </c>
    </row>
    <row r="331" spans="1:18" hidden="1" x14ac:dyDescent="0.25">
      <c r="A331" t="s">
        <v>397</v>
      </c>
      <c r="B331" t="s">
        <v>46</v>
      </c>
      <c r="C331" t="s">
        <v>396</v>
      </c>
      <c r="D331" t="s">
        <v>23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135.83410000000001</v>
      </c>
      <c r="R331">
        <v>0</v>
      </c>
    </row>
    <row r="332" spans="1:18" hidden="1" x14ac:dyDescent="0.25">
      <c r="A332" t="s">
        <v>398</v>
      </c>
      <c r="B332" t="s">
        <v>46</v>
      </c>
      <c r="C332" t="s">
        <v>396</v>
      </c>
      <c r="D332" t="s">
        <v>25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339.9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179.78550000000001</v>
      </c>
      <c r="R332">
        <v>0</v>
      </c>
    </row>
    <row r="333" spans="1:18" hidden="1" x14ac:dyDescent="0.25">
      <c r="A333" t="s">
        <v>399</v>
      </c>
      <c r="B333" t="s">
        <v>46</v>
      </c>
      <c r="C333" t="s">
        <v>396</v>
      </c>
      <c r="D333" t="s">
        <v>27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340</v>
      </c>
      <c r="K333">
        <v>0</v>
      </c>
      <c r="L333">
        <v>0</v>
      </c>
      <c r="M333">
        <v>501.66269999999997</v>
      </c>
      <c r="N333">
        <v>0</v>
      </c>
      <c r="O333">
        <v>0</v>
      </c>
      <c r="P333">
        <v>245.74469999999999</v>
      </c>
      <c r="R333">
        <v>0</v>
      </c>
    </row>
    <row r="334" spans="1:18" hidden="1" x14ac:dyDescent="0.25">
      <c r="A334" t="s">
        <v>400</v>
      </c>
      <c r="B334" t="s">
        <v>46</v>
      </c>
      <c r="C334" t="s">
        <v>396</v>
      </c>
      <c r="D334" t="s">
        <v>29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201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111.2925</v>
      </c>
      <c r="R334">
        <v>0</v>
      </c>
    </row>
    <row r="335" spans="1:18" hidden="1" x14ac:dyDescent="0.25">
      <c r="A335" t="s">
        <v>401</v>
      </c>
      <c r="B335" t="s">
        <v>46</v>
      </c>
      <c r="C335" t="s">
        <v>396</v>
      </c>
      <c r="D335" t="s">
        <v>31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212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115.1555</v>
      </c>
      <c r="R335">
        <v>0</v>
      </c>
    </row>
    <row r="336" spans="1:18" hidden="1" x14ac:dyDescent="0.25">
      <c r="A336" t="s">
        <v>402</v>
      </c>
      <c r="B336" t="s">
        <v>46</v>
      </c>
      <c r="C336" t="s">
        <v>396</v>
      </c>
      <c r="D336" t="s">
        <v>33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119.9871</v>
      </c>
      <c r="R336">
        <v>0</v>
      </c>
    </row>
    <row r="337" spans="1:18" hidden="1" x14ac:dyDescent="0.25">
      <c r="A337" t="s">
        <v>403</v>
      </c>
      <c r="B337" t="s">
        <v>46</v>
      </c>
      <c r="C337" t="s">
        <v>396</v>
      </c>
      <c r="D337" t="s">
        <v>35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533.63969999999995</v>
      </c>
      <c r="N337">
        <v>0</v>
      </c>
      <c r="O337">
        <v>0</v>
      </c>
      <c r="P337">
        <v>273.35629999999998</v>
      </c>
      <c r="R337">
        <v>0</v>
      </c>
    </row>
    <row r="338" spans="1:18" hidden="1" x14ac:dyDescent="0.25">
      <c r="A338" t="s">
        <v>404</v>
      </c>
      <c r="B338" t="s">
        <v>46</v>
      </c>
      <c r="C338" t="s">
        <v>405</v>
      </c>
      <c r="D338" t="s">
        <v>21</v>
      </c>
      <c r="E338">
        <v>338.21699999999998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R338">
        <v>0</v>
      </c>
    </row>
    <row r="339" spans="1:18" hidden="1" x14ac:dyDescent="0.25">
      <c r="A339" t="s">
        <v>406</v>
      </c>
      <c r="B339" t="s">
        <v>46</v>
      </c>
      <c r="C339" t="s">
        <v>405</v>
      </c>
      <c r="D339" t="s">
        <v>23</v>
      </c>
      <c r="E339">
        <v>540.90300000000002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473.70679999999999</v>
      </c>
      <c r="L339">
        <v>0</v>
      </c>
      <c r="M339">
        <v>0</v>
      </c>
      <c r="N339">
        <v>0</v>
      </c>
      <c r="O339">
        <v>341.22</v>
      </c>
      <c r="P339">
        <v>348.25560000000002</v>
      </c>
      <c r="R339">
        <v>0</v>
      </c>
    </row>
    <row r="340" spans="1:18" hidden="1" x14ac:dyDescent="0.25">
      <c r="A340" t="s">
        <v>407</v>
      </c>
      <c r="B340" t="s">
        <v>46</v>
      </c>
      <c r="C340" t="s">
        <v>405</v>
      </c>
      <c r="D340" t="s">
        <v>25</v>
      </c>
      <c r="E340">
        <v>598.29</v>
      </c>
      <c r="F340">
        <v>0</v>
      </c>
      <c r="G340">
        <v>472.75799999999998</v>
      </c>
      <c r="H340">
        <v>0</v>
      </c>
      <c r="I340">
        <v>0</v>
      </c>
      <c r="J340">
        <v>0</v>
      </c>
      <c r="K340">
        <v>536.94809999999995</v>
      </c>
      <c r="L340">
        <v>0</v>
      </c>
      <c r="M340">
        <v>0</v>
      </c>
      <c r="N340">
        <v>0</v>
      </c>
      <c r="O340">
        <v>398.09</v>
      </c>
      <c r="P340">
        <v>397.79880000000003</v>
      </c>
      <c r="R340">
        <v>0</v>
      </c>
    </row>
    <row r="341" spans="1:18" hidden="1" x14ac:dyDescent="0.25">
      <c r="A341" t="s">
        <v>408</v>
      </c>
      <c r="B341" t="s">
        <v>46</v>
      </c>
      <c r="C341" t="s">
        <v>405</v>
      </c>
      <c r="D341" t="s">
        <v>27</v>
      </c>
      <c r="E341">
        <v>654.45600000000002</v>
      </c>
      <c r="F341">
        <v>0</v>
      </c>
      <c r="G341">
        <v>655.84199999999998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454.96</v>
      </c>
      <c r="P341">
        <v>461.64269999999999</v>
      </c>
      <c r="R341">
        <v>0</v>
      </c>
    </row>
    <row r="342" spans="1:18" hidden="1" x14ac:dyDescent="0.25">
      <c r="A342" t="s">
        <v>409</v>
      </c>
      <c r="B342" t="s">
        <v>46</v>
      </c>
      <c r="C342" t="s">
        <v>405</v>
      </c>
      <c r="D342" t="s">
        <v>29</v>
      </c>
      <c r="E342">
        <v>362.637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296.20080000000002</v>
      </c>
      <c r="L342">
        <v>0</v>
      </c>
      <c r="M342">
        <v>0</v>
      </c>
      <c r="N342">
        <v>0</v>
      </c>
      <c r="O342">
        <v>0</v>
      </c>
      <c r="P342">
        <v>296.1386</v>
      </c>
      <c r="R342">
        <v>0</v>
      </c>
    </row>
    <row r="343" spans="1:18" hidden="1" x14ac:dyDescent="0.25">
      <c r="A343" t="s">
        <v>410</v>
      </c>
      <c r="B343" t="s">
        <v>46</v>
      </c>
      <c r="C343" t="s">
        <v>405</v>
      </c>
      <c r="D343" t="s">
        <v>31</v>
      </c>
      <c r="E343">
        <v>374.84699999999998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365.83949999999999</v>
      </c>
      <c r="L343">
        <v>0</v>
      </c>
      <c r="M343">
        <v>0</v>
      </c>
      <c r="N343">
        <v>0</v>
      </c>
      <c r="O343">
        <v>227.48</v>
      </c>
      <c r="P343">
        <v>233.68190000000001</v>
      </c>
      <c r="R343">
        <v>0</v>
      </c>
    </row>
    <row r="344" spans="1:18" hidden="1" x14ac:dyDescent="0.25">
      <c r="A344" t="s">
        <v>411</v>
      </c>
      <c r="B344" t="s">
        <v>46</v>
      </c>
      <c r="C344" t="s">
        <v>405</v>
      </c>
      <c r="D344" t="s">
        <v>33</v>
      </c>
      <c r="E344">
        <v>404.15100000000001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386.25549999999998</v>
      </c>
      <c r="L344">
        <v>0</v>
      </c>
      <c r="M344">
        <v>0</v>
      </c>
      <c r="N344">
        <v>0</v>
      </c>
      <c r="O344">
        <v>227.48</v>
      </c>
      <c r="P344">
        <v>240.23820000000001</v>
      </c>
      <c r="R344">
        <v>0</v>
      </c>
    </row>
    <row r="345" spans="1:18" hidden="1" x14ac:dyDescent="0.25">
      <c r="A345" t="s">
        <v>412</v>
      </c>
      <c r="B345" t="s">
        <v>46</v>
      </c>
      <c r="C345" t="s">
        <v>405</v>
      </c>
      <c r="D345" t="s">
        <v>35</v>
      </c>
      <c r="E345">
        <v>851.03700000000003</v>
      </c>
      <c r="F345">
        <v>0</v>
      </c>
      <c r="G345">
        <v>692.20799999999997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469.18299999999999</v>
      </c>
      <c r="P345">
        <v>474.46300000000002</v>
      </c>
      <c r="R345">
        <v>0</v>
      </c>
    </row>
    <row r="346" spans="1:18" hidden="1" x14ac:dyDescent="0.25">
      <c r="A346" t="s">
        <v>413</v>
      </c>
      <c r="B346" t="s">
        <v>46</v>
      </c>
      <c r="C346" t="s">
        <v>414</v>
      </c>
      <c r="D346" t="s">
        <v>21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R346">
        <v>0</v>
      </c>
    </row>
    <row r="347" spans="1:18" hidden="1" x14ac:dyDescent="0.25">
      <c r="A347" t="s">
        <v>415</v>
      </c>
      <c r="B347" t="s">
        <v>46</v>
      </c>
      <c r="C347" t="s">
        <v>414</v>
      </c>
      <c r="D347" t="s">
        <v>23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278.1576</v>
      </c>
      <c r="R347">
        <v>0</v>
      </c>
    </row>
    <row r="348" spans="1:18" hidden="1" x14ac:dyDescent="0.25">
      <c r="A348" t="s">
        <v>416</v>
      </c>
      <c r="B348" t="s">
        <v>46</v>
      </c>
      <c r="C348" t="s">
        <v>414</v>
      </c>
      <c r="D348" t="s">
        <v>25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317.33539999999999</v>
      </c>
      <c r="R348">
        <v>0</v>
      </c>
    </row>
    <row r="349" spans="1:18" hidden="1" x14ac:dyDescent="0.25">
      <c r="A349" t="s">
        <v>417</v>
      </c>
      <c r="B349" t="s">
        <v>46</v>
      </c>
      <c r="C349" t="s">
        <v>414</v>
      </c>
      <c r="D349" t="s">
        <v>27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373.28789999999998</v>
      </c>
      <c r="R349">
        <v>0</v>
      </c>
    </row>
    <row r="350" spans="1:18" hidden="1" x14ac:dyDescent="0.25">
      <c r="A350" t="s">
        <v>418</v>
      </c>
      <c r="B350" t="s">
        <v>46</v>
      </c>
      <c r="C350" t="s">
        <v>414</v>
      </c>
      <c r="D350" t="s">
        <v>29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249.62979999999999</v>
      </c>
      <c r="R350">
        <v>0</v>
      </c>
    </row>
    <row r="351" spans="1:18" hidden="1" x14ac:dyDescent="0.25">
      <c r="A351" t="s">
        <v>419</v>
      </c>
      <c r="B351" t="s">
        <v>46</v>
      </c>
      <c r="C351" t="s">
        <v>414</v>
      </c>
      <c r="D351" t="s">
        <v>31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189.59909999999999</v>
      </c>
      <c r="R351">
        <v>0</v>
      </c>
    </row>
    <row r="352" spans="1:18" hidden="1" x14ac:dyDescent="0.25">
      <c r="A352" t="s">
        <v>420</v>
      </c>
      <c r="B352" t="s">
        <v>46</v>
      </c>
      <c r="C352" t="s">
        <v>414</v>
      </c>
      <c r="D352" t="s">
        <v>33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195.08250000000001</v>
      </c>
      <c r="R352">
        <v>0</v>
      </c>
    </row>
    <row r="353" spans="1:18" hidden="1" x14ac:dyDescent="0.25">
      <c r="A353" t="s">
        <v>421</v>
      </c>
      <c r="B353" t="s">
        <v>46</v>
      </c>
      <c r="C353" t="s">
        <v>414</v>
      </c>
      <c r="D353" t="s">
        <v>35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383.63260000000002</v>
      </c>
      <c r="R353">
        <v>0</v>
      </c>
    </row>
    <row r="354" spans="1:18" hidden="1" x14ac:dyDescent="0.25">
      <c r="A354" t="s">
        <v>422</v>
      </c>
      <c r="B354" t="s">
        <v>46</v>
      </c>
      <c r="C354" t="s">
        <v>423</v>
      </c>
      <c r="D354" t="s">
        <v>21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R354">
        <v>0</v>
      </c>
    </row>
    <row r="355" spans="1:18" hidden="1" x14ac:dyDescent="0.25">
      <c r="A355" t="s">
        <v>424</v>
      </c>
      <c r="B355" t="s">
        <v>46</v>
      </c>
      <c r="C355" t="s">
        <v>423</v>
      </c>
      <c r="D355" t="s">
        <v>23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122.7666</v>
      </c>
      <c r="R355">
        <v>0</v>
      </c>
    </row>
    <row r="356" spans="1:18" hidden="1" x14ac:dyDescent="0.25">
      <c r="A356" t="s">
        <v>425</v>
      </c>
      <c r="B356" t="s">
        <v>46</v>
      </c>
      <c r="C356" t="s">
        <v>423</v>
      </c>
      <c r="D356" t="s">
        <v>25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178.30590000000001</v>
      </c>
      <c r="R356">
        <v>0</v>
      </c>
    </row>
    <row r="357" spans="1:18" hidden="1" x14ac:dyDescent="0.25">
      <c r="A357" t="s">
        <v>426</v>
      </c>
      <c r="B357" t="s">
        <v>46</v>
      </c>
      <c r="C357" t="s">
        <v>423</v>
      </c>
      <c r="D357" t="s">
        <v>27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572.13750000000005</v>
      </c>
      <c r="N357">
        <v>0</v>
      </c>
      <c r="O357">
        <v>0</v>
      </c>
      <c r="P357">
        <v>245.74469999999999</v>
      </c>
      <c r="R357">
        <v>0</v>
      </c>
    </row>
    <row r="358" spans="1:18" hidden="1" x14ac:dyDescent="0.25">
      <c r="A358" t="s">
        <v>427</v>
      </c>
      <c r="B358" t="s">
        <v>46</v>
      </c>
      <c r="C358" t="s">
        <v>423</v>
      </c>
      <c r="D358" t="s">
        <v>29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99.316800000000001</v>
      </c>
      <c r="R358">
        <v>0</v>
      </c>
    </row>
    <row r="359" spans="1:18" hidden="1" x14ac:dyDescent="0.25">
      <c r="A359" t="s">
        <v>428</v>
      </c>
      <c r="B359" t="s">
        <v>46</v>
      </c>
      <c r="C359" t="s">
        <v>423</v>
      </c>
      <c r="D359" t="s">
        <v>31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104.3229</v>
      </c>
      <c r="R359">
        <v>0</v>
      </c>
    </row>
    <row r="360" spans="1:18" hidden="1" x14ac:dyDescent="0.25">
      <c r="A360" t="s">
        <v>429</v>
      </c>
      <c r="B360" t="s">
        <v>46</v>
      </c>
      <c r="C360" t="s">
        <v>423</v>
      </c>
      <c r="D360" t="s">
        <v>33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109.6524</v>
      </c>
      <c r="R360">
        <v>0</v>
      </c>
    </row>
    <row r="361" spans="1:18" hidden="1" x14ac:dyDescent="0.25">
      <c r="A361" t="s">
        <v>430</v>
      </c>
      <c r="B361" t="s">
        <v>46</v>
      </c>
      <c r="C361" t="s">
        <v>423</v>
      </c>
      <c r="D361" t="s">
        <v>35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604.11450000000002</v>
      </c>
      <c r="N361">
        <v>0</v>
      </c>
      <c r="O361">
        <v>0</v>
      </c>
      <c r="P361">
        <v>273.35629999999998</v>
      </c>
      <c r="R361">
        <v>0</v>
      </c>
    </row>
    <row r="362" spans="1:18" hidden="1" x14ac:dyDescent="0.25">
      <c r="A362" t="s">
        <v>431</v>
      </c>
      <c r="B362" t="s">
        <v>46</v>
      </c>
      <c r="C362" t="s">
        <v>432</v>
      </c>
      <c r="D362" t="s">
        <v>21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R362">
        <v>0</v>
      </c>
    </row>
    <row r="363" spans="1:18" hidden="1" x14ac:dyDescent="0.25">
      <c r="A363" t="s">
        <v>433</v>
      </c>
      <c r="B363" t="s">
        <v>46</v>
      </c>
      <c r="C363" t="s">
        <v>432</v>
      </c>
      <c r="D363" t="s">
        <v>23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402.72680000000003</v>
      </c>
      <c r="R363">
        <v>0</v>
      </c>
    </row>
    <row r="364" spans="1:18" hidden="1" x14ac:dyDescent="0.25">
      <c r="A364" t="s">
        <v>434</v>
      </c>
      <c r="B364" t="s">
        <v>46</v>
      </c>
      <c r="C364" t="s">
        <v>432</v>
      </c>
      <c r="D364" t="s">
        <v>25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465.66820000000001</v>
      </c>
      <c r="R364">
        <v>0</v>
      </c>
    </row>
    <row r="365" spans="1:18" hidden="1" x14ac:dyDescent="0.25">
      <c r="A365" t="s">
        <v>435</v>
      </c>
      <c r="B365" t="s">
        <v>46</v>
      </c>
      <c r="C365" t="s">
        <v>432</v>
      </c>
      <c r="D365" t="s">
        <v>27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536.02539999999999</v>
      </c>
      <c r="R365">
        <v>0</v>
      </c>
    </row>
    <row r="366" spans="1:18" hidden="1" x14ac:dyDescent="0.25">
      <c r="A366" t="s">
        <v>436</v>
      </c>
      <c r="B366" t="s">
        <v>46</v>
      </c>
      <c r="C366" t="s">
        <v>432</v>
      </c>
      <c r="D366" t="s">
        <v>29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356.28559999999999</v>
      </c>
      <c r="R366">
        <v>0</v>
      </c>
    </row>
    <row r="367" spans="1:18" hidden="1" x14ac:dyDescent="0.25">
      <c r="A367" t="s">
        <v>437</v>
      </c>
      <c r="B367" t="s">
        <v>46</v>
      </c>
      <c r="C367" t="s">
        <v>432</v>
      </c>
      <c r="D367" t="s">
        <v>31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281.07479999999998</v>
      </c>
      <c r="R367">
        <v>0</v>
      </c>
    </row>
    <row r="368" spans="1:18" hidden="1" x14ac:dyDescent="0.25">
      <c r="A368" t="s">
        <v>438</v>
      </c>
      <c r="B368" t="s">
        <v>46</v>
      </c>
      <c r="C368" t="s">
        <v>432</v>
      </c>
      <c r="D368" t="s">
        <v>33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283.33199999999999</v>
      </c>
      <c r="R368">
        <v>0</v>
      </c>
    </row>
    <row r="369" spans="1:18" hidden="1" x14ac:dyDescent="0.25">
      <c r="A369" t="s">
        <v>439</v>
      </c>
      <c r="B369" t="s">
        <v>46</v>
      </c>
      <c r="C369" t="s">
        <v>432</v>
      </c>
      <c r="D369" t="s">
        <v>35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550.99170000000004</v>
      </c>
      <c r="R369">
        <v>0</v>
      </c>
    </row>
    <row r="370" spans="1:18" hidden="1" x14ac:dyDescent="0.25">
      <c r="A370" t="s">
        <v>440</v>
      </c>
      <c r="B370" t="s">
        <v>46</v>
      </c>
      <c r="C370" t="s">
        <v>441</v>
      </c>
      <c r="D370" t="s">
        <v>21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R370">
        <v>0</v>
      </c>
    </row>
    <row r="371" spans="1:18" hidden="1" x14ac:dyDescent="0.25">
      <c r="A371" t="s">
        <v>442</v>
      </c>
      <c r="B371" t="s">
        <v>46</v>
      </c>
      <c r="C371" t="s">
        <v>441</v>
      </c>
      <c r="D371" t="s">
        <v>23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570.23379999999997</v>
      </c>
      <c r="R371">
        <v>0</v>
      </c>
    </row>
    <row r="372" spans="1:18" hidden="1" x14ac:dyDescent="0.25">
      <c r="A372" t="s">
        <v>443</v>
      </c>
      <c r="B372" t="s">
        <v>46</v>
      </c>
      <c r="C372" t="s">
        <v>441</v>
      </c>
      <c r="D372" t="s">
        <v>25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602.23389999999995</v>
      </c>
      <c r="R372">
        <v>0</v>
      </c>
    </row>
    <row r="373" spans="1:18" hidden="1" x14ac:dyDescent="0.25">
      <c r="A373" t="s">
        <v>444</v>
      </c>
      <c r="B373" t="s">
        <v>46</v>
      </c>
      <c r="C373" t="s">
        <v>441</v>
      </c>
      <c r="D373" t="s">
        <v>27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757.21839999999997</v>
      </c>
      <c r="R373">
        <v>0</v>
      </c>
    </row>
    <row r="374" spans="1:18" hidden="1" x14ac:dyDescent="0.25">
      <c r="A374" t="s">
        <v>445</v>
      </c>
      <c r="B374" t="s">
        <v>46</v>
      </c>
      <c r="C374" t="s">
        <v>441</v>
      </c>
      <c r="D374" t="s">
        <v>29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391.46699999999998</v>
      </c>
      <c r="R374">
        <v>0</v>
      </c>
    </row>
    <row r="375" spans="1:18" hidden="1" x14ac:dyDescent="0.25">
      <c r="A375" t="s">
        <v>446</v>
      </c>
      <c r="B375" t="s">
        <v>46</v>
      </c>
      <c r="C375" t="s">
        <v>441</v>
      </c>
      <c r="D375" t="s">
        <v>31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387.6696</v>
      </c>
      <c r="R375">
        <v>0</v>
      </c>
    </row>
    <row r="376" spans="1:18" hidden="1" x14ac:dyDescent="0.25">
      <c r="A376" t="s">
        <v>447</v>
      </c>
      <c r="B376" t="s">
        <v>46</v>
      </c>
      <c r="C376" t="s">
        <v>441</v>
      </c>
      <c r="D376" t="s">
        <v>33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393.20510000000002</v>
      </c>
      <c r="R376">
        <v>0</v>
      </c>
    </row>
    <row r="377" spans="1:18" hidden="1" x14ac:dyDescent="0.25">
      <c r="A377" t="s">
        <v>448</v>
      </c>
      <c r="B377" t="s">
        <v>46</v>
      </c>
      <c r="C377" t="s">
        <v>441</v>
      </c>
      <c r="D377" t="s">
        <v>35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774.52440000000001</v>
      </c>
      <c r="R377">
        <v>0</v>
      </c>
    </row>
    <row r="378" spans="1:18" hidden="1" x14ac:dyDescent="0.25">
      <c r="A378" t="s">
        <v>449</v>
      </c>
      <c r="B378" t="s">
        <v>46</v>
      </c>
      <c r="C378" t="s">
        <v>450</v>
      </c>
      <c r="D378" t="s">
        <v>21</v>
      </c>
      <c r="E378">
        <v>189.255</v>
      </c>
      <c r="F378">
        <v>0</v>
      </c>
      <c r="G378">
        <v>0</v>
      </c>
      <c r="H378">
        <v>0</v>
      </c>
      <c r="I378">
        <v>0</v>
      </c>
      <c r="J378">
        <v>201</v>
      </c>
      <c r="K378">
        <v>0</v>
      </c>
      <c r="L378">
        <v>0</v>
      </c>
      <c r="M378">
        <v>0</v>
      </c>
      <c r="N378">
        <v>183.15</v>
      </c>
      <c r="O378">
        <v>0</v>
      </c>
      <c r="P378">
        <v>0</v>
      </c>
      <c r="R378">
        <v>0</v>
      </c>
    </row>
    <row r="379" spans="1:18" hidden="1" x14ac:dyDescent="0.25">
      <c r="A379" t="s">
        <v>451</v>
      </c>
      <c r="B379" t="s">
        <v>46</v>
      </c>
      <c r="C379" t="s">
        <v>450</v>
      </c>
      <c r="D379" t="s">
        <v>23</v>
      </c>
      <c r="E379">
        <v>274.72500000000002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265.78120000000001</v>
      </c>
      <c r="L379">
        <v>0</v>
      </c>
      <c r="M379">
        <v>0</v>
      </c>
      <c r="N379">
        <v>311.35500000000002</v>
      </c>
      <c r="O379">
        <v>181.5</v>
      </c>
      <c r="P379">
        <v>184.0231</v>
      </c>
      <c r="R379">
        <v>0</v>
      </c>
    </row>
    <row r="380" spans="1:18" hidden="1" x14ac:dyDescent="0.25">
      <c r="A380" t="s">
        <v>452</v>
      </c>
      <c r="B380" t="s">
        <v>46</v>
      </c>
      <c r="C380" t="s">
        <v>450</v>
      </c>
      <c r="D380" t="s">
        <v>25</v>
      </c>
      <c r="E380">
        <v>286.935</v>
      </c>
      <c r="F380">
        <v>0</v>
      </c>
      <c r="G380">
        <v>0</v>
      </c>
      <c r="H380">
        <v>0</v>
      </c>
      <c r="I380">
        <v>0</v>
      </c>
      <c r="J380">
        <v>339.9</v>
      </c>
      <c r="K380">
        <v>287.4375</v>
      </c>
      <c r="L380">
        <v>0</v>
      </c>
      <c r="M380">
        <v>0</v>
      </c>
      <c r="N380">
        <v>329.67</v>
      </c>
      <c r="O380">
        <v>217.8</v>
      </c>
      <c r="P380">
        <v>204.95160000000001</v>
      </c>
      <c r="R380">
        <v>0</v>
      </c>
    </row>
    <row r="381" spans="1:18" hidden="1" x14ac:dyDescent="0.25">
      <c r="A381" t="s">
        <v>453</v>
      </c>
      <c r="B381" t="s">
        <v>46</v>
      </c>
      <c r="C381" t="s">
        <v>450</v>
      </c>
      <c r="D381" t="s">
        <v>27</v>
      </c>
      <c r="E381">
        <v>341.88</v>
      </c>
      <c r="F381">
        <v>0</v>
      </c>
      <c r="G381">
        <v>336.072</v>
      </c>
      <c r="H381">
        <v>0</v>
      </c>
      <c r="I381">
        <v>0</v>
      </c>
      <c r="J381">
        <v>340</v>
      </c>
      <c r="K381">
        <v>0</v>
      </c>
      <c r="L381">
        <v>0</v>
      </c>
      <c r="M381">
        <v>461.53469999999999</v>
      </c>
      <c r="N381">
        <v>402.93</v>
      </c>
      <c r="O381">
        <v>242</v>
      </c>
      <c r="P381">
        <v>253.73920000000001</v>
      </c>
      <c r="R381">
        <v>0</v>
      </c>
    </row>
    <row r="382" spans="1:18" hidden="1" x14ac:dyDescent="0.25">
      <c r="A382" t="s">
        <v>454</v>
      </c>
      <c r="B382" t="s">
        <v>46</v>
      </c>
      <c r="C382" t="s">
        <v>450</v>
      </c>
      <c r="D382" t="s">
        <v>29</v>
      </c>
      <c r="E382">
        <v>191.18</v>
      </c>
      <c r="F382">
        <v>0</v>
      </c>
      <c r="G382">
        <v>163.68</v>
      </c>
      <c r="H382">
        <v>0</v>
      </c>
      <c r="I382">
        <v>0</v>
      </c>
      <c r="J382">
        <v>201</v>
      </c>
      <c r="K382">
        <v>153.5625</v>
      </c>
      <c r="L382">
        <v>0</v>
      </c>
      <c r="M382">
        <v>0</v>
      </c>
      <c r="N382">
        <v>195.36</v>
      </c>
      <c r="O382">
        <v>0</v>
      </c>
      <c r="P382">
        <v>164.90100000000001</v>
      </c>
      <c r="R382">
        <v>0</v>
      </c>
    </row>
    <row r="383" spans="1:18" hidden="1" x14ac:dyDescent="0.25">
      <c r="A383" t="s">
        <v>455</v>
      </c>
      <c r="B383" t="s">
        <v>46</v>
      </c>
      <c r="C383" t="s">
        <v>450</v>
      </c>
      <c r="D383" t="s">
        <v>31</v>
      </c>
      <c r="E383">
        <v>215.6</v>
      </c>
      <c r="F383">
        <v>0</v>
      </c>
      <c r="G383">
        <v>178.2</v>
      </c>
      <c r="H383">
        <v>0</v>
      </c>
      <c r="I383">
        <v>0</v>
      </c>
      <c r="J383">
        <v>212</v>
      </c>
      <c r="K383">
        <v>189</v>
      </c>
      <c r="L383">
        <v>0</v>
      </c>
      <c r="M383">
        <v>0</v>
      </c>
      <c r="N383">
        <v>231.99</v>
      </c>
      <c r="O383">
        <v>121</v>
      </c>
      <c r="P383">
        <v>132.40170000000001</v>
      </c>
      <c r="R383">
        <v>0</v>
      </c>
    </row>
    <row r="384" spans="1:18" hidden="1" x14ac:dyDescent="0.25">
      <c r="A384" t="s">
        <v>456</v>
      </c>
      <c r="B384" t="s">
        <v>46</v>
      </c>
      <c r="C384" t="s">
        <v>450</v>
      </c>
      <c r="D384" t="s">
        <v>33</v>
      </c>
      <c r="E384">
        <v>226.6</v>
      </c>
      <c r="F384">
        <v>0</v>
      </c>
      <c r="G384">
        <v>182.6</v>
      </c>
      <c r="H384">
        <v>0</v>
      </c>
      <c r="I384">
        <v>0</v>
      </c>
      <c r="J384">
        <v>0</v>
      </c>
      <c r="K384">
        <v>212.625</v>
      </c>
      <c r="L384">
        <v>0</v>
      </c>
      <c r="M384">
        <v>0</v>
      </c>
      <c r="N384">
        <v>256.41000000000003</v>
      </c>
      <c r="O384">
        <v>121</v>
      </c>
      <c r="P384">
        <v>133.30459999999999</v>
      </c>
      <c r="R384">
        <v>0</v>
      </c>
    </row>
    <row r="385" spans="1:18" hidden="1" x14ac:dyDescent="0.25">
      <c r="A385" t="s">
        <v>457</v>
      </c>
      <c r="B385" t="s">
        <v>46</v>
      </c>
      <c r="C385" t="s">
        <v>450</v>
      </c>
      <c r="D385" t="s">
        <v>35</v>
      </c>
      <c r="E385">
        <v>342.65</v>
      </c>
      <c r="F385">
        <v>0</v>
      </c>
      <c r="G385">
        <v>324.34289999999999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496.0197</v>
      </c>
      <c r="N385">
        <v>418.88</v>
      </c>
      <c r="O385">
        <v>278.3</v>
      </c>
      <c r="P385">
        <v>283.2346</v>
      </c>
      <c r="R385">
        <v>0</v>
      </c>
    </row>
    <row r="386" spans="1:18" hidden="1" x14ac:dyDescent="0.25">
      <c r="A386" t="s">
        <v>458</v>
      </c>
      <c r="B386" t="s">
        <v>46</v>
      </c>
      <c r="C386" t="s">
        <v>459</v>
      </c>
      <c r="D386" t="s">
        <v>21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R386">
        <v>0</v>
      </c>
    </row>
    <row r="387" spans="1:18" hidden="1" x14ac:dyDescent="0.25">
      <c r="A387" t="s">
        <v>460</v>
      </c>
      <c r="B387" t="s">
        <v>46</v>
      </c>
      <c r="C387" t="s">
        <v>459</v>
      </c>
      <c r="D387" t="s">
        <v>23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602.02530000000002</v>
      </c>
      <c r="R387">
        <v>0</v>
      </c>
    </row>
    <row r="388" spans="1:18" hidden="1" x14ac:dyDescent="0.25">
      <c r="A388" t="s">
        <v>461</v>
      </c>
      <c r="B388" t="s">
        <v>46</v>
      </c>
      <c r="C388" t="s">
        <v>459</v>
      </c>
      <c r="D388" t="s">
        <v>25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610.26969999999994</v>
      </c>
      <c r="R388">
        <v>0</v>
      </c>
    </row>
    <row r="389" spans="1:18" hidden="1" x14ac:dyDescent="0.25">
      <c r="A389" t="s">
        <v>462</v>
      </c>
      <c r="B389" t="s">
        <v>46</v>
      </c>
      <c r="C389" t="s">
        <v>459</v>
      </c>
      <c r="D389" t="s">
        <v>27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839.32079999999996</v>
      </c>
      <c r="R389">
        <v>0</v>
      </c>
    </row>
    <row r="390" spans="1:18" hidden="1" x14ac:dyDescent="0.25">
      <c r="A390" t="s">
        <v>463</v>
      </c>
      <c r="B390" t="s">
        <v>46</v>
      </c>
      <c r="C390" t="s">
        <v>459</v>
      </c>
      <c r="D390" t="s">
        <v>29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439.39490000000001</v>
      </c>
      <c r="R390">
        <v>0</v>
      </c>
    </row>
    <row r="391" spans="1:18" hidden="1" x14ac:dyDescent="0.25">
      <c r="A391" t="s">
        <v>464</v>
      </c>
      <c r="B391" t="s">
        <v>46</v>
      </c>
      <c r="C391" t="s">
        <v>459</v>
      </c>
      <c r="D391" t="s">
        <v>31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432.56799999999998</v>
      </c>
      <c r="R391">
        <v>0</v>
      </c>
    </row>
    <row r="392" spans="1:18" hidden="1" x14ac:dyDescent="0.25">
      <c r="A392" t="s">
        <v>465</v>
      </c>
      <c r="B392" t="s">
        <v>46</v>
      </c>
      <c r="C392" t="s">
        <v>459</v>
      </c>
      <c r="D392" t="s">
        <v>33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442.81959999999998</v>
      </c>
      <c r="R392">
        <v>0</v>
      </c>
    </row>
    <row r="393" spans="1:18" hidden="1" x14ac:dyDescent="0.25">
      <c r="A393" t="s">
        <v>466</v>
      </c>
      <c r="B393" t="s">
        <v>46</v>
      </c>
      <c r="C393" t="s">
        <v>459</v>
      </c>
      <c r="D393" t="s">
        <v>35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841.7328</v>
      </c>
      <c r="R393">
        <v>0</v>
      </c>
    </row>
    <row r="394" spans="1:18" hidden="1" x14ac:dyDescent="0.25">
      <c r="A394" t="s">
        <v>467</v>
      </c>
      <c r="B394" t="s">
        <v>46</v>
      </c>
      <c r="C394" t="s">
        <v>468</v>
      </c>
      <c r="D394" t="s">
        <v>21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R394">
        <v>0</v>
      </c>
    </row>
    <row r="395" spans="1:18" hidden="1" x14ac:dyDescent="0.25">
      <c r="A395" t="s">
        <v>469</v>
      </c>
      <c r="B395" t="s">
        <v>46</v>
      </c>
      <c r="C395" t="s">
        <v>468</v>
      </c>
      <c r="D395" t="s">
        <v>23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599.86059999999998</v>
      </c>
      <c r="R395">
        <v>0</v>
      </c>
    </row>
    <row r="396" spans="1:18" hidden="1" x14ac:dyDescent="0.25">
      <c r="A396" t="s">
        <v>470</v>
      </c>
      <c r="B396" t="s">
        <v>46</v>
      </c>
      <c r="C396" t="s">
        <v>468</v>
      </c>
      <c r="D396" t="s">
        <v>25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608.37559999999996</v>
      </c>
      <c r="R396">
        <v>0</v>
      </c>
    </row>
    <row r="397" spans="1:18" hidden="1" x14ac:dyDescent="0.25">
      <c r="A397" t="s">
        <v>471</v>
      </c>
      <c r="B397" t="s">
        <v>46</v>
      </c>
      <c r="C397" t="s">
        <v>468</v>
      </c>
      <c r="D397" t="s">
        <v>27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833.89850000000001</v>
      </c>
      <c r="R397">
        <v>0</v>
      </c>
    </row>
    <row r="398" spans="1:18" hidden="1" x14ac:dyDescent="0.25">
      <c r="A398" t="s">
        <v>472</v>
      </c>
      <c r="B398" t="s">
        <v>46</v>
      </c>
      <c r="C398" t="s">
        <v>468</v>
      </c>
      <c r="D398" t="s">
        <v>29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433.81920000000002</v>
      </c>
      <c r="R398">
        <v>0</v>
      </c>
    </row>
    <row r="399" spans="1:18" hidden="1" x14ac:dyDescent="0.25">
      <c r="A399" t="s">
        <v>473</v>
      </c>
      <c r="B399" t="s">
        <v>46</v>
      </c>
      <c r="C399" t="s">
        <v>468</v>
      </c>
      <c r="D399" t="s">
        <v>31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421.98480000000001</v>
      </c>
      <c r="R399">
        <v>0</v>
      </c>
    </row>
    <row r="400" spans="1:18" hidden="1" x14ac:dyDescent="0.25">
      <c r="A400" t="s">
        <v>474</v>
      </c>
      <c r="B400" t="s">
        <v>46</v>
      </c>
      <c r="C400" t="s">
        <v>468</v>
      </c>
      <c r="D400" t="s">
        <v>33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431.3725</v>
      </c>
      <c r="R400">
        <v>0</v>
      </c>
    </row>
    <row r="401" spans="1:18" hidden="1" x14ac:dyDescent="0.25">
      <c r="A401" t="s">
        <v>475</v>
      </c>
      <c r="B401" t="s">
        <v>46</v>
      </c>
      <c r="C401" t="s">
        <v>468</v>
      </c>
      <c r="D401" t="s">
        <v>35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839.50040000000001</v>
      </c>
      <c r="R401">
        <v>0</v>
      </c>
    </row>
    <row r="402" spans="1:18" hidden="1" x14ac:dyDescent="0.25">
      <c r="A402" t="s">
        <v>476</v>
      </c>
      <c r="B402" t="s">
        <v>46</v>
      </c>
      <c r="C402" t="s">
        <v>477</v>
      </c>
      <c r="D402" t="s">
        <v>21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R402">
        <v>0</v>
      </c>
    </row>
    <row r="403" spans="1:18" hidden="1" x14ac:dyDescent="0.25">
      <c r="A403" t="s">
        <v>478</v>
      </c>
      <c r="B403" t="s">
        <v>46</v>
      </c>
      <c r="C403" t="s">
        <v>477</v>
      </c>
      <c r="D403" t="s">
        <v>23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586.2088</v>
      </c>
      <c r="R403">
        <v>0</v>
      </c>
    </row>
    <row r="404" spans="1:18" hidden="1" x14ac:dyDescent="0.25">
      <c r="A404" t="s">
        <v>479</v>
      </c>
      <c r="B404" t="s">
        <v>46</v>
      </c>
      <c r="C404" t="s">
        <v>477</v>
      </c>
      <c r="D404" t="s">
        <v>25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604.14</v>
      </c>
      <c r="R404">
        <v>0</v>
      </c>
    </row>
    <row r="405" spans="1:18" hidden="1" x14ac:dyDescent="0.25">
      <c r="A405" t="s">
        <v>480</v>
      </c>
      <c r="B405" t="s">
        <v>46</v>
      </c>
      <c r="C405" t="s">
        <v>477</v>
      </c>
      <c r="D405" t="s">
        <v>27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784.95479999999998</v>
      </c>
      <c r="R405">
        <v>0</v>
      </c>
    </row>
    <row r="406" spans="1:18" hidden="1" x14ac:dyDescent="0.25">
      <c r="A406" t="s">
        <v>481</v>
      </c>
      <c r="B406" t="s">
        <v>46</v>
      </c>
      <c r="C406" t="s">
        <v>477</v>
      </c>
      <c r="D406" t="s">
        <v>29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399.45499999999998</v>
      </c>
      <c r="R406">
        <v>0</v>
      </c>
    </row>
    <row r="407" spans="1:18" hidden="1" x14ac:dyDescent="0.25">
      <c r="A407" t="s">
        <v>482</v>
      </c>
      <c r="B407" t="s">
        <v>46</v>
      </c>
      <c r="C407" t="s">
        <v>477</v>
      </c>
      <c r="D407" t="s">
        <v>31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398.31970000000001</v>
      </c>
      <c r="R407">
        <v>0</v>
      </c>
    </row>
    <row r="408" spans="1:18" hidden="1" x14ac:dyDescent="0.25">
      <c r="A408" t="s">
        <v>483</v>
      </c>
      <c r="B408" t="s">
        <v>46</v>
      </c>
      <c r="C408" t="s">
        <v>477</v>
      </c>
      <c r="D408" t="s">
        <v>33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403.85509999999999</v>
      </c>
      <c r="R408">
        <v>0</v>
      </c>
    </row>
    <row r="409" spans="1:18" hidden="1" x14ac:dyDescent="0.25">
      <c r="A409" t="s">
        <v>484</v>
      </c>
      <c r="B409" t="s">
        <v>46</v>
      </c>
      <c r="C409" t="s">
        <v>477</v>
      </c>
      <c r="D409" t="s">
        <v>35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807.12919999999997</v>
      </c>
      <c r="R409">
        <v>0</v>
      </c>
    </row>
    <row r="410" spans="1:18" hidden="1" x14ac:dyDescent="0.25">
      <c r="A410" t="s">
        <v>485</v>
      </c>
      <c r="B410" t="s">
        <v>46</v>
      </c>
      <c r="C410" t="s">
        <v>486</v>
      </c>
      <c r="D410" t="s">
        <v>21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R410">
        <v>0</v>
      </c>
    </row>
    <row r="411" spans="1:18" hidden="1" x14ac:dyDescent="0.25">
      <c r="A411" t="s">
        <v>487</v>
      </c>
      <c r="B411" t="s">
        <v>46</v>
      </c>
      <c r="C411" t="s">
        <v>486</v>
      </c>
      <c r="D411" t="s">
        <v>23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316.78100000000001</v>
      </c>
      <c r="R411">
        <v>0</v>
      </c>
    </row>
    <row r="412" spans="1:18" hidden="1" x14ac:dyDescent="0.25">
      <c r="A412" t="s">
        <v>488</v>
      </c>
      <c r="B412" t="s">
        <v>46</v>
      </c>
      <c r="C412" t="s">
        <v>486</v>
      </c>
      <c r="D412" t="s">
        <v>25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362.73140000000001</v>
      </c>
      <c r="R412">
        <v>0</v>
      </c>
    </row>
    <row r="413" spans="1:18" hidden="1" x14ac:dyDescent="0.25">
      <c r="A413" t="s">
        <v>489</v>
      </c>
      <c r="B413" t="s">
        <v>46</v>
      </c>
      <c r="C413" t="s">
        <v>486</v>
      </c>
      <c r="D413" t="s">
        <v>27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421.56569999999999</v>
      </c>
      <c r="R413">
        <v>0</v>
      </c>
    </row>
    <row r="414" spans="1:18" hidden="1" x14ac:dyDescent="0.25">
      <c r="A414" t="s">
        <v>490</v>
      </c>
      <c r="B414" t="s">
        <v>46</v>
      </c>
      <c r="C414" t="s">
        <v>486</v>
      </c>
      <c r="D414" t="s">
        <v>29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297.7466</v>
      </c>
      <c r="R414">
        <v>0</v>
      </c>
    </row>
    <row r="415" spans="1:18" hidden="1" x14ac:dyDescent="0.25">
      <c r="A415" t="s">
        <v>491</v>
      </c>
      <c r="B415" t="s">
        <v>46</v>
      </c>
      <c r="C415" t="s">
        <v>486</v>
      </c>
      <c r="D415" t="s">
        <v>31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214.30410000000001</v>
      </c>
      <c r="R415">
        <v>0</v>
      </c>
    </row>
    <row r="416" spans="1:18" hidden="1" x14ac:dyDescent="0.25">
      <c r="A416" t="s">
        <v>492</v>
      </c>
      <c r="B416" t="s">
        <v>46</v>
      </c>
      <c r="C416" t="s">
        <v>486</v>
      </c>
      <c r="D416" t="s">
        <v>33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220.8603</v>
      </c>
      <c r="R416">
        <v>0</v>
      </c>
    </row>
    <row r="417" spans="1:18" hidden="1" x14ac:dyDescent="0.25">
      <c r="A417" t="s">
        <v>493</v>
      </c>
      <c r="B417" t="s">
        <v>46</v>
      </c>
      <c r="C417" t="s">
        <v>486</v>
      </c>
      <c r="D417" t="s">
        <v>35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433.1336</v>
      </c>
      <c r="R417">
        <v>0</v>
      </c>
    </row>
    <row r="418" spans="1:18" hidden="1" x14ac:dyDescent="0.25">
      <c r="A418" t="s">
        <v>494</v>
      </c>
      <c r="B418" t="s">
        <v>46</v>
      </c>
      <c r="C418" t="s">
        <v>495</v>
      </c>
      <c r="D418" t="s">
        <v>21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R418">
        <v>0</v>
      </c>
    </row>
    <row r="419" spans="1:18" hidden="1" x14ac:dyDescent="0.25">
      <c r="A419" t="s">
        <v>496</v>
      </c>
      <c r="B419" t="s">
        <v>46</v>
      </c>
      <c r="C419" t="s">
        <v>495</v>
      </c>
      <c r="D419" t="s">
        <v>23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599.66909999999996</v>
      </c>
      <c r="R419">
        <v>0</v>
      </c>
    </row>
    <row r="420" spans="1:18" hidden="1" x14ac:dyDescent="0.25">
      <c r="A420" t="s">
        <v>497</v>
      </c>
      <c r="B420" t="s">
        <v>46</v>
      </c>
      <c r="C420" t="s">
        <v>495</v>
      </c>
      <c r="D420" t="s">
        <v>25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608.20799999999997</v>
      </c>
      <c r="R420">
        <v>0</v>
      </c>
    </row>
    <row r="421" spans="1:18" hidden="1" x14ac:dyDescent="0.25">
      <c r="A421" t="s">
        <v>498</v>
      </c>
      <c r="B421" t="s">
        <v>46</v>
      </c>
      <c r="C421" t="s">
        <v>495</v>
      </c>
      <c r="D421" t="s">
        <v>27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831.96249999999998</v>
      </c>
      <c r="R421">
        <v>0</v>
      </c>
    </row>
    <row r="422" spans="1:18" hidden="1" x14ac:dyDescent="0.25">
      <c r="A422" t="s">
        <v>499</v>
      </c>
      <c r="B422" t="s">
        <v>46</v>
      </c>
      <c r="C422" t="s">
        <v>495</v>
      </c>
      <c r="D422" t="s">
        <v>29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443.38889999999998</v>
      </c>
      <c r="R422">
        <v>0</v>
      </c>
    </row>
    <row r="423" spans="1:18" hidden="1" x14ac:dyDescent="0.25">
      <c r="A423" t="s">
        <v>500</v>
      </c>
      <c r="B423" t="s">
        <v>46</v>
      </c>
      <c r="C423" t="s">
        <v>495</v>
      </c>
      <c r="D423" t="s">
        <v>31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421.0487</v>
      </c>
      <c r="R423">
        <v>0</v>
      </c>
    </row>
    <row r="424" spans="1:18" hidden="1" x14ac:dyDescent="0.25">
      <c r="A424" t="s">
        <v>501</v>
      </c>
      <c r="B424" t="s">
        <v>46</v>
      </c>
      <c r="C424" t="s">
        <v>495</v>
      </c>
      <c r="D424" t="s">
        <v>33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431.30020000000002</v>
      </c>
      <c r="R424">
        <v>0</v>
      </c>
    </row>
    <row r="425" spans="1:18" hidden="1" x14ac:dyDescent="0.25">
      <c r="A425" t="s">
        <v>502</v>
      </c>
      <c r="B425" t="s">
        <v>46</v>
      </c>
      <c r="C425" t="s">
        <v>495</v>
      </c>
      <c r="D425" t="s">
        <v>35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839.303</v>
      </c>
      <c r="R425">
        <v>0</v>
      </c>
    </row>
    <row r="426" spans="1:18" hidden="1" x14ac:dyDescent="0.25">
      <c r="A426" t="s">
        <v>503</v>
      </c>
      <c r="B426" t="s">
        <v>46</v>
      </c>
      <c r="C426" t="s">
        <v>504</v>
      </c>
      <c r="D426" t="s">
        <v>21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R426">
        <v>0</v>
      </c>
    </row>
    <row r="427" spans="1:18" hidden="1" x14ac:dyDescent="0.25">
      <c r="A427" t="s">
        <v>505</v>
      </c>
      <c r="B427" t="s">
        <v>46</v>
      </c>
      <c r="C427" t="s">
        <v>504</v>
      </c>
      <c r="D427" t="s">
        <v>23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585.44780000000003</v>
      </c>
      <c r="R427">
        <v>0</v>
      </c>
    </row>
    <row r="428" spans="1:18" hidden="1" x14ac:dyDescent="0.25">
      <c r="A428" t="s">
        <v>506</v>
      </c>
      <c r="B428" t="s">
        <v>46</v>
      </c>
      <c r="C428" t="s">
        <v>504</v>
      </c>
      <c r="D428" t="s">
        <v>25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604.04930000000002</v>
      </c>
      <c r="R428">
        <v>0</v>
      </c>
    </row>
    <row r="429" spans="1:18" hidden="1" x14ac:dyDescent="0.25">
      <c r="A429" t="s">
        <v>507</v>
      </c>
      <c r="B429" t="s">
        <v>46</v>
      </c>
      <c r="C429" t="s">
        <v>504</v>
      </c>
      <c r="D429" t="s">
        <v>27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783.90570000000002</v>
      </c>
      <c r="R429">
        <v>0</v>
      </c>
    </row>
    <row r="430" spans="1:18" hidden="1" x14ac:dyDescent="0.25">
      <c r="A430" t="s">
        <v>508</v>
      </c>
      <c r="B430" t="s">
        <v>46</v>
      </c>
      <c r="C430" t="s">
        <v>504</v>
      </c>
      <c r="D430" t="s">
        <v>29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401.8673</v>
      </c>
      <c r="R430">
        <v>0</v>
      </c>
    </row>
    <row r="431" spans="1:18" hidden="1" x14ac:dyDescent="0.25">
      <c r="A431" t="s">
        <v>509</v>
      </c>
      <c r="B431" t="s">
        <v>46</v>
      </c>
      <c r="C431" t="s">
        <v>504</v>
      </c>
      <c r="D431" t="s">
        <v>31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397.81240000000003</v>
      </c>
      <c r="R431">
        <v>0</v>
      </c>
    </row>
    <row r="432" spans="1:18" hidden="1" x14ac:dyDescent="0.25">
      <c r="A432" t="s">
        <v>510</v>
      </c>
      <c r="B432" t="s">
        <v>46</v>
      </c>
      <c r="C432" t="s">
        <v>504</v>
      </c>
      <c r="D432" t="s">
        <v>33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405.27390000000003</v>
      </c>
      <c r="R432">
        <v>0</v>
      </c>
    </row>
    <row r="433" spans="1:18" hidden="1" x14ac:dyDescent="0.25">
      <c r="A433" t="s">
        <v>511</v>
      </c>
      <c r="B433" t="s">
        <v>46</v>
      </c>
      <c r="C433" t="s">
        <v>504</v>
      </c>
      <c r="D433" t="s">
        <v>35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806.04719999999998</v>
      </c>
      <c r="R433">
        <v>0</v>
      </c>
    </row>
    <row r="434" spans="1:18" hidden="1" x14ac:dyDescent="0.25">
      <c r="A434" t="s">
        <v>512</v>
      </c>
      <c r="B434" t="s">
        <v>46</v>
      </c>
      <c r="C434" t="s">
        <v>513</v>
      </c>
      <c r="D434" t="s">
        <v>21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R434">
        <v>0</v>
      </c>
    </row>
    <row r="435" spans="1:18" hidden="1" x14ac:dyDescent="0.25">
      <c r="A435" t="s">
        <v>514</v>
      </c>
      <c r="B435" t="s">
        <v>46</v>
      </c>
      <c r="C435" t="s">
        <v>513</v>
      </c>
      <c r="D435" t="s">
        <v>23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795.14689999999996</v>
      </c>
      <c r="R435">
        <v>0</v>
      </c>
    </row>
    <row r="436" spans="1:18" hidden="1" x14ac:dyDescent="0.25">
      <c r="A436" t="s">
        <v>515</v>
      </c>
      <c r="B436" t="s">
        <v>46</v>
      </c>
      <c r="C436" t="s">
        <v>513</v>
      </c>
      <c r="D436" t="s">
        <v>25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886.89520000000005</v>
      </c>
      <c r="R436">
        <v>0</v>
      </c>
    </row>
    <row r="437" spans="1:18" hidden="1" x14ac:dyDescent="0.25">
      <c r="A437" t="s">
        <v>516</v>
      </c>
      <c r="B437" t="s">
        <v>46</v>
      </c>
      <c r="C437" t="s">
        <v>513</v>
      </c>
      <c r="D437" t="s">
        <v>27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982.25130000000001</v>
      </c>
      <c r="R437">
        <v>0</v>
      </c>
    </row>
    <row r="438" spans="1:18" hidden="1" x14ac:dyDescent="0.25">
      <c r="A438" t="s">
        <v>517</v>
      </c>
      <c r="B438" t="s">
        <v>46</v>
      </c>
      <c r="C438" t="s">
        <v>513</v>
      </c>
      <c r="D438" t="s">
        <v>29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562.84860000000003</v>
      </c>
      <c r="R438">
        <v>0</v>
      </c>
    </row>
    <row r="439" spans="1:18" hidden="1" x14ac:dyDescent="0.25">
      <c r="A439" t="s">
        <v>518</v>
      </c>
      <c r="B439" t="s">
        <v>46</v>
      </c>
      <c r="C439" t="s">
        <v>513</v>
      </c>
      <c r="D439" t="s">
        <v>31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644.7278</v>
      </c>
      <c r="R439">
        <v>0</v>
      </c>
    </row>
    <row r="440" spans="1:18" hidden="1" x14ac:dyDescent="0.25">
      <c r="A440" t="s">
        <v>519</v>
      </c>
      <c r="B440" t="s">
        <v>46</v>
      </c>
      <c r="C440" t="s">
        <v>513</v>
      </c>
      <c r="D440" t="s">
        <v>33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648.62609999999995</v>
      </c>
      <c r="R440">
        <v>0</v>
      </c>
    </row>
    <row r="441" spans="1:18" hidden="1" x14ac:dyDescent="0.25">
      <c r="A441" t="s">
        <v>520</v>
      </c>
      <c r="B441" t="s">
        <v>46</v>
      </c>
      <c r="C441" t="s">
        <v>513</v>
      </c>
      <c r="D441" t="s">
        <v>35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985.88220000000001</v>
      </c>
      <c r="R441">
        <v>0</v>
      </c>
    </row>
    <row r="442" spans="1:18" hidden="1" x14ac:dyDescent="0.25">
      <c r="A442" t="s">
        <v>521</v>
      </c>
      <c r="B442" t="s">
        <v>46</v>
      </c>
      <c r="C442" t="s">
        <v>522</v>
      </c>
      <c r="D442" t="s">
        <v>21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R442">
        <v>0</v>
      </c>
    </row>
    <row r="443" spans="1:18" hidden="1" x14ac:dyDescent="0.25">
      <c r="A443" t="s">
        <v>523</v>
      </c>
      <c r="B443" t="s">
        <v>46</v>
      </c>
      <c r="C443" t="s">
        <v>522</v>
      </c>
      <c r="D443" t="s">
        <v>23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219.44220000000001</v>
      </c>
      <c r="R443">
        <v>0</v>
      </c>
    </row>
    <row r="444" spans="1:18" hidden="1" x14ac:dyDescent="0.25">
      <c r="A444" t="s">
        <v>524</v>
      </c>
      <c r="B444" t="s">
        <v>46</v>
      </c>
      <c r="C444" t="s">
        <v>522</v>
      </c>
      <c r="D444" t="s">
        <v>25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537.9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248.82079999999999</v>
      </c>
      <c r="R444">
        <v>0</v>
      </c>
    </row>
    <row r="445" spans="1:18" hidden="1" x14ac:dyDescent="0.25">
      <c r="A445" t="s">
        <v>525</v>
      </c>
      <c r="B445" t="s">
        <v>46</v>
      </c>
      <c r="C445" t="s">
        <v>522</v>
      </c>
      <c r="D445" t="s">
        <v>27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538</v>
      </c>
      <c r="K445">
        <v>0</v>
      </c>
      <c r="L445">
        <v>0</v>
      </c>
      <c r="M445">
        <v>308.48399999999998</v>
      </c>
      <c r="N445">
        <v>0</v>
      </c>
      <c r="O445">
        <v>0</v>
      </c>
      <c r="P445">
        <v>278.92079999999999</v>
      </c>
      <c r="R445">
        <v>0</v>
      </c>
    </row>
    <row r="446" spans="1:18" hidden="1" x14ac:dyDescent="0.25">
      <c r="A446" t="s">
        <v>526</v>
      </c>
      <c r="B446" t="s">
        <v>46</v>
      </c>
      <c r="C446" t="s">
        <v>522</v>
      </c>
      <c r="D446" t="s">
        <v>29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227.56010000000001</v>
      </c>
      <c r="R446">
        <v>0</v>
      </c>
    </row>
    <row r="447" spans="1:18" hidden="1" x14ac:dyDescent="0.25">
      <c r="A447" t="s">
        <v>527</v>
      </c>
      <c r="B447" t="s">
        <v>46</v>
      </c>
      <c r="C447" t="s">
        <v>522</v>
      </c>
      <c r="D447" t="s">
        <v>31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148.56950000000001</v>
      </c>
      <c r="R447">
        <v>0</v>
      </c>
    </row>
    <row r="448" spans="1:18" hidden="1" x14ac:dyDescent="0.25">
      <c r="A448" t="s">
        <v>528</v>
      </c>
      <c r="B448" t="s">
        <v>46</v>
      </c>
      <c r="C448" t="s">
        <v>522</v>
      </c>
      <c r="D448" t="s">
        <v>33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150.67619999999999</v>
      </c>
      <c r="R448">
        <v>0</v>
      </c>
    </row>
    <row r="449" spans="1:18" hidden="1" x14ac:dyDescent="0.25">
      <c r="A449" t="s">
        <v>529</v>
      </c>
      <c r="B449" t="s">
        <v>46</v>
      </c>
      <c r="C449" t="s">
        <v>522</v>
      </c>
      <c r="D449" t="s">
        <v>35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342.96899999999999</v>
      </c>
      <c r="N449">
        <v>0</v>
      </c>
      <c r="O449">
        <v>0</v>
      </c>
      <c r="P449">
        <v>291.36380000000003</v>
      </c>
      <c r="R449">
        <v>0</v>
      </c>
    </row>
    <row r="450" spans="1:18" hidden="1" x14ac:dyDescent="0.25">
      <c r="A450" t="s">
        <v>530</v>
      </c>
      <c r="B450" t="s">
        <v>46</v>
      </c>
      <c r="C450" t="s">
        <v>531</v>
      </c>
      <c r="D450" t="s">
        <v>21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R450">
        <v>0</v>
      </c>
    </row>
    <row r="451" spans="1:18" hidden="1" x14ac:dyDescent="0.25">
      <c r="A451" t="s">
        <v>532</v>
      </c>
      <c r="B451" t="s">
        <v>46</v>
      </c>
      <c r="C451" t="s">
        <v>531</v>
      </c>
      <c r="D451" t="s">
        <v>23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415.30509999999998</v>
      </c>
      <c r="R451">
        <v>0</v>
      </c>
    </row>
    <row r="452" spans="1:18" hidden="1" x14ac:dyDescent="0.25">
      <c r="A452" t="s">
        <v>533</v>
      </c>
      <c r="B452" t="s">
        <v>46</v>
      </c>
      <c r="C452" t="s">
        <v>531</v>
      </c>
      <c r="D452" t="s">
        <v>25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480.20159999999998</v>
      </c>
      <c r="R452">
        <v>0</v>
      </c>
    </row>
    <row r="453" spans="1:18" hidden="1" x14ac:dyDescent="0.25">
      <c r="A453" t="s">
        <v>534</v>
      </c>
      <c r="B453" t="s">
        <v>46</v>
      </c>
      <c r="C453" t="s">
        <v>531</v>
      </c>
      <c r="D453" t="s">
        <v>27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551.08590000000004</v>
      </c>
      <c r="R453">
        <v>0</v>
      </c>
    </row>
    <row r="454" spans="1:18" hidden="1" x14ac:dyDescent="0.25">
      <c r="A454" t="s">
        <v>535</v>
      </c>
      <c r="B454" t="s">
        <v>46</v>
      </c>
      <c r="C454" t="s">
        <v>531</v>
      </c>
      <c r="D454" t="s">
        <v>29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357.30130000000003</v>
      </c>
      <c r="R454">
        <v>0</v>
      </c>
    </row>
    <row r="455" spans="1:18" hidden="1" x14ac:dyDescent="0.25">
      <c r="A455" t="s">
        <v>536</v>
      </c>
      <c r="B455" t="s">
        <v>46</v>
      </c>
      <c r="C455" t="s">
        <v>531</v>
      </c>
      <c r="D455" t="s">
        <v>31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289.8614</v>
      </c>
      <c r="R455">
        <v>0</v>
      </c>
    </row>
    <row r="456" spans="1:18" hidden="1" x14ac:dyDescent="0.25">
      <c r="A456" t="s">
        <v>537</v>
      </c>
      <c r="B456" t="s">
        <v>46</v>
      </c>
      <c r="C456" t="s">
        <v>531</v>
      </c>
      <c r="D456" t="s">
        <v>33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292.11860000000001</v>
      </c>
      <c r="R456">
        <v>0</v>
      </c>
    </row>
    <row r="457" spans="1:18" hidden="1" x14ac:dyDescent="0.25">
      <c r="A457" t="s">
        <v>538</v>
      </c>
      <c r="B457" t="s">
        <v>46</v>
      </c>
      <c r="C457" t="s">
        <v>531</v>
      </c>
      <c r="D457" t="s">
        <v>35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566.52290000000005</v>
      </c>
      <c r="R457">
        <v>0</v>
      </c>
    </row>
    <row r="458" spans="1:18" hidden="1" x14ac:dyDescent="0.25">
      <c r="A458" t="s">
        <v>539</v>
      </c>
      <c r="B458" t="s">
        <v>46</v>
      </c>
      <c r="C458" t="s">
        <v>540</v>
      </c>
      <c r="D458" t="s">
        <v>21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231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R458">
        <v>0</v>
      </c>
    </row>
    <row r="459" spans="1:18" hidden="1" x14ac:dyDescent="0.25">
      <c r="A459" t="s">
        <v>541</v>
      </c>
      <c r="B459" t="s">
        <v>46</v>
      </c>
      <c r="C459" t="s">
        <v>540</v>
      </c>
      <c r="D459" t="s">
        <v>23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183.90899999999999</v>
      </c>
      <c r="R459">
        <v>0</v>
      </c>
    </row>
    <row r="460" spans="1:18" hidden="1" x14ac:dyDescent="0.25">
      <c r="A460" t="s">
        <v>542</v>
      </c>
      <c r="B460" t="s">
        <v>46</v>
      </c>
      <c r="C460" t="s">
        <v>540</v>
      </c>
      <c r="D460" t="s">
        <v>25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217.309</v>
      </c>
      <c r="R460">
        <v>0</v>
      </c>
    </row>
    <row r="461" spans="1:18" hidden="1" x14ac:dyDescent="0.25">
      <c r="A461" t="s">
        <v>543</v>
      </c>
      <c r="B461" t="s">
        <v>46</v>
      </c>
      <c r="C461" t="s">
        <v>540</v>
      </c>
      <c r="D461" t="s">
        <v>27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420.7484</v>
      </c>
      <c r="N461">
        <v>0</v>
      </c>
      <c r="O461">
        <v>0</v>
      </c>
      <c r="P461">
        <v>241.78</v>
      </c>
      <c r="R461">
        <v>0</v>
      </c>
    </row>
    <row r="462" spans="1:18" hidden="1" x14ac:dyDescent="0.25">
      <c r="A462" t="s">
        <v>544</v>
      </c>
      <c r="B462" t="s">
        <v>46</v>
      </c>
      <c r="C462" t="s">
        <v>540</v>
      </c>
      <c r="D462" t="s">
        <v>29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231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142.398</v>
      </c>
      <c r="R462">
        <v>0</v>
      </c>
    </row>
    <row r="463" spans="1:18" hidden="1" x14ac:dyDescent="0.25">
      <c r="A463" t="s">
        <v>545</v>
      </c>
      <c r="B463" t="s">
        <v>46</v>
      </c>
      <c r="C463" t="s">
        <v>540</v>
      </c>
      <c r="D463" t="s">
        <v>31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242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123.3584</v>
      </c>
      <c r="R463">
        <v>0</v>
      </c>
    </row>
    <row r="464" spans="1:18" hidden="1" x14ac:dyDescent="0.25">
      <c r="A464" t="s">
        <v>546</v>
      </c>
      <c r="B464" t="s">
        <v>46</v>
      </c>
      <c r="C464" t="s">
        <v>540</v>
      </c>
      <c r="D464" t="s">
        <v>33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125.0513</v>
      </c>
      <c r="R464">
        <v>0</v>
      </c>
    </row>
    <row r="465" spans="1:18" hidden="1" x14ac:dyDescent="0.25">
      <c r="A465" t="s">
        <v>547</v>
      </c>
      <c r="B465" t="s">
        <v>46</v>
      </c>
      <c r="C465" t="s">
        <v>540</v>
      </c>
      <c r="D465" t="s">
        <v>35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442.06639999999999</v>
      </c>
      <c r="N465">
        <v>0</v>
      </c>
      <c r="O465">
        <v>0</v>
      </c>
      <c r="P465">
        <v>284.59289999999999</v>
      </c>
      <c r="R465">
        <v>0</v>
      </c>
    </row>
    <row r="466" spans="1:18" hidden="1" x14ac:dyDescent="0.25">
      <c r="A466" t="s">
        <v>548</v>
      </c>
      <c r="B466" t="s">
        <v>46</v>
      </c>
      <c r="C466" t="s">
        <v>549</v>
      </c>
      <c r="D466" t="s">
        <v>21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R466">
        <v>0</v>
      </c>
    </row>
    <row r="467" spans="1:18" hidden="1" x14ac:dyDescent="0.25">
      <c r="A467" t="s">
        <v>550</v>
      </c>
      <c r="B467" t="s">
        <v>46</v>
      </c>
      <c r="C467" t="s">
        <v>549</v>
      </c>
      <c r="D467" t="s">
        <v>23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440.86</v>
      </c>
      <c r="R467">
        <v>0</v>
      </c>
    </row>
    <row r="468" spans="1:18" hidden="1" x14ac:dyDescent="0.25">
      <c r="A468" t="s">
        <v>551</v>
      </c>
      <c r="B468" t="s">
        <v>46</v>
      </c>
      <c r="C468" t="s">
        <v>549</v>
      </c>
      <c r="D468" t="s">
        <v>25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510.65780000000001</v>
      </c>
      <c r="R468">
        <v>0</v>
      </c>
    </row>
    <row r="469" spans="1:18" hidden="1" x14ac:dyDescent="0.25">
      <c r="A469" t="s">
        <v>552</v>
      </c>
      <c r="B469" t="s">
        <v>46</v>
      </c>
      <c r="C469" t="s">
        <v>549</v>
      </c>
      <c r="D469" t="s">
        <v>27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591.82529999999997</v>
      </c>
      <c r="R469">
        <v>0</v>
      </c>
    </row>
    <row r="470" spans="1:18" hidden="1" x14ac:dyDescent="0.25">
      <c r="A470" t="s">
        <v>553</v>
      </c>
      <c r="B470" t="s">
        <v>46</v>
      </c>
      <c r="C470" t="s">
        <v>549</v>
      </c>
      <c r="D470" t="s">
        <v>29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364.94920000000002</v>
      </c>
      <c r="R470">
        <v>0</v>
      </c>
    </row>
    <row r="471" spans="1:18" hidden="1" x14ac:dyDescent="0.25">
      <c r="A471" t="s">
        <v>554</v>
      </c>
      <c r="B471" t="s">
        <v>46</v>
      </c>
      <c r="C471" t="s">
        <v>549</v>
      </c>
      <c r="D471" t="s">
        <v>31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306.05509999999998</v>
      </c>
      <c r="R471">
        <v>0</v>
      </c>
    </row>
    <row r="472" spans="1:18" hidden="1" x14ac:dyDescent="0.25">
      <c r="A472" t="s">
        <v>555</v>
      </c>
      <c r="B472" t="s">
        <v>46</v>
      </c>
      <c r="C472" t="s">
        <v>549</v>
      </c>
      <c r="D472" t="s">
        <v>33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309.75709999999998</v>
      </c>
      <c r="R472">
        <v>0</v>
      </c>
    </row>
    <row r="473" spans="1:18" hidden="1" x14ac:dyDescent="0.25">
      <c r="A473" t="s">
        <v>556</v>
      </c>
      <c r="B473" t="s">
        <v>46</v>
      </c>
      <c r="C473" t="s">
        <v>549</v>
      </c>
      <c r="D473" t="s">
        <v>35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608.28560000000004</v>
      </c>
      <c r="R473">
        <v>0</v>
      </c>
    </row>
    <row r="474" spans="1:18" hidden="1" x14ac:dyDescent="0.25">
      <c r="A474" t="s">
        <v>557</v>
      </c>
      <c r="B474" t="s">
        <v>46</v>
      </c>
      <c r="C474" t="s">
        <v>558</v>
      </c>
      <c r="D474" t="s">
        <v>21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R474">
        <v>0</v>
      </c>
    </row>
    <row r="475" spans="1:18" hidden="1" x14ac:dyDescent="0.25">
      <c r="A475" t="s">
        <v>559</v>
      </c>
      <c r="B475" t="s">
        <v>46</v>
      </c>
      <c r="C475" t="s">
        <v>558</v>
      </c>
      <c r="D475" t="s">
        <v>23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599.87440000000004</v>
      </c>
      <c r="R475">
        <v>0</v>
      </c>
    </row>
    <row r="476" spans="1:18" hidden="1" x14ac:dyDescent="0.25">
      <c r="A476" t="s">
        <v>560</v>
      </c>
      <c r="B476" t="s">
        <v>46</v>
      </c>
      <c r="C476" t="s">
        <v>558</v>
      </c>
      <c r="D476" t="s">
        <v>25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608.69579999999996</v>
      </c>
      <c r="R476">
        <v>0</v>
      </c>
    </row>
    <row r="477" spans="1:18" hidden="1" x14ac:dyDescent="0.25">
      <c r="A477" t="s">
        <v>561</v>
      </c>
      <c r="B477" t="s">
        <v>46</v>
      </c>
      <c r="C477" t="s">
        <v>558</v>
      </c>
      <c r="D477" t="s">
        <v>27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837.52210000000002</v>
      </c>
      <c r="R477">
        <v>0</v>
      </c>
    </row>
    <row r="478" spans="1:18" hidden="1" x14ac:dyDescent="0.25">
      <c r="A478" t="s">
        <v>562</v>
      </c>
      <c r="B478" t="s">
        <v>46</v>
      </c>
      <c r="C478" t="s">
        <v>558</v>
      </c>
      <c r="D478" t="s">
        <v>29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407.44299999999998</v>
      </c>
      <c r="R478">
        <v>0</v>
      </c>
    </row>
    <row r="479" spans="1:18" hidden="1" x14ac:dyDescent="0.25">
      <c r="A479" t="s">
        <v>563</v>
      </c>
      <c r="B479" t="s">
        <v>46</v>
      </c>
      <c r="C479" t="s">
        <v>558</v>
      </c>
      <c r="D479" t="s">
        <v>31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423.77420000000001</v>
      </c>
      <c r="R479">
        <v>0</v>
      </c>
    </row>
    <row r="480" spans="1:18" hidden="1" x14ac:dyDescent="0.25">
      <c r="A480" t="s">
        <v>564</v>
      </c>
      <c r="B480" t="s">
        <v>46</v>
      </c>
      <c r="C480" t="s">
        <v>558</v>
      </c>
      <c r="D480" t="s">
        <v>33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431.71730000000002</v>
      </c>
      <c r="R480">
        <v>0</v>
      </c>
    </row>
    <row r="481" spans="1:18" hidden="1" x14ac:dyDescent="0.25">
      <c r="A481" t="s">
        <v>565</v>
      </c>
      <c r="B481" t="s">
        <v>46</v>
      </c>
      <c r="C481" t="s">
        <v>558</v>
      </c>
      <c r="D481" t="s">
        <v>35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839.87779999999998</v>
      </c>
      <c r="R481">
        <v>0</v>
      </c>
    </row>
    <row r="482" spans="1:18" hidden="1" x14ac:dyDescent="0.25">
      <c r="A482" t="s">
        <v>566</v>
      </c>
      <c r="B482" t="s">
        <v>46</v>
      </c>
      <c r="C482" t="s">
        <v>567</v>
      </c>
      <c r="D482" t="s">
        <v>21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R482">
        <v>0</v>
      </c>
    </row>
    <row r="483" spans="1:18" hidden="1" x14ac:dyDescent="0.25">
      <c r="A483" t="s">
        <v>568</v>
      </c>
      <c r="B483" t="s">
        <v>46</v>
      </c>
      <c r="C483" t="s">
        <v>567</v>
      </c>
      <c r="D483" t="s">
        <v>23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304.11509999999998</v>
      </c>
      <c r="R483">
        <v>0</v>
      </c>
    </row>
    <row r="484" spans="1:18" hidden="1" x14ac:dyDescent="0.25">
      <c r="A484" t="s">
        <v>569</v>
      </c>
      <c r="B484" t="s">
        <v>46</v>
      </c>
      <c r="C484" t="s">
        <v>567</v>
      </c>
      <c r="D484" t="s">
        <v>25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349.26620000000003</v>
      </c>
      <c r="R484">
        <v>0</v>
      </c>
    </row>
    <row r="485" spans="1:18" hidden="1" x14ac:dyDescent="0.25">
      <c r="A485" t="s">
        <v>570</v>
      </c>
      <c r="B485" t="s">
        <v>46</v>
      </c>
      <c r="C485" t="s">
        <v>567</v>
      </c>
      <c r="D485" t="s">
        <v>27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406.17689999999999</v>
      </c>
      <c r="R485">
        <v>0</v>
      </c>
    </row>
    <row r="486" spans="1:18" hidden="1" x14ac:dyDescent="0.25">
      <c r="A486" t="s">
        <v>571</v>
      </c>
      <c r="B486" t="s">
        <v>46</v>
      </c>
      <c r="C486" t="s">
        <v>567</v>
      </c>
      <c r="D486" t="s">
        <v>29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296.61799999999999</v>
      </c>
      <c r="R486">
        <v>0</v>
      </c>
    </row>
    <row r="487" spans="1:18" hidden="1" x14ac:dyDescent="0.25">
      <c r="A487" t="s">
        <v>572</v>
      </c>
      <c r="B487" t="s">
        <v>46</v>
      </c>
      <c r="C487" t="s">
        <v>567</v>
      </c>
      <c r="D487" t="s">
        <v>31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206.86340000000001</v>
      </c>
      <c r="R487">
        <v>0</v>
      </c>
    </row>
    <row r="488" spans="1:18" hidden="1" x14ac:dyDescent="0.25">
      <c r="A488" t="s">
        <v>573</v>
      </c>
      <c r="B488" t="s">
        <v>46</v>
      </c>
      <c r="C488" t="s">
        <v>567</v>
      </c>
      <c r="D488" t="s">
        <v>33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213.4196</v>
      </c>
      <c r="R488">
        <v>0</v>
      </c>
    </row>
    <row r="489" spans="1:18" hidden="1" x14ac:dyDescent="0.25">
      <c r="A489" t="s">
        <v>574</v>
      </c>
      <c r="B489" t="s">
        <v>46</v>
      </c>
      <c r="C489" t="s">
        <v>567</v>
      </c>
      <c r="D489" t="s">
        <v>35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417.26400000000001</v>
      </c>
      <c r="R489">
        <v>0</v>
      </c>
    </row>
    <row r="490" spans="1:18" hidden="1" x14ac:dyDescent="0.25">
      <c r="A490" t="s">
        <v>575</v>
      </c>
      <c r="B490" t="s">
        <v>46</v>
      </c>
      <c r="C490" t="s">
        <v>576</v>
      </c>
      <c r="D490" t="s">
        <v>21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R490">
        <v>0</v>
      </c>
    </row>
    <row r="491" spans="1:18" hidden="1" x14ac:dyDescent="0.25">
      <c r="A491" t="s">
        <v>577</v>
      </c>
      <c r="B491" t="s">
        <v>46</v>
      </c>
      <c r="C491" t="s">
        <v>576</v>
      </c>
      <c r="D491" t="s">
        <v>23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R491">
        <v>0</v>
      </c>
    </row>
    <row r="492" spans="1:18" hidden="1" x14ac:dyDescent="0.25">
      <c r="A492" t="s">
        <v>578</v>
      </c>
      <c r="B492" t="s">
        <v>46</v>
      </c>
      <c r="C492" t="s">
        <v>576</v>
      </c>
      <c r="D492" t="s">
        <v>25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R492">
        <v>0</v>
      </c>
    </row>
    <row r="493" spans="1:18" hidden="1" x14ac:dyDescent="0.25">
      <c r="A493" t="s">
        <v>579</v>
      </c>
      <c r="B493" t="s">
        <v>46</v>
      </c>
      <c r="C493" t="s">
        <v>576</v>
      </c>
      <c r="D493" t="s">
        <v>27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438.9</v>
      </c>
      <c r="N493">
        <v>0</v>
      </c>
      <c r="O493">
        <v>0</v>
      </c>
      <c r="P493">
        <v>0</v>
      </c>
      <c r="R493">
        <v>0</v>
      </c>
    </row>
    <row r="494" spans="1:18" hidden="1" x14ac:dyDescent="0.25">
      <c r="A494" t="s">
        <v>580</v>
      </c>
      <c r="B494" t="s">
        <v>46</v>
      </c>
      <c r="C494" t="s">
        <v>576</v>
      </c>
      <c r="D494" t="s">
        <v>29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R494">
        <v>0</v>
      </c>
    </row>
    <row r="495" spans="1:18" hidden="1" x14ac:dyDescent="0.25">
      <c r="A495" t="s">
        <v>581</v>
      </c>
      <c r="B495" t="s">
        <v>46</v>
      </c>
      <c r="C495" t="s">
        <v>576</v>
      </c>
      <c r="D495" t="s">
        <v>31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R495">
        <v>0</v>
      </c>
    </row>
    <row r="496" spans="1:18" hidden="1" x14ac:dyDescent="0.25">
      <c r="A496" t="s">
        <v>582</v>
      </c>
      <c r="B496" t="s">
        <v>46</v>
      </c>
      <c r="C496" t="s">
        <v>576</v>
      </c>
      <c r="D496" t="s">
        <v>33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R496">
        <v>0</v>
      </c>
    </row>
    <row r="497" spans="1:18" hidden="1" x14ac:dyDescent="0.25">
      <c r="A497" t="s">
        <v>583</v>
      </c>
      <c r="B497" t="s">
        <v>46</v>
      </c>
      <c r="C497" t="s">
        <v>576</v>
      </c>
      <c r="D497" t="s">
        <v>35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451.44</v>
      </c>
      <c r="N497">
        <v>0</v>
      </c>
      <c r="O497">
        <v>0</v>
      </c>
      <c r="P497">
        <v>0</v>
      </c>
      <c r="R497">
        <v>0</v>
      </c>
    </row>
    <row r="498" spans="1:18" hidden="1" x14ac:dyDescent="0.25">
      <c r="A498" t="s">
        <v>584</v>
      </c>
      <c r="B498" t="s">
        <v>46</v>
      </c>
      <c r="C498" t="s">
        <v>585</v>
      </c>
      <c r="D498" t="s">
        <v>21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201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R498">
        <v>0</v>
      </c>
    </row>
    <row r="499" spans="1:18" hidden="1" x14ac:dyDescent="0.25">
      <c r="A499" t="s">
        <v>586</v>
      </c>
      <c r="B499" t="s">
        <v>46</v>
      </c>
      <c r="C499" t="s">
        <v>585</v>
      </c>
      <c r="D499" t="s">
        <v>23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161.76599999999999</v>
      </c>
      <c r="R499">
        <v>0</v>
      </c>
    </row>
    <row r="500" spans="1:18" hidden="1" x14ac:dyDescent="0.25">
      <c r="A500" t="s">
        <v>587</v>
      </c>
      <c r="B500" t="s">
        <v>46</v>
      </c>
      <c r="C500" t="s">
        <v>585</v>
      </c>
      <c r="D500" t="s">
        <v>25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178.06800000000001</v>
      </c>
      <c r="R500">
        <v>0</v>
      </c>
    </row>
    <row r="501" spans="1:18" hidden="1" x14ac:dyDescent="0.25">
      <c r="A501" t="s">
        <v>588</v>
      </c>
      <c r="B501" t="s">
        <v>46</v>
      </c>
      <c r="C501" t="s">
        <v>585</v>
      </c>
      <c r="D501" t="s">
        <v>27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200.92509999999999</v>
      </c>
      <c r="R501">
        <v>0</v>
      </c>
    </row>
    <row r="502" spans="1:18" hidden="1" x14ac:dyDescent="0.25">
      <c r="A502" t="s">
        <v>589</v>
      </c>
      <c r="B502" t="s">
        <v>46</v>
      </c>
      <c r="C502" t="s">
        <v>585</v>
      </c>
      <c r="D502" t="s">
        <v>29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201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107.84399999999999</v>
      </c>
      <c r="R502">
        <v>0</v>
      </c>
    </row>
    <row r="503" spans="1:18" hidden="1" x14ac:dyDescent="0.25">
      <c r="A503" t="s">
        <v>590</v>
      </c>
      <c r="B503" t="s">
        <v>46</v>
      </c>
      <c r="C503" t="s">
        <v>585</v>
      </c>
      <c r="D503" t="s">
        <v>31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212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111.60599999999999</v>
      </c>
      <c r="R503">
        <v>0</v>
      </c>
    </row>
    <row r="504" spans="1:18" hidden="1" x14ac:dyDescent="0.25">
      <c r="A504" t="s">
        <v>591</v>
      </c>
      <c r="B504" t="s">
        <v>46</v>
      </c>
      <c r="C504" t="s">
        <v>585</v>
      </c>
      <c r="D504" t="s">
        <v>33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120.384</v>
      </c>
      <c r="R504">
        <v>0</v>
      </c>
    </row>
    <row r="505" spans="1:18" hidden="1" x14ac:dyDescent="0.25">
      <c r="A505" t="s">
        <v>592</v>
      </c>
      <c r="B505" t="s">
        <v>46</v>
      </c>
      <c r="C505" t="s">
        <v>585</v>
      </c>
      <c r="D505" t="s">
        <v>35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256.0034</v>
      </c>
      <c r="R505">
        <v>0</v>
      </c>
    </row>
    <row r="506" spans="1:18" hidden="1" x14ac:dyDescent="0.25">
      <c r="A506" t="s">
        <v>593</v>
      </c>
      <c r="B506" t="s">
        <v>46</v>
      </c>
      <c r="C506" t="s">
        <v>594</v>
      </c>
      <c r="D506" t="s">
        <v>21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R506">
        <v>0</v>
      </c>
    </row>
    <row r="507" spans="1:18" hidden="1" x14ac:dyDescent="0.25">
      <c r="A507" t="s">
        <v>595</v>
      </c>
      <c r="B507" t="s">
        <v>46</v>
      </c>
      <c r="C507" t="s">
        <v>594</v>
      </c>
      <c r="D507" t="s">
        <v>23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824.16309999999999</v>
      </c>
      <c r="R507">
        <v>0</v>
      </c>
    </row>
    <row r="508" spans="1:18" hidden="1" x14ac:dyDescent="0.25">
      <c r="A508" t="s">
        <v>596</v>
      </c>
      <c r="B508" t="s">
        <v>46</v>
      </c>
      <c r="C508" t="s">
        <v>594</v>
      </c>
      <c r="D508" t="s">
        <v>25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873.15039999999999</v>
      </c>
      <c r="R508">
        <v>0</v>
      </c>
    </row>
    <row r="509" spans="1:18" hidden="1" x14ac:dyDescent="0.25">
      <c r="A509" t="s">
        <v>597</v>
      </c>
      <c r="B509" t="s">
        <v>46</v>
      </c>
      <c r="C509" t="s">
        <v>594</v>
      </c>
      <c r="D509" t="s">
        <v>27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968.33690000000001</v>
      </c>
      <c r="R509">
        <v>0</v>
      </c>
    </row>
    <row r="510" spans="1:18" hidden="1" x14ac:dyDescent="0.25">
      <c r="A510" t="s">
        <v>598</v>
      </c>
      <c r="B510" t="s">
        <v>46</v>
      </c>
      <c r="C510" t="s">
        <v>594</v>
      </c>
      <c r="D510" t="s">
        <v>29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578.82449999999994</v>
      </c>
      <c r="R510">
        <v>0</v>
      </c>
    </row>
    <row r="511" spans="1:18" hidden="1" x14ac:dyDescent="0.25">
      <c r="A511" t="s">
        <v>599</v>
      </c>
      <c r="B511" t="s">
        <v>46</v>
      </c>
      <c r="C511" t="s">
        <v>594</v>
      </c>
      <c r="D511" t="s">
        <v>31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583.47739999999999</v>
      </c>
      <c r="R511">
        <v>0</v>
      </c>
    </row>
    <row r="512" spans="1:18" hidden="1" x14ac:dyDescent="0.25">
      <c r="A512" t="s">
        <v>600</v>
      </c>
      <c r="B512" t="s">
        <v>46</v>
      </c>
      <c r="C512" t="s">
        <v>594</v>
      </c>
      <c r="D512" t="s">
        <v>33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586.27880000000005</v>
      </c>
      <c r="R512">
        <v>0</v>
      </c>
    </row>
    <row r="513" spans="1:18" hidden="1" x14ac:dyDescent="0.25">
      <c r="A513" t="s">
        <v>601</v>
      </c>
      <c r="B513" t="s">
        <v>46</v>
      </c>
      <c r="C513" t="s">
        <v>594</v>
      </c>
      <c r="D513" t="s">
        <v>35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971.53300000000002</v>
      </c>
      <c r="R513">
        <v>0</v>
      </c>
    </row>
    <row r="514" spans="1:18" hidden="1" x14ac:dyDescent="0.25">
      <c r="A514" t="s">
        <v>602</v>
      </c>
      <c r="B514" t="s">
        <v>46</v>
      </c>
      <c r="C514" t="s">
        <v>603</v>
      </c>
      <c r="D514" t="s">
        <v>21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R514">
        <v>0</v>
      </c>
    </row>
    <row r="515" spans="1:18" hidden="1" x14ac:dyDescent="0.25">
      <c r="A515" t="s">
        <v>604</v>
      </c>
      <c r="B515" t="s">
        <v>46</v>
      </c>
      <c r="C515" t="s">
        <v>603</v>
      </c>
      <c r="D515" t="s">
        <v>23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512.45780000000002</v>
      </c>
      <c r="R515">
        <v>0</v>
      </c>
    </row>
    <row r="516" spans="1:18" hidden="1" x14ac:dyDescent="0.25">
      <c r="A516" t="s">
        <v>605</v>
      </c>
      <c r="B516" t="s">
        <v>46</v>
      </c>
      <c r="C516" t="s">
        <v>603</v>
      </c>
      <c r="D516" t="s">
        <v>25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593.68029999999999</v>
      </c>
      <c r="R516">
        <v>0</v>
      </c>
    </row>
    <row r="517" spans="1:18" hidden="1" x14ac:dyDescent="0.25">
      <c r="A517" t="s">
        <v>606</v>
      </c>
      <c r="B517" t="s">
        <v>46</v>
      </c>
      <c r="C517" t="s">
        <v>603</v>
      </c>
      <c r="D517" t="s">
        <v>27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686.81259999999997</v>
      </c>
      <c r="R517">
        <v>0</v>
      </c>
    </row>
    <row r="518" spans="1:18" hidden="1" x14ac:dyDescent="0.25">
      <c r="A518" t="s">
        <v>607</v>
      </c>
      <c r="B518" t="s">
        <v>46</v>
      </c>
      <c r="C518" t="s">
        <v>603</v>
      </c>
      <c r="D518" t="s">
        <v>29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382.12430000000001</v>
      </c>
      <c r="R518">
        <v>0</v>
      </c>
    </row>
    <row r="519" spans="1:18" hidden="1" x14ac:dyDescent="0.25">
      <c r="A519" t="s">
        <v>608</v>
      </c>
      <c r="B519" t="s">
        <v>46</v>
      </c>
      <c r="C519" t="s">
        <v>603</v>
      </c>
      <c r="D519" t="s">
        <v>31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353.62729999999999</v>
      </c>
      <c r="R519">
        <v>0</v>
      </c>
    </row>
    <row r="520" spans="1:18" hidden="1" x14ac:dyDescent="0.25">
      <c r="A520" t="s">
        <v>609</v>
      </c>
      <c r="B520" t="s">
        <v>46</v>
      </c>
      <c r="C520" t="s">
        <v>603</v>
      </c>
      <c r="D520" t="s">
        <v>33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357.23669999999998</v>
      </c>
      <c r="R520">
        <v>0</v>
      </c>
    </row>
    <row r="521" spans="1:18" hidden="1" x14ac:dyDescent="0.25">
      <c r="A521" t="s">
        <v>610</v>
      </c>
      <c r="B521" t="s">
        <v>46</v>
      </c>
      <c r="C521" t="s">
        <v>603</v>
      </c>
      <c r="D521" t="s">
        <v>35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706.09839999999997</v>
      </c>
      <c r="R521">
        <v>0</v>
      </c>
    </row>
    <row r="522" spans="1:18" hidden="1" x14ac:dyDescent="0.25">
      <c r="A522" t="s">
        <v>611</v>
      </c>
      <c r="B522" t="s">
        <v>46</v>
      </c>
      <c r="C522" t="s">
        <v>612</v>
      </c>
      <c r="D522" t="s">
        <v>21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R522">
        <v>0</v>
      </c>
    </row>
    <row r="523" spans="1:18" hidden="1" x14ac:dyDescent="0.25">
      <c r="A523" t="s">
        <v>613</v>
      </c>
      <c r="B523" t="s">
        <v>46</v>
      </c>
      <c r="C523" t="s">
        <v>612</v>
      </c>
      <c r="D523" t="s">
        <v>23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311.59739999999999</v>
      </c>
      <c r="R523">
        <v>0</v>
      </c>
    </row>
    <row r="524" spans="1:18" hidden="1" x14ac:dyDescent="0.25">
      <c r="A524" t="s">
        <v>614</v>
      </c>
      <c r="B524" t="s">
        <v>46</v>
      </c>
      <c r="C524" t="s">
        <v>612</v>
      </c>
      <c r="D524" t="s">
        <v>25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357.74860000000001</v>
      </c>
      <c r="R524">
        <v>0</v>
      </c>
    </row>
    <row r="525" spans="1:18" hidden="1" x14ac:dyDescent="0.25">
      <c r="A525" t="s">
        <v>615</v>
      </c>
      <c r="B525" t="s">
        <v>46</v>
      </c>
      <c r="C525" t="s">
        <v>612</v>
      </c>
      <c r="D525" t="s">
        <v>27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415.87110000000001</v>
      </c>
      <c r="R525">
        <v>0</v>
      </c>
    </row>
    <row r="526" spans="1:18" hidden="1" x14ac:dyDescent="0.25">
      <c r="A526" t="s">
        <v>616</v>
      </c>
      <c r="B526" t="s">
        <v>46</v>
      </c>
      <c r="C526" t="s">
        <v>612</v>
      </c>
      <c r="D526" t="s">
        <v>29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296.95659999999998</v>
      </c>
      <c r="R526">
        <v>0</v>
      </c>
    </row>
    <row r="527" spans="1:18" hidden="1" x14ac:dyDescent="0.25">
      <c r="A527" t="s">
        <v>617</v>
      </c>
      <c r="B527" t="s">
        <v>46</v>
      </c>
      <c r="C527" t="s">
        <v>612</v>
      </c>
      <c r="D527" t="s">
        <v>31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211.5506</v>
      </c>
      <c r="R527">
        <v>0</v>
      </c>
    </row>
    <row r="528" spans="1:18" hidden="1" x14ac:dyDescent="0.25">
      <c r="A528" t="s">
        <v>618</v>
      </c>
      <c r="B528" t="s">
        <v>46</v>
      </c>
      <c r="C528" t="s">
        <v>612</v>
      </c>
      <c r="D528" t="s">
        <v>33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218.1069</v>
      </c>
      <c r="R528">
        <v>0</v>
      </c>
    </row>
    <row r="529" spans="1:18" hidden="1" x14ac:dyDescent="0.25">
      <c r="A529" t="s">
        <v>619</v>
      </c>
      <c r="B529" t="s">
        <v>46</v>
      </c>
      <c r="C529" t="s">
        <v>612</v>
      </c>
      <c r="D529" t="s">
        <v>35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427.2611</v>
      </c>
      <c r="R529">
        <v>0</v>
      </c>
    </row>
    <row r="530" spans="1:18" hidden="1" x14ac:dyDescent="0.25">
      <c r="A530" t="s">
        <v>620</v>
      </c>
      <c r="B530" t="s">
        <v>46</v>
      </c>
      <c r="C530" t="s">
        <v>621</v>
      </c>
      <c r="D530" t="s">
        <v>21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R530">
        <v>0</v>
      </c>
    </row>
    <row r="531" spans="1:18" hidden="1" x14ac:dyDescent="0.25">
      <c r="A531" t="s">
        <v>622</v>
      </c>
      <c r="B531" t="s">
        <v>46</v>
      </c>
      <c r="C531" t="s">
        <v>621</v>
      </c>
      <c r="D531" t="s">
        <v>23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599.17650000000003</v>
      </c>
      <c r="R531">
        <v>0</v>
      </c>
    </row>
    <row r="532" spans="1:18" hidden="1" x14ac:dyDescent="0.25">
      <c r="A532" t="s">
        <v>623</v>
      </c>
      <c r="B532" t="s">
        <v>46</v>
      </c>
      <c r="C532" t="s">
        <v>621</v>
      </c>
      <c r="D532" t="s">
        <v>25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607.77700000000004</v>
      </c>
      <c r="R532">
        <v>0</v>
      </c>
    </row>
    <row r="533" spans="1:18" hidden="1" x14ac:dyDescent="0.25">
      <c r="A533" t="s">
        <v>624</v>
      </c>
      <c r="B533" t="s">
        <v>46</v>
      </c>
      <c r="C533" t="s">
        <v>621</v>
      </c>
      <c r="D533" t="s">
        <v>27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826.9819</v>
      </c>
      <c r="R533">
        <v>0</v>
      </c>
    </row>
    <row r="534" spans="1:18" hidden="1" x14ac:dyDescent="0.25">
      <c r="A534" t="s">
        <v>625</v>
      </c>
      <c r="B534" t="s">
        <v>46</v>
      </c>
      <c r="C534" t="s">
        <v>621</v>
      </c>
      <c r="D534" t="s">
        <v>29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433.81920000000002</v>
      </c>
      <c r="R534">
        <v>0</v>
      </c>
    </row>
    <row r="535" spans="1:18" hidden="1" x14ac:dyDescent="0.25">
      <c r="A535" t="s">
        <v>626</v>
      </c>
      <c r="B535" t="s">
        <v>46</v>
      </c>
      <c r="C535" t="s">
        <v>621</v>
      </c>
      <c r="D535" t="s">
        <v>31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418.6404</v>
      </c>
      <c r="R535">
        <v>0</v>
      </c>
    </row>
    <row r="536" spans="1:18" hidden="1" x14ac:dyDescent="0.25">
      <c r="A536" t="s">
        <v>627</v>
      </c>
      <c r="B536" t="s">
        <v>46</v>
      </c>
      <c r="C536" t="s">
        <v>621</v>
      </c>
      <c r="D536" t="s">
        <v>33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428.89210000000003</v>
      </c>
      <c r="R536">
        <v>0</v>
      </c>
    </row>
    <row r="537" spans="1:18" hidden="1" x14ac:dyDescent="0.25">
      <c r="A537" t="s">
        <v>628</v>
      </c>
      <c r="B537" t="s">
        <v>46</v>
      </c>
      <c r="C537" t="s">
        <v>621</v>
      </c>
      <c r="D537" t="s">
        <v>35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838.79499999999996</v>
      </c>
      <c r="R537">
        <v>0</v>
      </c>
    </row>
    <row r="538" spans="1:18" hidden="1" x14ac:dyDescent="0.25">
      <c r="A538" t="s">
        <v>629</v>
      </c>
      <c r="B538" t="s">
        <v>46</v>
      </c>
      <c r="C538" t="s">
        <v>630</v>
      </c>
      <c r="D538" t="s">
        <v>21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R538">
        <v>0</v>
      </c>
    </row>
    <row r="539" spans="1:18" hidden="1" x14ac:dyDescent="0.25">
      <c r="A539" t="s">
        <v>631</v>
      </c>
      <c r="B539" t="s">
        <v>46</v>
      </c>
      <c r="C539" t="s">
        <v>630</v>
      </c>
      <c r="D539" t="s">
        <v>23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542.49680000000001</v>
      </c>
      <c r="R539">
        <v>0</v>
      </c>
    </row>
    <row r="540" spans="1:18" hidden="1" x14ac:dyDescent="0.25">
      <c r="A540" t="s">
        <v>632</v>
      </c>
      <c r="B540" t="s">
        <v>46</v>
      </c>
      <c r="C540" t="s">
        <v>630</v>
      </c>
      <c r="D540" t="s">
        <v>25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599.45600000000002</v>
      </c>
      <c r="R540">
        <v>0</v>
      </c>
    </row>
    <row r="541" spans="1:18" hidden="1" x14ac:dyDescent="0.25">
      <c r="A541" t="s">
        <v>633</v>
      </c>
      <c r="B541" t="s">
        <v>46</v>
      </c>
      <c r="C541" t="s">
        <v>630</v>
      </c>
      <c r="D541" t="s">
        <v>27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394.3152</v>
      </c>
      <c r="R541">
        <v>0</v>
      </c>
    </row>
    <row r="542" spans="1:18" hidden="1" x14ac:dyDescent="0.25">
      <c r="A542" t="s">
        <v>634</v>
      </c>
      <c r="B542" t="s">
        <v>46</v>
      </c>
      <c r="C542" t="s">
        <v>630</v>
      </c>
      <c r="D542" t="s">
        <v>29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395.4606</v>
      </c>
      <c r="R542">
        <v>0</v>
      </c>
    </row>
    <row r="543" spans="1:18" hidden="1" x14ac:dyDescent="0.25">
      <c r="A543" t="s">
        <v>635</v>
      </c>
      <c r="B543" t="s">
        <v>46</v>
      </c>
      <c r="C543" t="s">
        <v>630</v>
      </c>
      <c r="D543" t="s">
        <v>31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372.14850000000001</v>
      </c>
      <c r="R543">
        <v>0</v>
      </c>
    </row>
    <row r="544" spans="1:18" hidden="1" x14ac:dyDescent="0.25">
      <c r="A544" t="s">
        <v>636</v>
      </c>
      <c r="B544" t="s">
        <v>46</v>
      </c>
      <c r="C544" t="s">
        <v>630</v>
      </c>
      <c r="D544" t="s">
        <v>33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376.72089999999997</v>
      </c>
      <c r="R544">
        <v>0</v>
      </c>
    </row>
    <row r="545" spans="1:18" hidden="1" x14ac:dyDescent="0.25">
      <c r="A545" t="s">
        <v>637</v>
      </c>
      <c r="B545" t="s">
        <v>46</v>
      </c>
      <c r="C545" t="s">
        <v>630</v>
      </c>
      <c r="D545" t="s">
        <v>35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397.0163</v>
      </c>
      <c r="R545">
        <v>0</v>
      </c>
    </row>
    <row r="546" spans="1:18" hidden="1" x14ac:dyDescent="0.25">
      <c r="A546" t="s">
        <v>638</v>
      </c>
      <c r="B546" t="s">
        <v>46</v>
      </c>
      <c r="C546" t="s">
        <v>639</v>
      </c>
      <c r="D546" t="s">
        <v>21</v>
      </c>
      <c r="E546">
        <v>97.68</v>
      </c>
      <c r="F546">
        <v>0</v>
      </c>
      <c r="G546">
        <v>0</v>
      </c>
      <c r="H546">
        <v>0</v>
      </c>
      <c r="I546">
        <v>0</v>
      </c>
      <c r="J546">
        <v>201</v>
      </c>
      <c r="K546">
        <v>0</v>
      </c>
      <c r="L546">
        <v>0</v>
      </c>
      <c r="M546">
        <v>0</v>
      </c>
      <c r="N546">
        <v>183.15</v>
      </c>
      <c r="O546">
        <v>0</v>
      </c>
      <c r="P546">
        <v>0</v>
      </c>
      <c r="R546">
        <v>0</v>
      </c>
    </row>
    <row r="547" spans="1:18" hidden="1" x14ac:dyDescent="0.25">
      <c r="A547" t="s">
        <v>640</v>
      </c>
      <c r="B547" t="s">
        <v>46</v>
      </c>
      <c r="C547" t="s">
        <v>639</v>
      </c>
      <c r="D547" t="s">
        <v>23</v>
      </c>
      <c r="E547">
        <v>156.28800000000001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177.1875</v>
      </c>
      <c r="L547">
        <v>0</v>
      </c>
      <c r="M547">
        <v>0</v>
      </c>
      <c r="N547">
        <v>311.35500000000002</v>
      </c>
      <c r="O547">
        <v>181.5</v>
      </c>
      <c r="P547">
        <v>163.99279999999999</v>
      </c>
      <c r="R547">
        <v>0</v>
      </c>
    </row>
    <row r="548" spans="1:18" hidden="1" x14ac:dyDescent="0.25">
      <c r="A548" t="s">
        <v>641</v>
      </c>
      <c r="B548" t="s">
        <v>46</v>
      </c>
      <c r="C548" t="s">
        <v>639</v>
      </c>
      <c r="D548" t="s">
        <v>25</v>
      </c>
      <c r="E548">
        <v>173.38200000000001</v>
      </c>
      <c r="F548">
        <v>0</v>
      </c>
      <c r="G548">
        <v>0</v>
      </c>
      <c r="H548">
        <v>0</v>
      </c>
      <c r="I548">
        <v>0</v>
      </c>
      <c r="J548">
        <v>339.9</v>
      </c>
      <c r="K548">
        <v>196.875</v>
      </c>
      <c r="L548">
        <v>0</v>
      </c>
      <c r="M548">
        <v>0</v>
      </c>
      <c r="N548">
        <v>329.67</v>
      </c>
      <c r="O548">
        <v>217.8</v>
      </c>
      <c r="P548">
        <v>181.81280000000001</v>
      </c>
      <c r="R548">
        <v>0</v>
      </c>
    </row>
    <row r="549" spans="1:18" hidden="1" x14ac:dyDescent="0.25">
      <c r="A549" t="s">
        <v>642</v>
      </c>
      <c r="B549" t="s">
        <v>46</v>
      </c>
      <c r="C549" t="s">
        <v>639</v>
      </c>
      <c r="D549" t="s">
        <v>27</v>
      </c>
      <c r="E549">
        <v>189.255</v>
      </c>
      <c r="F549">
        <v>0</v>
      </c>
      <c r="G549">
        <v>0</v>
      </c>
      <c r="H549">
        <v>0</v>
      </c>
      <c r="I549">
        <v>0</v>
      </c>
      <c r="J549">
        <v>340</v>
      </c>
      <c r="K549">
        <v>0</v>
      </c>
      <c r="L549">
        <v>0</v>
      </c>
      <c r="M549">
        <v>529.81500000000005</v>
      </c>
      <c r="N549">
        <v>402.93</v>
      </c>
      <c r="O549">
        <v>242</v>
      </c>
      <c r="P549">
        <v>202.54740000000001</v>
      </c>
      <c r="R549">
        <v>0</v>
      </c>
    </row>
    <row r="550" spans="1:18" hidden="1" x14ac:dyDescent="0.25">
      <c r="A550" t="s">
        <v>643</v>
      </c>
      <c r="B550" t="s">
        <v>46</v>
      </c>
      <c r="C550" t="s">
        <v>639</v>
      </c>
      <c r="D550" t="s">
        <v>29</v>
      </c>
      <c r="E550">
        <v>105.006</v>
      </c>
      <c r="F550">
        <v>0</v>
      </c>
      <c r="G550">
        <v>0</v>
      </c>
      <c r="H550">
        <v>0</v>
      </c>
      <c r="I550">
        <v>0</v>
      </c>
      <c r="J550">
        <v>201</v>
      </c>
      <c r="K550">
        <v>129.9375</v>
      </c>
      <c r="L550">
        <v>0</v>
      </c>
      <c r="M550">
        <v>0</v>
      </c>
      <c r="N550">
        <v>195.36</v>
      </c>
      <c r="O550">
        <v>0</v>
      </c>
      <c r="P550">
        <v>112.3584</v>
      </c>
      <c r="R550">
        <v>0</v>
      </c>
    </row>
    <row r="551" spans="1:18" hidden="1" x14ac:dyDescent="0.25">
      <c r="A551" t="s">
        <v>644</v>
      </c>
      <c r="B551" t="s">
        <v>46</v>
      </c>
      <c r="C551" t="s">
        <v>639</v>
      </c>
      <c r="D551" t="s">
        <v>31</v>
      </c>
      <c r="E551">
        <v>108.669</v>
      </c>
      <c r="F551">
        <v>0</v>
      </c>
      <c r="G551">
        <v>0</v>
      </c>
      <c r="H551">
        <v>0</v>
      </c>
      <c r="I551">
        <v>0</v>
      </c>
      <c r="J551">
        <v>212</v>
      </c>
      <c r="K551">
        <v>147.65620000000001</v>
      </c>
      <c r="L551">
        <v>0</v>
      </c>
      <c r="M551">
        <v>0</v>
      </c>
      <c r="N551">
        <v>231.99</v>
      </c>
      <c r="O551">
        <v>121</v>
      </c>
      <c r="P551">
        <v>113.0989</v>
      </c>
      <c r="R551">
        <v>0</v>
      </c>
    </row>
    <row r="552" spans="1:18" hidden="1" x14ac:dyDescent="0.25">
      <c r="A552" t="s">
        <v>645</v>
      </c>
      <c r="B552" t="s">
        <v>46</v>
      </c>
      <c r="C552" t="s">
        <v>639</v>
      </c>
      <c r="D552" t="s">
        <v>33</v>
      </c>
      <c r="E552">
        <v>118.25</v>
      </c>
      <c r="F552">
        <v>0</v>
      </c>
      <c r="G552">
        <v>190.85</v>
      </c>
      <c r="H552">
        <v>0</v>
      </c>
      <c r="I552">
        <v>0</v>
      </c>
      <c r="J552">
        <v>0</v>
      </c>
      <c r="K552">
        <v>159.46879999999999</v>
      </c>
      <c r="L552">
        <v>0</v>
      </c>
      <c r="M552">
        <v>0</v>
      </c>
      <c r="N552">
        <v>256.41000000000003</v>
      </c>
      <c r="O552">
        <v>121</v>
      </c>
      <c r="P552">
        <v>119.9871</v>
      </c>
      <c r="R552">
        <v>0</v>
      </c>
    </row>
    <row r="553" spans="1:18" hidden="1" x14ac:dyDescent="0.25">
      <c r="A553" t="s">
        <v>646</v>
      </c>
      <c r="B553" t="s">
        <v>46</v>
      </c>
      <c r="C553" t="s">
        <v>639</v>
      </c>
      <c r="D553" t="s">
        <v>35</v>
      </c>
      <c r="E553">
        <v>246.642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578.721</v>
      </c>
      <c r="N553">
        <v>415.14</v>
      </c>
      <c r="O553">
        <v>278.3</v>
      </c>
      <c r="P553">
        <v>257.35120000000001</v>
      </c>
      <c r="R553">
        <v>0</v>
      </c>
    </row>
    <row r="554" spans="1:18" hidden="1" x14ac:dyDescent="0.25">
      <c r="A554" t="s">
        <v>647</v>
      </c>
      <c r="B554" t="s">
        <v>46</v>
      </c>
      <c r="C554" t="s">
        <v>648</v>
      </c>
      <c r="D554" t="s">
        <v>21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R554">
        <v>0</v>
      </c>
    </row>
    <row r="555" spans="1:18" hidden="1" x14ac:dyDescent="0.25">
      <c r="A555" t="s">
        <v>649</v>
      </c>
      <c r="B555" t="s">
        <v>46</v>
      </c>
      <c r="C555" t="s">
        <v>648</v>
      </c>
      <c r="D555" t="s">
        <v>23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585.72889999999995</v>
      </c>
      <c r="R555">
        <v>0</v>
      </c>
    </row>
    <row r="556" spans="1:18" hidden="1" x14ac:dyDescent="0.25">
      <c r="A556" t="s">
        <v>650</v>
      </c>
      <c r="B556" t="s">
        <v>46</v>
      </c>
      <c r="C556" t="s">
        <v>648</v>
      </c>
      <c r="D556" t="s">
        <v>25</v>
      </c>
      <c r="E556">
        <v>0</v>
      </c>
      <c r="F556">
        <v>0</v>
      </c>
      <c r="G556">
        <v>797.54399999999998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604.08280000000002</v>
      </c>
      <c r="R556">
        <v>0</v>
      </c>
    </row>
    <row r="557" spans="1:18" hidden="1" x14ac:dyDescent="0.25">
      <c r="A557" t="s">
        <v>651</v>
      </c>
      <c r="B557" t="s">
        <v>46</v>
      </c>
      <c r="C557" t="s">
        <v>648</v>
      </c>
      <c r="D557" t="s">
        <v>27</v>
      </c>
      <c r="E557">
        <v>0</v>
      </c>
      <c r="F557">
        <v>0</v>
      </c>
      <c r="G557">
        <v>1102.2660000000001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784.29319999999996</v>
      </c>
      <c r="R557">
        <v>0</v>
      </c>
    </row>
    <row r="558" spans="1:18" hidden="1" x14ac:dyDescent="0.25">
      <c r="A558" t="s">
        <v>652</v>
      </c>
      <c r="B558" t="s">
        <v>46</v>
      </c>
      <c r="C558" t="s">
        <v>648</v>
      </c>
      <c r="D558" t="s">
        <v>29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439.39490000000001</v>
      </c>
      <c r="R558">
        <v>0</v>
      </c>
    </row>
    <row r="559" spans="1:18" hidden="1" x14ac:dyDescent="0.25">
      <c r="A559" t="s">
        <v>653</v>
      </c>
      <c r="B559" t="s">
        <v>46</v>
      </c>
      <c r="C559" t="s">
        <v>648</v>
      </c>
      <c r="D559" t="s">
        <v>31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397.99979999999999</v>
      </c>
      <c r="R559">
        <v>0</v>
      </c>
    </row>
    <row r="560" spans="1:18" hidden="1" x14ac:dyDescent="0.25">
      <c r="A560" t="s">
        <v>654</v>
      </c>
      <c r="B560" t="s">
        <v>46</v>
      </c>
      <c r="C560" t="s">
        <v>648</v>
      </c>
      <c r="D560" t="s">
        <v>33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408.25139999999999</v>
      </c>
      <c r="R560">
        <v>0</v>
      </c>
    </row>
    <row r="561" spans="1:18" hidden="1" x14ac:dyDescent="0.25">
      <c r="A561" t="s">
        <v>655</v>
      </c>
      <c r="B561" t="s">
        <v>46</v>
      </c>
      <c r="C561" t="s">
        <v>648</v>
      </c>
      <c r="D561" t="s">
        <v>35</v>
      </c>
      <c r="E561">
        <v>0</v>
      </c>
      <c r="F561">
        <v>0</v>
      </c>
      <c r="G561">
        <v>1166.22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806.44669999999996</v>
      </c>
      <c r="R561">
        <v>0</v>
      </c>
    </row>
    <row r="562" spans="1:18" hidden="1" x14ac:dyDescent="0.25">
      <c r="A562" t="s">
        <v>656</v>
      </c>
      <c r="B562" t="s">
        <v>46</v>
      </c>
      <c r="C562" t="s">
        <v>657</v>
      </c>
      <c r="D562" t="s">
        <v>21</v>
      </c>
      <c r="E562">
        <v>118.11799999999999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R562">
        <v>0</v>
      </c>
    </row>
    <row r="563" spans="1:18" hidden="1" x14ac:dyDescent="0.25">
      <c r="A563" t="s">
        <v>658</v>
      </c>
      <c r="B563" t="s">
        <v>46</v>
      </c>
      <c r="C563" t="s">
        <v>657</v>
      </c>
      <c r="D563" t="s">
        <v>23</v>
      </c>
      <c r="E563">
        <v>188.21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171.28120000000001</v>
      </c>
      <c r="L563">
        <v>0</v>
      </c>
      <c r="M563">
        <v>0</v>
      </c>
      <c r="N563">
        <v>0</v>
      </c>
      <c r="O563">
        <v>181.5</v>
      </c>
      <c r="P563">
        <v>180.08760000000001</v>
      </c>
      <c r="R563">
        <v>0</v>
      </c>
    </row>
    <row r="564" spans="1:18" hidden="1" x14ac:dyDescent="0.25">
      <c r="A564" t="s">
        <v>659</v>
      </c>
      <c r="B564" t="s">
        <v>46</v>
      </c>
      <c r="C564" t="s">
        <v>657</v>
      </c>
      <c r="D564" t="s">
        <v>25</v>
      </c>
      <c r="E564">
        <v>207.68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183.96879999999999</v>
      </c>
      <c r="L564">
        <v>0</v>
      </c>
      <c r="M564">
        <v>0</v>
      </c>
      <c r="N564">
        <v>0</v>
      </c>
      <c r="O564">
        <v>217.8</v>
      </c>
      <c r="P564">
        <v>202.00620000000001</v>
      </c>
      <c r="R564">
        <v>0</v>
      </c>
    </row>
    <row r="565" spans="1:18" hidden="1" x14ac:dyDescent="0.25">
      <c r="A565" t="s">
        <v>660</v>
      </c>
      <c r="B565" t="s">
        <v>46</v>
      </c>
      <c r="C565" t="s">
        <v>657</v>
      </c>
      <c r="D565" t="s">
        <v>27</v>
      </c>
      <c r="E565">
        <v>228.44800000000001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242</v>
      </c>
      <c r="P565">
        <v>222.99549999999999</v>
      </c>
      <c r="R565">
        <v>0</v>
      </c>
    </row>
    <row r="566" spans="1:18" hidden="1" x14ac:dyDescent="0.25">
      <c r="A566" t="s">
        <v>661</v>
      </c>
      <c r="B566" t="s">
        <v>46</v>
      </c>
      <c r="C566" t="s">
        <v>657</v>
      </c>
      <c r="D566" t="s">
        <v>29</v>
      </c>
      <c r="E566">
        <v>125.90600000000001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135.84379999999999</v>
      </c>
      <c r="L566">
        <v>0</v>
      </c>
      <c r="M566">
        <v>0</v>
      </c>
      <c r="N566">
        <v>0</v>
      </c>
      <c r="O566">
        <v>0</v>
      </c>
      <c r="P566">
        <v>123.6695</v>
      </c>
      <c r="R566">
        <v>0</v>
      </c>
    </row>
    <row r="567" spans="1:18" hidden="1" x14ac:dyDescent="0.25">
      <c r="A567" t="s">
        <v>662</v>
      </c>
      <c r="B567" t="s">
        <v>46</v>
      </c>
      <c r="C567" t="s">
        <v>657</v>
      </c>
      <c r="D567" t="s">
        <v>31</v>
      </c>
      <c r="E567">
        <v>131.09800000000001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153.5625</v>
      </c>
      <c r="L567">
        <v>0</v>
      </c>
      <c r="M567">
        <v>0</v>
      </c>
      <c r="N567">
        <v>0</v>
      </c>
      <c r="O567">
        <v>121</v>
      </c>
      <c r="P567">
        <v>120.7105</v>
      </c>
      <c r="R567">
        <v>0</v>
      </c>
    </row>
    <row r="568" spans="1:18" hidden="1" x14ac:dyDescent="0.25">
      <c r="A568" t="s">
        <v>663</v>
      </c>
      <c r="B568" t="s">
        <v>46</v>
      </c>
      <c r="C568" t="s">
        <v>657</v>
      </c>
      <c r="D568" t="s">
        <v>33</v>
      </c>
      <c r="E568">
        <v>140.184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159.46879999999999</v>
      </c>
      <c r="L568">
        <v>0</v>
      </c>
      <c r="M568">
        <v>0</v>
      </c>
      <c r="N568">
        <v>0</v>
      </c>
      <c r="O568">
        <v>121</v>
      </c>
      <c r="P568">
        <v>121.7638</v>
      </c>
      <c r="R568">
        <v>0</v>
      </c>
    </row>
    <row r="569" spans="1:18" hidden="1" x14ac:dyDescent="0.25">
      <c r="A569" t="s">
        <v>664</v>
      </c>
      <c r="B569" t="s">
        <v>46</v>
      </c>
      <c r="C569" t="s">
        <v>657</v>
      </c>
      <c r="D569" t="s">
        <v>35</v>
      </c>
      <c r="E569">
        <v>295.94400000000002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278.3</v>
      </c>
      <c r="P569">
        <v>276.98700000000002</v>
      </c>
      <c r="R569">
        <v>0</v>
      </c>
    </row>
    <row r="570" spans="1:18" hidden="1" x14ac:dyDescent="0.25">
      <c r="A570" t="s">
        <v>665</v>
      </c>
      <c r="B570" t="s">
        <v>46</v>
      </c>
      <c r="C570" t="s">
        <v>666</v>
      </c>
      <c r="D570" t="s">
        <v>21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201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R570">
        <v>0</v>
      </c>
    </row>
    <row r="571" spans="1:18" hidden="1" x14ac:dyDescent="0.25">
      <c r="A571" t="s">
        <v>667</v>
      </c>
      <c r="B571" t="s">
        <v>46</v>
      </c>
      <c r="C571" t="s">
        <v>666</v>
      </c>
      <c r="D571" t="s">
        <v>23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124.72280000000001</v>
      </c>
      <c r="R571">
        <v>0</v>
      </c>
    </row>
    <row r="572" spans="1:18" hidden="1" x14ac:dyDescent="0.25">
      <c r="A572" t="s">
        <v>668</v>
      </c>
      <c r="B572" t="s">
        <v>46</v>
      </c>
      <c r="C572" t="s">
        <v>666</v>
      </c>
      <c r="D572" t="s">
        <v>25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339.9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178.65690000000001</v>
      </c>
      <c r="R572">
        <v>0</v>
      </c>
    </row>
    <row r="573" spans="1:18" hidden="1" x14ac:dyDescent="0.25">
      <c r="A573" t="s">
        <v>669</v>
      </c>
      <c r="B573" t="s">
        <v>46</v>
      </c>
      <c r="C573" t="s">
        <v>666</v>
      </c>
      <c r="D573" t="s">
        <v>27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340</v>
      </c>
      <c r="K573">
        <v>0</v>
      </c>
      <c r="L573">
        <v>0</v>
      </c>
      <c r="M573">
        <v>572.13750000000005</v>
      </c>
      <c r="N573">
        <v>0</v>
      </c>
      <c r="O573">
        <v>0</v>
      </c>
      <c r="P573">
        <v>245.74469999999999</v>
      </c>
      <c r="R573">
        <v>0</v>
      </c>
    </row>
    <row r="574" spans="1:18" hidden="1" x14ac:dyDescent="0.25">
      <c r="A574" t="s">
        <v>670</v>
      </c>
      <c r="B574" t="s">
        <v>46</v>
      </c>
      <c r="C574" t="s">
        <v>666</v>
      </c>
      <c r="D574" t="s">
        <v>29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201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100.6335</v>
      </c>
      <c r="R574">
        <v>0</v>
      </c>
    </row>
    <row r="575" spans="1:18" hidden="1" x14ac:dyDescent="0.25">
      <c r="A575" t="s">
        <v>671</v>
      </c>
      <c r="B575" t="s">
        <v>46</v>
      </c>
      <c r="C575" t="s">
        <v>666</v>
      </c>
      <c r="D575" t="s">
        <v>31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212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104.87269999999999</v>
      </c>
      <c r="R575">
        <v>0</v>
      </c>
    </row>
    <row r="576" spans="1:18" hidden="1" x14ac:dyDescent="0.25">
      <c r="A576" t="s">
        <v>672</v>
      </c>
      <c r="B576" t="s">
        <v>46</v>
      </c>
      <c r="C576" t="s">
        <v>666</v>
      </c>
      <c r="D576" t="s">
        <v>33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110.0141</v>
      </c>
      <c r="R576">
        <v>0</v>
      </c>
    </row>
    <row r="577" spans="1:18" hidden="1" x14ac:dyDescent="0.25">
      <c r="A577" t="s">
        <v>673</v>
      </c>
      <c r="B577" t="s">
        <v>46</v>
      </c>
      <c r="C577" t="s">
        <v>666</v>
      </c>
      <c r="D577" t="s">
        <v>35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669.00900000000001</v>
      </c>
      <c r="N577">
        <v>0</v>
      </c>
      <c r="O577">
        <v>0</v>
      </c>
      <c r="P577">
        <v>273.35629999999998</v>
      </c>
      <c r="R577">
        <v>0</v>
      </c>
    </row>
    <row r="578" spans="1:18" hidden="1" x14ac:dyDescent="0.25">
      <c r="A578" t="s">
        <v>674</v>
      </c>
      <c r="B578" t="s">
        <v>46</v>
      </c>
      <c r="C578" t="s">
        <v>675</v>
      </c>
      <c r="D578" t="s">
        <v>21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R578">
        <v>0</v>
      </c>
    </row>
    <row r="579" spans="1:18" hidden="1" x14ac:dyDescent="0.25">
      <c r="A579" t="s">
        <v>676</v>
      </c>
      <c r="B579" t="s">
        <v>46</v>
      </c>
      <c r="C579" t="s">
        <v>675</v>
      </c>
      <c r="D579" t="s">
        <v>23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245.63419999999999</v>
      </c>
      <c r="R579">
        <v>0</v>
      </c>
    </row>
    <row r="580" spans="1:18" hidden="1" x14ac:dyDescent="0.25">
      <c r="A580" t="s">
        <v>677</v>
      </c>
      <c r="B580" t="s">
        <v>46</v>
      </c>
      <c r="C580" t="s">
        <v>675</v>
      </c>
      <c r="D580" t="s">
        <v>25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537.9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277.2799</v>
      </c>
      <c r="R580">
        <v>0</v>
      </c>
    </row>
    <row r="581" spans="1:18" hidden="1" x14ac:dyDescent="0.25">
      <c r="A581" t="s">
        <v>678</v>
      </c>
      <c r="B581" t="s">
        <v>46</v>
      </c>
      <c r="C581" t="s">
        <v>675</v>
      </c>
      <c r="D581" t="s">
        <v>27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538</v>
      </c>
      <c r="K581">
        <v>0</v>
      </c>
      <c r="L581">
        <v>0</v>
      </c>
      <c r="M581">
        <v>310.67849999999999</v>
      </c>
      <c r="N581">
        <v>0</v>
      </c>
      <c r="O581">
        <v>0</v>
      </c>
      <c r="P581">
        <v>310.666</v>
      </c>
      <c r="R581">
        <v>0</v>
      </c>
    </row>
    <row r="582" spans="1:18" hidden="1" x14ac:dyDescent="0.25">
      <c r="A582" t="s">
        <v>679</v>
      </c>
      <c r="B582" t="s">
        <v>46</v>
      </c>
      <c r="C582" t="s">
        <v>675</v>
      </c>
      <c r="D582" t="s">
        <v>29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247.14689999999999</v>
      </c>
      <c r="R582">
        <v>0</v>
      </c>
    </row>
    <row r="583" spans="1:18" hidden="1" x14ac:dyDescent="0.25">
      <c r="A583" t="s">
        <v>680</v>
      </c>
      <c r="B583" t="s">
        <v>46</v>
      </c>
      <c r="C583" t="s">
        <v>675</v>
      </c>
      <c r="D583" t="s">
        <v>31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166.2319</v>
      </c>
      <c r="R583">
        <v>0</v>
      </c>
    </row>
    <row r="584" spans="1:18" hidden="1" x14ac:dyDescent="0.25">
      <c r="A584" t="s">
        <v>681</v>
      </c>
      <c r="B584" t="s">
        <v>46</v>
      </c>
      <c r="C584" t="s">
        <v>675</v>
      </c>
      <c r="D584" t="s">
        <v>33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171.00149999999999</v>
      </c>
      <c r="R584">
        <v>0</v>
      </c>
    </row>
    <row r="585" spans="1:18" hidden="1" x14ac:dyDescent="0.25">
      <c r="A585" t="s">
        <v>682</v>
      </c>
      <c r="B585" t="s">
        <v>46</v>
      </c>
      <c r="C585" t="s">
        <v>675</v>
      </c>
      <c r="D585" t="s">
        <v>35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330.74250000000001</v>
      </c>
      <c r="N585">
        <v>0</v>
      </c>
      <c r="O585">
        <v>0</v>
      </c>
      <c r="P585">
        <v>321.92750000000001</v>
      </c>
      <c r="R585">
        <v>0</v>
      </c>
    </row>
    <row r="586" spans="1:18" hidden="1" x14ac:dyDescent="0.25">
      <c r="A586" t="s">
        <v>683</v>
      </c>
      <c r="B586" t="s">
        <v>46</v>
      </c>
      <c r="C586" t="s">
        <v>684</v>
      </c>
      <c r="D586" t="s">
        <v>21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201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R586">
        <v>0</v>
      </c>
    </row>
    <row r="587" spans="1:18" hidden="1" x14ac:dyDescent="0.25">
      <c r="A587" t="s">
        <v>685</v>
      </c>
      <c r="B587" t="s">
        <v>46</v>
      </c>
      <c r="C587" t="s">
        <v>684</v>
      </c>
      <c r="D587" t="s">
        <v>23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178.0496</v>
      </c>
      <c r="R587">
        <v>0</v>
      </c>
    </row>
    <row r="588" spans="1:18" hidden="1" x14ac:dyDescent="0.25">
      <c r="A588" t="s">
        <v>686</v>
      </c>
      <c r="B588" t="s">
        <v>46</v>
      </c>
      <c r="C588" t="s">
        <v>684</v>
      </c>
      <c r="D588" t="s">
        <v>25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339.9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183.3792</v>
      </c>
      <c r="R588">
        <v>0</v>
      </c>
    </row>
    <row r="589" spans="1:18" hidden="1" x14ac:dyDescent="0.25">
      <c r="A589" t="s">
        <v>687</v>
      </c>
      <c r="B589" t="s">
        <v>46</v>
      </c>
      <c r="C589" t="s">
        <v>684</v>
      </c>
      <c r="D589" t="s">
        <v>27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340</v>
      </c>
      <c r="K589">
        <v>0</v>
      </c>
      <c r="L589">
        <v>0</v>
      </c>
      <c r="M589">
        <v>478.46370000000002</v>
      </c>
      <c r="N589">
        <v>0</v>
      </c>
      <c r="O589">
        <v>0</v>
      </c>
      <c r="P589">
        <v>245.74469999999999</v>
      </c>
      <c r="R589">
        <v>0</v>
      </c>
    </row>
    <row r="590" spans="1:18" hidden="1" x14ac:dyDescent="0.25">
      <c r="A590" t="s">
        <v>688</v>
      </c>
      <c r="B590" t="s">
        <v>46</v>
      </c>
      <c r="C590" t="s">
        <v>684</v>
      </c>
      <c r="D590" t="s">
        <v>29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201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125.85509999999999</v>
      </c>
      <c r="R590">
        <v>0</v>
      </c>
    </row>
    <row r="591" spans="1:18" hidden="1" x14ac:dyDescent="0.25">
      <c r="A591" t="s">
        <v>689</v>
      </c>
      <c r="B591" t="s">
        <v>46</v>
      </c>
      <c r="C591" t="s">
        <v>684</v>
      </c>
      <c r="D591" t="s">
        <v>31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212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121.4362</v>
      </c>
      <c r="R591">
        <v>0</v>
      </c>
    </row>
    <row r="592" spans="1:18" hidden="1" x14ac:dyDescent="0.25">
      <c r="A592" t="s">
        <v>690</v>
      </c>
      <c r="B592" t="s">
        <v>46</v>
      </c>
      <c r="C592" t="s">
        <v>684</v>
      </c>
      <c r="D592" t="s">
        <v>33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125.7276</v>
      </c>
      <c r="R592">
        <v>0</v>
      </c>
    </row>
    <row r="593" spans="1:18" hidden="1" x14ac:dyDescent="0.25">
      <c r="A593" t="s">
        <v>691</v>
      </c>
      <c r="B593" t="s">
        <v>46</v>
      </c>
      <c r="C593" t="s">
        <v>684</v>
      </c>
      <c r="D593" t="s">
        <v>35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528.62369999999999</v>
      </c>
      <c r="N593">
        <v>0</v>
      </c>
      <c r="O593">
        <v>0</v>
      </c>
      <c r="P593">
        <v>273.35629999999998</v>
      </c>
      <c r="R593">
        <v>0</v>
      </c>
    </row>
    <row r="594" spans="1:18" hidden="1" x14ac:dyDescent="0.25">
      <c r="A594" t="s">
        <v>692</v>
      </c>
      <c r="B594" t="s">
        <v>46</v>
      </c>
      <c r="C594" t="s">
        <v>693</v>
      </c>
      <c r="D594" t="s">
        <v>21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R594">
        <v>0</v>
      </c>
    </row>
    <row r="595" spans="1:18" hidden="1" x14ac:dyDescent="0.25">
      <c r="A595" t="s">
        <v>694</v>
      </c>
      <c r="B595" t="s">
        <v>46</v>
      </c>
      <c r="C595" t="s">
        <v>693</v>
      </c>
      <c r="D595" t="s">
        <v>23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600.16189999999995</v>
      </c>
      <c r="R595">
        <v>0</v>
      </c>
    </row>
    <row r="596" spans="1:18" hidden="1" x14ac:dyDescent="0.25">
      <c r="A596" t="s">
        <v>695</v>
      </c>
      <c r="B596" t="s">
        <v>46</v>
      </c>
      <c r="C596" t="s">
        <v>693</v>
      </c>
      <c r="D596" t="s">
        <v>25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608.63909999999998</v>
      </c>
      <c r="R596">
        <v>0</v>
      </c>
    </row>
    <row r="597" spans="1:18" hidden="1" x14ac:dyDescent="0.25">
      <c r="A597" t="s">
        <v>696</v>
      </c>
      <c r="B597" t="s">
        <v>46</v>
      </c>
      <c r="C597" t="s">
        <v>693</v>
      </c>
      <c r="D597" t="s">
        <v>27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836.94479999999999</v>
      </c>
      <c r="R597">
        <v>0</v>
      </c>
    </row>
    <row r="598" spans="1:18" hidden="1" x14ac:dyDescent="0.25">
      <c r="A598" t="s">
        <v>697</v>
      </c>
      <c r="B598" t="s">
        <v>46</v>
      </c>
      <c r="C598" t="s">
        <v>693</v>
      </c>
      <c r="D598" t="s">
        <v>29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427.41289999999998</v>
      </c>
      <c r="R598">
        <v>0</v>
      </c>
    </row>
    <row r="599" spans="1:18" hidden="1" x14ac:dyDescent="0.25">
      <c r="A599" t="s">
        <v>698</v>
      </c>
      <c r="B599" t="s">
        <v>46</v>
      </c>
      <c r="C599" t="s">
        <v>693</v>
      </c>
      <c r="D599" t="s">
        <v>31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423.45769999999999</v>
      </c>
      <c r="R599">
        <v>0</v>
      </c>
    </row>
    <row r="600" spans="1:18" hidden="1" x14ac:dyDescent="0.25">
      <c r="A600" t="s">
        <v>699</v>
      </c>
      <c r="B600" t="s">
        <v>46</v>
      </c>
      <c r="C600" t="s">
        <v>693</v>
      </c>
      <c r="D600" t="s">
        <v>33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432.84539999999998</v>
      </c>
      <c r="R600">
        <v>0</v>
      </c>
    </row>
    <row r="601" spans="1:18" hidden="1" x14ac:dyDescent="0.25">
      <c r="A601" t="s">
        <v>700</v>
      </c>
      <c r="B601" t="s">
        <v>46</v>
      </c>
      <c r="C601" t="s">
        <v>693</v>
      </c>
      <c r="D601" t="s">
        <v>35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839.81110000000001</v>
      </c>
      <c r="R601">
        <v>0</v>
      </c>
    </row>
    <row r="602" spans="1:18" hidden="1" x14ac:dyDescent="0.25">
      <c r="A602" t="s">
        <v>701</v>
      </c>
      <c r="B602" t="s">
        <v>46</v>
      </c>
      <c r="C602" t="s">
        <v>702</v>
      </c>
      <c r="D602" t="s">
        <v>21</v>
      </c>
      <c r="E602">
        <v>168.74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122.1</v>
      </c>
      <c r="O602">
        <v>0</v>
      </c>
      <c r="P602">
        <v>0</v>
      </c>
      <c r="R602">
        <v>0</v>
      </c>
    </row>
    <row r="603" spans="1:18" hidden="1" x14ac:dyDescent="0.25">
      <c r="A603" t="s">
        <v>703</v>
      </c>
      <c r="B603" t="s">
        <v>46</v>
      </c>
      <c r="C603" t="s">
        <v>702</v>
      </c>
      <c r="D603" t="s">
        <v>23</v>
      </c>
      <c r="E603">
        <v>259.60000000000002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212.625</v>
      </c>
      <c r="L603">
        <v>0</v>
      </c>
      <c r="M603">
        <v>0</v>
      </c>
      <c r="N603">
        <v>195.36</v>
      </c>
      <c r="O603">
        <v>181.5</v>
      </c>
      <c r="P603">
        <v>177.9837</v>
      </c>
      <c r="R603">
        <v>0</v>
      </c>
    </row>
    <row r="604" spans="1:18" hidden="1" x14ac:dyDescent="0.25">
      <c r="A604" t="s">
        <v>704</v>
      </c>
      <c r="B604" t="s">
        <v>46</v>
      </c>
      <c r="C604" t="s">
        <v>702</v>
      </c>
      <c r="D604" t="s">
        <v>25</v>
      </c>
      <c r="E604">
        <v>272.58</v>
      </c>
      <c r="F604">
        <v>0</v>
      </c>
      <c r="G604">
        <v>199.386</v>
      </c>
      <c r="H604">
        <v>0</v>
      </c>
      <c r="I604">
        <v>0</v>
      </c>
      <c r="J604">
        <v>0</v>
      </c>
      <c r="K604">
        <v>223.65</v>
      </c>
      <c r="L604">
        <v>0</v>
      </c>
      <c r="M604">
        <v>0</v>
      </c>
      <c r="N604">
        <v>213.67500000000001</v>
      </c>
      <c r="O604">
        <v>217.8</v>
      </c>
      <c r="P604">
        <v>180.26220000000001</v>
      </c>
      <c r="R604">
        <v>0</v>
      </c>
    </row>
    <row r="605" spans="1:18" hidden="1" x14ac:dyDescent="0.25">
      <c r="A605" t="s">
        <v>705</v>
      </c>
      <c r="B605" t="s">
        <v>46</v>
      </c>
      <c r="C605" t="s">
        <v>702</v>
      </c>
      <c r="D605" t="s">
        <v>27</v>
      </c>
      <c r="E605">
        <v>330.99</v>
      </c>
      <c r="F605">
        <v>0</v>
      </c>
      <c r="G605">
        <v>298.452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533.577</v>
      </c>
      <c r="N605">
        <v>293.04000000000002</v>
      </c>
      <c r="O605">
        <v>242</v>
      </c>
      <c r="P605">
        <v>245.74469999999999</v>
      </c>
      <c r="R605">
        <v>0</v>
      </c>
    </row>
    <row r="606" spans="1:18" hidden="1" x14ac:dyDescent="0.25">
      <c r="A606" t="s">
        <v>706</v>
      </c>
      <c r="B606" t="s">
        <v>46</v>
      </c>
      <c r="C606" t="s">
        <v>702</v>
      </c>
      <c r="D606" t="s">
        <v>29</v>
      </c>
      <c r="E606">
        <v>181.72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147.65620000000001</v>
      </c>
      <c r="L606">
        <v>0</v>
      </c>
      <c r="M606">
        <v>0</v>
      </c>
      <c r="N606">
        <v>134.31</v>
      </c>
      <c r="O606">
        <v>0</v>
      </c>
      <c r="P606">
        <v>129.57480000000001</v>
      </c>
      <c r="R606">
        <v>0</v>
      </c>
    </row>
    <row r="607" spans="1:18" hidden="1" x14ac:dyDescent="0.25">
      <c r="A607" t="s">
        <v>707</v>
      </c>
      <c r="B607" t="s">
        <v>46</v>
      </c>
      <c r="C607" t="s">
        <v>702</v>
      </c>
      <c r="D607" t="s">
        <v>31</v>
      </c>
      <c r="E607">
        <v>207.68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165.375</v>
      </c>
      <c r="L607">
        <v>0</v>
      </c>
      <c r="M607">
        <v>0</v>
      </c>
      <c r="N607">
        <v>152.625</v>
      </c>
      <c r="O607">
        <v>121</v>
      </c>
      <c r="P607">
        <v>121.1801</v>
      </c>
      <c r="R607">
        <v>0</v>
      </c>
    </row>
    <row r="608" spans="1:18" hidden="1" x14ac:dyDescent="0.25">
      <c r="A608" t="s">
        <v>708</v>
      </c>
      <c r="B608" t="s">
        <v>46</v>
      </c>
      <c r="C608" t="s">
        <v>702</v>
      </c>
      <c r="D608" t="s">
        <v>33</v>
      </c>
      <c r="E608">
        <v>220.66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177.1875</v>
      </c>
      <c r="L608">
        <v>0</v>
      </c>
      <c r="M608">
        <v>0</v>
      </c>
      <c r="N608">
        <v>164.83500000000001</v>
      </c>
      <c r="O608">
        <v>121</v>
      </c>
      <c r="P608">
        <v>124.7563</v>
      </c>
      <c r="R608">
        <v>0</v>
      </c>
    </row>
    <row r="609" spans="1:18" hidden="1" x14ac:dyDescent="0.25">
      <c r="A609" t="s">
        <v>709</v>
      </c>
      <c r="B609" t="s">
        <v>46</v>
      </c>
      <c r="C609" t="s">
        <v>702</v>
      </c>
      <c r="D609" t="s">
        <v>35</v>
      </c>
      <c r="E609">
        <v>305.52499999999998</v>
      </c>
      <c r="F609">
        <v>0</v>
      </c>
      <c r="G609">
        <v>303.46800000000002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585.30449999999996</v>
      </c>
      <c r="N609">
        <v>314.16000000000003</v>
      </c>
      <c r="O609">
        <v>278.3</v>
      </c>
      <c r="P609">
        <v>273.35629999999998</v>
      </c>
      <c r="R609">
        <v>0</v>
      </c>
    </row>
    <row r="610" spans="1:18" hidden="1" x14ac:dyDescent="0.25">
      <c r="A610" t="s">
        <v>710</v>
      </c>
      <c r="B610" t="s">
        <v>46</v>
      </c>
      <c r="C610" t="s">
        <v>711</v>
      </c>
      <c r="D610" t="s">
        <v>21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R610">
        <v>0</v>
      </c>
    </row>
    <row r="611" spans="1:18" hidden="1" x14ac:dyDescent="0.25">
      <c r="A611" t="s">
        <v>712</v>
      </c>
      <c r="B611" t="s">
        <v>46</v>
      </c>
      <c r="C611" t="s">
        <v>711</v>
      </c>
      <c r="D611" t="s">
        <v>23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576.99749999999995</v>
      </c>
      <c r="R611">
        <v>0</v>
      </c>
    </row>
    <row r="612" spans="1:18" hidden="1" x14ac:dyDescent="0.25">
      <c r="A612" t="s">
        <v>713</v>
      </c>
      <c r="B612" t="s">
        <v>46</v>
      </c>
      <c r="C612" t="s">
        <v>711</v>
      </c>
      <c r="D612" t="s">
        <v>25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603.04100000000005</v>
      </c>
      <c r="R612">
        <v>0</v>
      </c>
    </row>
    <row r="613" spans="1:18" hidden="1" x14ac:dyDescent="0.25">
      <c r="A613" t="s">
        <v>714</v>
      </c>
      <c r="B613" t="s">
        <v>46</v>
      </c>
      <c r="C613" t="s">
        <v>711</v>
      </c>
      <c r="D613" t="s">
        <v>27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766.54420000000005</v>
      </c>
      <c r="R613">
        <v>0</v>
      </c>
    </row>
    <row r="614" spans="1:18" hidden="1" x14ac:dyDescent="0.25">
      <c r="A614" t="s">
        <v>715</v>
      </c>
      <c r="B614" t="s">
        <v>46</v>
      </c>
      <c r="C614" t="s">
        <v>711</v>
      </c>
      <c r="D614" t="s">
        <v>29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401.8673</v>
      </c>
      <c r="R614">
        <v>0</v>
      </c>
    </row>
    <row r="615" spans="1:18" hidden="1" x14ac:dyDescent="0.25">
      <c r="A615" t="s">
        <v>716</v>
      </c>
      <c r="B615" t="s">
        <v>46</v>
      </c>
      <c r="C615" t="s">
        <v>711</v>
      </c>
      <c r="D615" t="s">
        <v>31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392.17880000000002</v>
      </c>
      <c r="R615">
        <v>0</v>
      </c>
    </row>
    <row r="616" spans="1:18" hidden="1" x14ac:dyDescent="0.25">
      <c r="A616" t="s">
        <v>717</v>
      </c>
      <c r="B616" t="s">
        <v>46</v>
      </c>
      <c r="C616" t="s">
        <v>711</v>
      </c>
      <c r="D616" t="s">
        <v>33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398.29599999999999</v>
      </c>
      <c r="R616">
        <v>0</v>
      </c>
    </row>
    <row r="617" spans="1:18" hidden="1" x14ac:dyDescent="0.25">
      <c r="A617" t="s">
        <v>718</v>
      </c>
      <c r="B617" t="s">
        <v>46</v>
      </c>
      <c r="C617" t="s">
        <v>711</v>
      </c>
      <c r="D617" t="s">
        <v>35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775.47559999999999</v>
      </c>
      <c r="R617">
        <v>0</v>
      </c>
    </row>
    <row r="618" spans="1:18" hidden="1" x14ac:dyDescent="0.25">
      <c r="A618" t="s">
        <v>719</v>
      </c>
      <c r="B618" t="s">
        <v>46</v>
      </c>
      <c r="C618" t="s">
        <v>720</v>
      </c>
      <c r="D618" t="s">
        <v>21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R618">
        <v>0</v>
      </c>
    </row>
    <row r="619" spans="1:18" hidden="1" x14ac:dyDescent="0.25">
      <c r="A619" t="s">
        <v>721</v>
      </c>
      <c r="B619" t="s">
        <v>46</v>
      </c>
      <c r="C619" t="s">
        <v>720</v>
      </c>
      <c r="D619" t="s">
        <v>23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601.96849999999995</v>
      </c>
      <c r="R619">
        <v>0</v>
      </c>
    </row>
    <row r="620" spans="1:18" hidden="1" x14ac:dyDescent="0.25">
      <c r="A620" t="s">
        <v>722</v>
      </c>
      <c r="B620" t="s">
        <v>46</v>
      </c>
      <c r="C620" t="s">
        <v>720</v>
      </c>
      <c r="D620" t="s">
        <v>25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610.2201</v>
      </c>
      <c r="R620">
        <v>0</v>
      </c>
    </row>
    <row r="621" spans="1:18" hidden="1" x14ac:dyDescent="0.25">
      <c r="A621" t="s">
        <v>723</v>
      </c>
      <c r="B621" t="s">
        <v>46</v>
      </c>
      <c r="C621" t="s">
        <v>720</v>
      </c>
      <c r="D621" t="s">
        <v>27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839.26400000000001</v>
      </c>
      <c r="R621">
        <v>0</v>
      </c>
    </row>
    <row r="622" spans="1:18" hidden="1" x14ac:dyDescent="0.25">
      <c r="A622" t="s">
        <v>724</v>
      </c>
      <c r="B622" t="s">
        <v>46</v>
      </c>
      <c r="C622" t="s">
        <v>720</v>
      </c>
      <c r="D622" t="s">
        <v>29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443.38889999999998</v>
      </c>
      <c r="R622">
        <v>0</v>
      </c>
    </row>
    <row r="623" spans="1:18" hidden="1" x14ac:dyDescent="0.25">
      <c r="A623" t="s">
        <v>725</v>
      </c>
      <c r="B623" t="s">
        <v>46</v>
      </c>
      <c r="C623" t="s">
        <v>720</v>
      </c>
      <c r="D623" t="s">
        <v>31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432.2903</v>
      </c>
      <c r="R623">
        <v>0</v>
      </c>
    </row>
    <row r="624" spans="1:18" hidden="1" x14ac:dyDescent="0.25">
      <c r="A624" t="s">
        <v>726</v>
      </c>
      <c r="B624" t="s">
        <v>46</v>
      </c>
      <c r="C624" t="s">
        <v>720</v>
      </c>
      <c r="D624" t="s">
        <v>33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442.5419</v>
      </c>
      <c r="R624">
        <v>0</v>
      </c>
    </row>
    <row r="625" spans="1:18" hidden="1" x14ac:dyDescent="0.25">
      <c r="A625" t="s">
        <v>727</v>
      </c>
      <c r="B625" t="s">
        <v>46</v>
      </c>
      <c r="C625" t="s">
        <v>720</v>
      </c>
      <c r="D625" t="s">
        <v>35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841.67420000000004</v>
      </c>
      <c r="R625">
        <v>0</v>
      </c>
    </row>
    <row r="626" spans="1:18" hidden="1" x14ac:dyDescent="0.25">
      <c r="A626" t="s">
        <v>728</v>
      </c>
      <c r="B626" t="s">
        <v>46</v>
      </c>
      <c r="C626" t="s">
        <v>729</v>
      </c>
      <c r="D626" t="s">
        <v>21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R626">
        <v>0</v>
      </c>
    </row>
    <row r="627" spans="1:18" hidden="1" x14ac:dyDescent="0.25">
      <c r="A627" t="s">
        <v>730</v>
      </c>
      <c r="B627" t="s">
        <v>46</v>
      </c>
      <c r="C627" t="s">
        <v>729</v>
      </c>
      <c r="D627" t="s">
        <v>23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485.65550000000002</v>
      </c>
      <c r="R627">
        <v>0</v>
      </c>
    </row>
    <row r="628" spans="1:18" hidden="1" x14ac:dyDescent="0.25">
      <c r="A628" t="s">
        <v>731</v>
      </c>
      <c r="B628" t="s">
        <v>46</v>
      </c>
      <c r="C628" t="s">
        <v>729</v>
      </c>
      <c r="D628" t="s">
        <v>25</v>
      </c>
      <c r="E628">
        <v>0</v>
      </c>
      <c r="F628">
        <v>0</v>
      </c>
      <c r="G628">
        <v>584.36400000000003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562.14710000000002</v>
      </c>
      <c r="R628">
        <v>0</v>
      </c>
    </row>
    <row r="629" spans="1:18" hidden="1" x14ac:dyDescent="0.25">
      <c r="A629" t="s">
        <v>732</v>
      </c>
      <c r="B629" t="s">
        <v>46</v>
      </c>
      <c r="C629" t="s">
        <v>729</v>
      </c>
      <c r="D629" t="s">
        <v>27</v>
      </c>
      <c r="E629">
        <v>0</v>
      </c>
      <c r="F629">
        <v>0</v>
      </c>
      <c r="G629">
        <v>796.29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406.9264</v>
      </c>
      <c r="R629">
        <v>0</v>
      </c>
    </row>
    <row r="630" spans="1:18" hidden="1" x14ac:dyDescent="0.25">
      <c r="A630" t="s">
        <v>733</v>
      </c>
      <c r="B630" t="s">
        <v>46</v>
      </c>
      <c r="C630" t="s">
        <v>729</v>
      </c>
      <c r="D630" t="s">
        <v>29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376.55020000000002</v>
      </c>
      <c r="R630">
        <v>0</v>
      </c>
    </row>
    <row r="631" spans="1:18" hidden="1" x14ac:dyDescent="0.25">
      <c r="A631" t="s">
        <v>734</v>
      </c>
      <c r="B631" t="s">
        <v>46</v>
      </c>
      <c r="C631" t="s">
        <v>729</v>
      </c>
      <c r="D631" t="s">
        <v>31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333.61149999999998</v>
      </c>
      <c r="R631">
        <v>0</v>
      </c>
    </row>
    <row r="632" spans="1:18" hidden="1" x14ac:dyDescent="0.25">
      <c r="A632" t="s">
        <v>735</v>
      </c>
      <c r="B632" t="s">
        <v>46</v>
      </c>
      <c r="C632" t="s">
        <v>729</v>
      </c>
      <c r="D632" t="s">
        <v>33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340.62400000000002</v>
      </c>
      <c r="R632">
        <v>0</v>
      </c>
    </row>
    <row r="633" spans="1:18" hidden="1" x14ac:dyDescent="0.25">
      <c r="A633" t="s">
        <v>736</v>
      </c>
      <c r="B633" t="s">
        <v>46</v>
      </c>
      <c r="C633" t="s">
        <v>729</v>
      </c>
      <c r="D633" t="s">
        <v>35</v>
      </c>
      <c r="E633">
        <v>0</v>
      </c>
      <c r="F633">
        <v>0</v>
      </c>
      <c r="G633">
        <v>847.70399999999995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409.33190000000002</v>
      </c>
      <c r="R633">
        <v>0</v>
      </c>
    </row>
    <row r="634" spans="1:18" hidden="1" x14ac:dyDescent="0.25">
      <c r="A634" t="s">
        <v>737</v>
      </c>
      <c r="B634" t="s">
        <v>46</v>
      </c>
      <c r="C634" t="s">
        <v>738</v>
      </c>
      <c r="D634" t="s">
        <v>21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R634">
        <v>0</v>
      </c>
    </row>
    <row r="635" spans="1:18" hidden="1" x14ac:dyDescent="0.25">
      <c r="A635" t="s">
        <v>739</v>
      </c>
      <c r="B635" t="s">
        <v>46</v>
      </c>
      <c r="C635" t="s">
        <v>738</v>
      </c>
      <c r="D635" t="s">
        <v>23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468.74529999999999</v>
      </c>
      <c r="R635">
        <v>0</v>
      </c>
    </row>
    <row r="636" spans="1:18" hidden="1" x14ac:dyDescent="0.25">
      <c r="A636" t="s">
        <v>740</v>
      </c>
      <c r="B636" t="s">
        <v>46</v>
      </c>
      <c r="C636" t="s">
        <v>738</v>
      </c>
      <c r="D636" t="s">
        <v>25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543.38</v>
      </c>
      <c r="R636">
        <v>0</v>
      </c>
    </row>
    <row r="637" spans="1:18" hidden="1" x14ac:dyDescent="0.25">
      <c r="A637" t="s">
        <v>741</v>
      </c>
      <c r="B637" t="s">
        <v>46</v>
      </c>
      <c r="C637" t="s">
        <v>738</v>
      </c>
      <c r="D637" t="s">
        <v>27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627.36860000000001</v>
      </c>
      <c r="R637">
        <v>0</v>
      </c>
    </row>
    <row r="638" spans="1:18" hidden="1" x14ac:dyDescent="0.25">
      <c r="A638" t="s">
        <v>742</v>
      </c>
      <c r="B638" t="s">
        <v>46</v>
      </c>
      <c r="C638" t="s">
        <v>738</v>
      </c>
      <c r="D638" t="s">
        <v>29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378.17259999999999</v>
      </c>
      <c r="R638">
        <v>0</v>
      </c>
    </row>
    <row r="639" spans="1:18" hidden="1" x14ac:dyDescent="0.25">
      <c r="A639" t="s">
        <v>743</v>
      </c>
      <c r="B639" t="s">
        <v>46</v>
      </c>
      <c r="C639" t="s">
        <v>738</v>
      </c>
      <c r="D639" t="s">
        <v>31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323.24090000000001</v>
      </c>
      <c r="R639">
        <v>0</v>
      </c>
    </row>
    <row r="640" spans="1:18" hidden="1" x14ac:dyDescent="0.25">
      <c r="A640" t="s">
        <v>744</v>
      </c>
      <c r="B640" t="s">
        <v>46</v>
      </c>
      <c r="C640" t="s">
        <v>738</v>
      </c>
      <c r="D640" t="s">
        <v>33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329.0496</v>
      </c>
      <c r="R640">
        <v>0</v>
      </c>
    </row>
    <row r="641" spans="1:18" hidden="1" x14ac:dyDescent="0.25">
      <c r="A641" t="s">
        <v>745</v>
      </c>
      <c r="B641" t="s">
        <v>46</v>
      </c>
      <c r="C641" t="s">
        <v>738</v>
      </c>
      <c r="D641" t="s">
        <v>35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644.93949999999995</v>
      </c>
      <c r="R641">
        <v>0</v>
      </c>
    </row>
    <row r="642" spans="1:18" hidden="1" x14ac:dyDescent="0.25">
      <c r="A642" t="s">
        <v>746</v>
      </c>
      <c r="B642" t="s">
        <v>46</v>
      </c>
      <c r="C642" t="s">
        <v>747</v>
      </c>
      <c r="D642" t="s">
        <v>21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R642">
        <v>0</v>
      </c>
    </row>
    <row r="643" spans="1:18" hidden="1" x14ac:dyDescent="0.25">
      <c r="A643" t="s">
        <v>748</v>
      </c>
      <c r="B643" t="s">
        <v>46</v>
      </c>
      <c r="C643" t="s">
        <v>747</v>
      </c>
      <c r="D643" t="s">
        <v>23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579.62099999999998</v>
      </c>
      <c r="R643">
        <v>0</v>
      </c>
    </row>
    <row r="644" spans="1:18" hidden="1" x14ac:dyDescent="0.25">
      <c r="A644" t="s">
        <v>749</v>
      </c>
      <c r="B644" t="s">
        <v>46</v>
      </c>
      <c r="C644" t="s">
        <v>747</v>
      </c>
      <c r="D644" t="s">
        <v>25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603.35400000000004</v>
      </c>
      <c r="R644">
        <v>0</v>
      </c>
    </row>
    <row r="645" spans="1:18" hidden="1" x14ac:dyDescent="0.25">
      <c r="A645" t="s">
        <v>750</v>
      </c>
      <c r="B645" t="s">
        <v>46</v>
      </c>
      <c r="C645" t="s">
        <v>747</v>
      </c>
      <c r="D645" t="s">
        <v>27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775.87170000000003</v>
      </c>
      <c r="R645">
        <v>0</v>
      </c>
    </row>
    <row r="646" spans="1:18" hidden="1" x14ac:dyDescent="0.25">
      <c r="A646" t="s">
        <v>751</v>
      </c>
      <c r="B646" t="s">
        <v>46</v>
      </c>
      <c r="C646" t="s">
        <v>747</v>
      </c>
      <c r="D646" t="s">
        <v>29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407.44299999999998</v>
      </c>
      <c r="R646">
        <v>0</v>
      </c>
    </row>
    <row r="647" spans="1:18" hidden="1" x14ac:dyDescent="0.25">
      <c r="A647" t="s">
        <v>752</v>
      </c>
      <c r="B647" t="s">
        <v>46</v>
      </c>
      <c r="C647" t="s">
        <v>747</v>
      </c>
      <c r="D647" t="s">
        <v>31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393.92770000000002</v>
      </c>
      <c r="R647">
        <v>0</v>
      </c>
    </row>
    <row r="648" spans="1:18" hidden="1" x14ac:dyDescent="0.25">
      <c r="A648" t="s">
        <v>753</v>
      </c>
      <c r="B648" t="s">
        <v>46</v>
      </c>
      <c r="C648" t="s">
        <v>747</v>
      </c>
      <c r="D648" t="s">
        <v>33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401.87090000000001</v>
      </c>
      <c r="R648">
        <v>0</v>
      </c>
    </row>
    <row r="649" spans="1:18" hidden="1" x14ac:dyDescent="0.25">
      <c r="A649" t="s">
        <v>754</v>
      </c>
      <c r="B649" t="s">
        <v>46</v>
      </c>
      <c r="C649" t="s">
        <v>747</v>
      </c>
      <c r="D649" t="s">
        <v>35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797.76220000000001</v>
      </c>
      <c r="R649">
        <v>0</v>
      </c>
    </row>
    <row r="650" spans="1:18" hidden="1" x14ac:dyDescent="0.25">
      <c r="A650" t="s">
        <v>755</v>
      </c>
      <c r="B650" t="s">
        <v>46</v>
      </c>
      <c r="C650" t="s">
        <v>756</v>
      </c>
      <c r="D650" t="s">
        <v>21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R650">
        <v>0</v>
      </c>
    </row>
    <row r="651" spans="1:18" hidden="1" x14ac:dyDescent="0.25">
      <c r="A651" t="s">
        <v>757</v>
      </c>
      <c r="B651" t="s">
        <v>46</v>
      </c>
      <c r="C651" t="s">
        <v>756</v>
      </c>
      <c r="D651" t="s">
        <v>23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662.87300000000005</v>
      </c>
      <c r="R651">
        <v>0</v>
      </c>
    </row>
    <row r="652" spans="1:18" hidden="1" x14ac:dyDescent="0.25">
      <c r="A652" t="s">
        <v>758</v>
      </c>
      <c r="B652" t="s">
        <v>46</v>
      </c>
      <c r="C652" t="s">
        <v>756</v>
      </c>
      <c r="D652" t="s">
        <v>25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738.31179999999995</v>
      </c>
      <c r="R652">
        <v>0</v>
      </c>
    </row>
    <row r="653" spans="1:18" hidden="1" x14ac:dyDescent="0.25">
      <c r="A653" t="s">
        <v>759</v>
      </c>
      <c r="B653" t="s">
        <v>46</v>
      </c>
      <c r="C653" t="s">
        <v>756</v>
      </c>
      <c r="D653" t="s">
        <v>27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872.13170000000002</v>
      </c>
      <c r="R653">
        <v>0</v>
      </c>
    </row>
    <row r="654" spans="1:18" hidden="1" x14ac:dyDescent="0.25">
      <c r="A654" t="s">
        <v>760</v>
      </c>
      <c r="B654" t="s">
        <v>46</v>
      </c>
      <c r="C654" t="s">
        <v>756</v>
      </c>
      <c r="D654" t="s">
        <v>29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471.88709999999998</v>
      </c>
      <c r="R654">
        <v>0</v>
      </c>
    </row>
    <row r="655" spans="1:18" hidden="1" x14ac:dyDescent="0.25">
      <c r="A655" t="s">
        <v>761</v>
      </c>
      <c r="B655" t="s">
        <v>46</v>
      </c>
      <c r="C655" t="s">
        <v>756</v>
      </c>
      <c r="D655" t="s">
        <v>31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454.95870000000002</v>
      </c>
      <c r="R655">
        <v>0</v>
      </c>
    </row>
    <row r="656" spans="1:18" hidden="1" x14ac:dyDescent="0.25">
      <c r="A656" t="s">
        <v>762</v>
      </c>
      <c r="B656" t="s">
        <v>46</v>
      </c>
      <c r="C656" t="s">
        <v>756</v>
      </c>
      <c r="D656" t="s">
        <v>33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460.27010000000001</v>
      </c>
      <c r="R656">
        <v>0</v>
      </c>
    </row>
    <row r="657" spans="1:18" hidden="1" x14ac:dyDescent="0.25">
      <c r="A657" t="s">
        <v>763</v>
      </c>
      <c r="B657" t="s">
        <v>46</v>
      </c>
      <c r="C657" t="s">
        <v>756</v>
      </c>
      <c r="D657" t="s">
        <v>35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889.1241</v>
      </c>
      <c r="R657">
        <v>0</v>
      </c>
    </row>
    <row r="658" spans="1:18" hidden="1" x14ac:dyDescent="0.25">
      <c r="A658" t="s">
        <v>764</v>
      </c>
      <c r="B658" t="s">
        <v>46</v>
      </c>
      <c r="C658" t="s">
        <v>765</v>
      </c>
      <c r="D658" t="s">
        <v>21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R658">
        <v>0</v>
      </c>
    </row>
    <row r="659" spans="1:18" hidden="1" x14ac:dyDescent="0.25">
      <c r="A659" t="s">
        <v>766</v>
      </c>
      <c r="B659" t="s">
        <v>46</v>
      </c>
      <c r="C659" t="s">
        <v>765</v>
      </c>
      <c r="D659" t="s">
        <v>23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866.50580000000002</v>
      </c>
      <c r="R659">
        <v>0</v>
      </c>
    </row>
    <row r="660" spans="1:18" hidden="1" x14ac:dyDescent="0.25">
      <c r="A660" t="s">
        <v>767</v>
      </c>
      <c r="B660" t="s">
        <v>46</v>
      </c>
      <c r="C660" t="s">
        <v>765</v>
      </c>
      <c r="D660" t="s">
        <v>25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903.98130000000003</v>
      </c>
      <c r="R660">
        <v>0</v>
      </c>
    </row>
    <row r="661" spans="1:18" hidden="1" x14ac:dyDescent="0.25">
      <c r="A661" t="s">
        <v>768</v>
      </c>
      <c r="B661" t="s">
        <v>46</v>
      </c>
      <c r="C661" t="s">
        <v>765</v>
      </c>
      <c r="D661" t="s">
        <v>27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1001.7781</v>
      </c>
      <c r="R661">
        <v>0</v>
      </c>
    </row>
    <row r="662" spans="1:18" hidden="1" x14ac:dyDescent="0.25">
      <c r="A662" t="s">
        <v>769</v>
      </c>
      <c r="B662" t="s">
        <v>46</v>
      </c>
      <c r="C662" t="s">
        <v>765</v>
      </c>
      <c r="D662" t="s">
        <v>29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620.34609999999998</v>
      </c>
      <c r="R662">
        <v>0</v>
      </c>
    </row>
    <row r="663" spans="1:18" hidden="1" x14ac:dyDescent="0.25">
      <c r="A663" t="s">
        <v>770</v>
      </c>
      <c r="B663" t="s">
        <v>46</v>
      </c>
      <c r="C663" t="s">
        <v>765</v>
      </c>
      <c r="D663" t="s">
        <v>31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699.63990000000001</v>
      </c>
      <c r="R663">
        <v>0</v>
      </c>
    </row>
    <row r="664" spans="1:18" hidden="1" x14ac:dyDescent="0.25">
      <c r="A664" t="s">
        <v>771</v>
      </c>
      <c r="B664" t="s">
        <v>46</v>
      </c>
      <c r="C664" t="s">
        <v>765</v>
      </c>
      <c r="D664" t="s">
        <v>33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747.9402</v>
      </c>
      <c r="R664">
        <v>0</v>
      </c>
    </row>
    <row r="665" spans="1:18" hidden="1" x14ac:dyDescent="0.25">
      <c r="A665" t="s">
        <v>772</v>
      </c>
      <c r="B665" t="s">
        <v>46</v>
      </c>
      <c r="C665" t="s">
        <v>765</v>
      </c>
      <c r="D665" t="s">
        <v>35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1006.0192</v>
      </c>
      <c r="R665">
        <v>0</v>
      </c>
    </row>
    <row r="666" spans="1:18" hidden="1" x14ac:dyDescent="0.25">
      <c r="A666" t="s">
        <v>773</v>
      </c>
      <c r="B666" t="s">
        <v>46</v>
      </c>
      <c r="C666" t="s">
        <v>774</v>
      </c>
      <c r="D666" t="s">
        <v>21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R666">
        <v>0</v>
      </c>
    </row>
    <row r="667" spans="1:18" hidden="1" x14ac:dyDescent="0.25">
      <c r="A667" t="s">
        <v>775</v>
      </c>
      <c r="B667" t="s">
        <v>46</v>
      </c>
      <c r="C667" t="s">
        <v>774</v>
      </c>
      <c r="D667" t="s">
        <v>23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602.18849999999998</v>
      </c>
      <c r="R667">
        <v>0</v>
      </c>
    </row>
    <row r="668" spans="1:18" hidden="1" x14ac:dyDescent="0.25">
      <c r="A668" t="s">
        <v>776</v>
      </c>
      <c r="B668" t="s">
        <v>46</v>
      </c>
      <c r="C668" t="s">
        <v>774</v>
      </c>
      <c r="D668" t="s">
        <v>25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610.41240000000005</v>
      </c>
      <c r="R668">
        <v>0</v>
      </c>
    </row>
    <row r="669" spans="1:18" hidden="1" x14ac:dyDescent="0.25">
      <c r="A669" t="s">
        <v>777</v>
      </c>
      <c r="B669" t="s">
        <v>46</v>
      </c>
      <c r="C669" t="s">
        <v>774</v>
      </c>
      <c r="D669" t="s">
        <v>27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839.48400000000004</v>
      </c>
      <c r="R669">
        <v>0</v>
      </c>
    </row>
    <row r="670" spans="1:18" hidden="1" x14ac:dyDescent="0.25">
      <c r="A670" t="s">
        <v>778</v>
      </c>
      <c r="B670" t="s">
        <v>46</v>
      </c>
      <c r="C670" t="s">
        <v>774</v>
      </c>
      <c r="D670" t="s">
        <v>29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433.81920000000002</v>
      </c>
      <c r="R670">
        <v>0</v>
      </c>
    </row>
    <row r="671" spans="1:18" hidden="1" x14ac:dyDescent="0.25">
      <c r="A671" t="s">
        <v>779</v>
      </c>
      <c r="B671" t="s">
        <v>46</v>
      </c>
      <c r="C671" t="s">
        <v>774</v>
      </c>
      <c r="D671" t="s">
        <v>31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433.3657</v>
      </c>
      <c r="R671">
        <v>0</v>
      </c>
    </row>
    <row r="672" spans="1:18" hidden="1" x14ac:dyDescent="0.25">
      <c r="A672" t="s">
        <v>780</v>
      </c>
      <c r="B672" t="s">
        <v>46</v>
      </c>
      <c r="C672" t="s">
        <v>774</v>
      </c>
      <c r="D672" t="s">
        <v>33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442.7534</v>
      </c>
      <c r="R672">
        <v>0</v>
      </c>
    </row>
    <row r="673" spans="1:18" hidden="1" x14ac:dyDescent="0.25">
      <c r="A673" t="s">
        <v>781</v>
      </c>
      <c r="B673" t="s">
        <v>46</v>
      </c>
      <c r="C673" t="s">
        <v>774</v>
      </c>
      <c r="D673" t="s">
        <v>35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841.90110000000004</v>
      </c>
      <c r="R673">
        <v>0</v>
      </c>
    </row>
    <row r="674" spans="1:18" hidden="1" x14ac:dyDescent="0.25">
      <c r="A674" t="s">
        <v>782</v>
      </c>
      <c r="B674" t="s">
        <v>46</v>
      </c>
      <c r="C674" t="s">
        <v>783</v>
      </c>
      <c r="D674" t="s">
        <v>21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R674">
        <v>0</v>
      </c>
    </row>
    <row r="675" spans="1:18" hidden="1" x14ac:dyDescent="0.25">
      <c r="A675" t="s">
        <v>784</v>
      </c>
      <c r="B675" t="s">
        <v>46</v>
      </c>
      <c r="C675" t="s">
        <v>783</v>
      </c>
      <c r="D675" t="s">
        <v>23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568.07119999999998</v>
      </c>
      <c r="R675">
        <v>0</v>
      </c>
    </row>
    <row r="676" spans="1:18" hidden="1" x14ac:dyDescent="0.25">
      <c r="A676" t="s">
        <v>785</v>
      </c>
      <c r="B676" t="s">
        <v>46</v>
      </c>
      <c r="C676" t="s">
        <v>783</v>
      </c>
      <c r="D676" t="s">
        <v>25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601.97590000000002</v>
      </c>
      <c r="R676">
        <v>0</v>
      </c>
    </row>
    <row r="677" spans="1:18" hidden="1" x14ac:dyDescent="0.25">
      <c r="A677" t="s">
        <v>786</v>
      </c>
      <c r="B677" t="s">
        <v>46</v>
      </c>
      <c r="C677" t="s">
        <v>783</v>
      </c>
      <c r="D677" t="s">
        <v>27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754.23670000000004</v>
      </c>
      <c r="R677">
        <v>0</v>
      </c>
    </row>
    <row r="678" spans="1:18" hidden="1" x14ac:dyDescent="0.25">
      <c r="A678" t="s">
        <v>787</v>
      </c>
      <c r="B678" t="s">
        <v>46</v>
      </c>
      <c r="C678" t="s">
        <v>783</v>
      </c>
      <c r="D678" t="s">
        <v>29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399.45499999999998</v>
      </c>
      <c r="R678">
        <v>0</v>
      </c>
    </row>
    <row r="679" spans="1:18" hidden="1" x14ac:dyDescent="0.25">
      <c r="A679" t="s">
        <v>788</v>
      </c>
      <c r="B679" t="s">
        <v>46</v>
      </c>
      <c r="C679" t="s">
        <v>783</v>
      </c>
      <c r="D679" t="s">
        <v>31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386.22800000000001</v>
      </c>
      <c r="R679">
        <v>0</v>
      </c>
    </row>
    <row r="680" spans="1:18" hidden="1" x14ac:dyDescent="0.25">
      <c r="A680" t="s">
        <v>789</v>
      </c>
      <c r="B680" t="s">
        <v>46</v>
      </c>
      <c r="C680" t="s">
        <v>783</v>
      </c>
      <c r="D680" t="s">
        <v>33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392.3451</v>
      </c>
      <c r="R680">
        <v>0</v>
      </c>
    </row>
    <row r="681" spans="1:18" hidden="1" x14ac:dyDescent="0.25">
      <c r="A681" t="s">
        <v>790</v>
      </c>
      <c r="B681" t="s">
        <v>46</v>
      </c>
      <c r="C681" t="s">
        <v>783</v>
      </c>
      <c r="D681" t="s">
        <v>35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774.22029999999995</v>
      </c>
      <c r="R681">
        <v>0</v>
      </c>
    </row>
    <row r="682" spans="1:18" hidden="1" x14ac:dyDescent="0.25">
      <c r="A682" t="s">
        <v>791</v>
      </c>
      <c r="B682" t="s">
        <v>46</v>
      </c>
      <c r="C682" t="s">
        <v>792</v>
      </c>
      <c r="D682" t="s">
        <v>21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R682">
        <v>0</v>
      </c>
    </row>
    <row r="683" spans="1:18" hidden="1" x14ac:dyDescent="0.25">
      <c r="A683" t="s">
        <v>793</v>
      </c>
      <c r="B683" t="s">
        <v>46</v>
      </c>
      <c r="C683" t="s">
        <v>792</v>
      </c>
      <c r="D683" t="s">
        <v>23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736.17660000000001</v>
      </c>
      <c r="R683">
        <v>0</v>
      </c>
    </row>
    <row r="684" spans="1:18" hidden="1" x14ac:dyDescent="0.25">
      <c r="A684" t="s">
        <v>794</v>
      </c>
      <c r="B684" t="s">
        <v>46</v>
      </c>
      <c r="C684" t="s">
        <v>792</v>
      </c>
      <c r="D684" t="s">
        <v>25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856.49540000000002</v>
      </c>
      <c r="R684">
        <v>0</v>
      </c>
    </row>
    <row r="685" spans="1:18" hidden="1" x14ac:dyDescent="0.25">
      <c r="A685" t="s">
        <v>795</v>
      </c>
      <c r="B685" t="s">
        <v>46</v>
      </c>
      <c r="C685" t="s">
        <v>792</v>
      </c>
      <c r="D685" t="s">
        <v>27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954.09680000000003</v>
      </c>
      <c r="R685">
        <v>0</v>
      </c>
    </row>
    <row r="686" spans="1:18" hidden="1" x14ac:dyDescent="0.25">
      <c r="A686" t="s">
        <v>796</v>
      </c>
      <c r="B686" t="s">
        <v>46</v>
      </c>
      <c r="C686" t="s">
        <v>792</v>
      </c>
      <c r="D686" t="s">
        <v>29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483.60270000000003</v>
      </c>
      <c r="R686">
        <v>0</v>
      </c>
    </row>
    <row r="687" spans="1:18" hidden="1" x14ac:dyDescent="0.25">
      <c r="A687" t="s">
        <v>797</v>
      </c>
      <c r="B687" t="s">
        <v>46</v>
      </c>
      <c r="C687" t="s">
        <v>792</v>
      </c>
      <c r="D687" t="s">
        <v>31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506.89389999999997</v>
      </c>
      <c r="R687">
        <v>0</v>
      </c>
    </row>
    <row r="688" spans="1:18" hidden="1" x14ac:dyDescent="0.25">
      <c r="A688" t="s">
        <v>798</v>
      </c>
      <c r="B688" t="s">
        <v>46</v>
      </c>
      <c r="C688" t="s">
        <v>792</v>
      </c>
      <c r="D688" t="s">
        <v>33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509.43720000000002</v>
      </c>
      <c r="R688">
        <v>0</v>
      </c>
    </row>
    <row r="689" spans="1:18" hidden="1" x14ac:dyDescent="0.25">
      <c r="A689" t="s">
        <v>799</v>
      </c>
      <c r="B689" t="s">
        <v>46</v>
      </c>
      <c r="C689" t="s">
        <v>792</v>
      </c>
      <c r="D689" t="s">
        <v>35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956.84780000000001</v>
      </c>
      <c r="R689">
        <v>0</v>
      </c>
    </row>
    <row r="690" spans="1:18" hidden="1" x14ac:dyDescent="0.25">
      <c r="A690" t="s">
        <v>800</v>
      </c>
      <c r="B690" t="s">
        <v>46</v>
      </c>
      <c r="C690" t="s">
        <v>801</v>
      </c>
      <c r="D690" t="s">
        <v>21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R690">
        <v>0</v>
      </c>
    </row>
    <row r="691" spans="1:18" hidden="1" x14ac:dyDescent="0.25">
      <c r="A691" t="s">
        <v>802</v>
      </c>
      <c r="B691" t="s">
        <v>46</v>
      </c>
      <c r="C691" t="s">
        <v>801</v>
      </c>
      <c r="D691" t="s">
        <v>23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562.45450000000005</v>
      </c>
      <c r="R691">
        <v>0</v>
      </c>
    </row>
    <row r="692" spans="1:18" hidden="1" x14ac:dyDescent="0.25">
      <c r="A692" t="s">
        <v>803</v>
      </c>
      <c r="B692" t="s">
        <v>46</v>
      </c>
      <c r="C692" t="s">
        <v>801</v>
      </c>
      <c r="D692" t="s">
        <v>25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601.4393</v>
      </c>
      <c r="R692">
        <v>0</v>
      </c>
    </row>
    <row r="693" spans="1:18" hidden="1" x14ac:dyDescent="0.25">
      <c r="A693" t="s">
        <v>804</v>
      </c>
      <c r="B693" t="s">
        <v>46</v>
      </c>
      <c r="C693" t="s">
        <v>801</v>
      </c>
      <c r="D693" t="s">
        <v>27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748.03579999999999</v>
      </c>
      <c r="R693">
        <v>0</v>
      </c>
    </row>
    <row r="694" spans="1:18" hidden="1" x14ac:dyDescent="0.25">
      <c r="A694" t="s">
        <v>805</v>
      </c>
      <c r="B694" t="s">
        <v>46</v>
      </c>
      <c r="C694" t="s">
        <v>801</v>
      </c>
      <c r="D694" t="s">
        <v>29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467.14429999999999</v>
      </c>
      <c r="R694">
        <v>0</v>
      </c>
    </row>
    <row r="695" spans="1:18" hidden="1" x14ac:dyDescent="0.25">
      <c r="A695" t="s">
        <v>806</v>
      </c>
      <c r="B695" t="s">
        <v>46</v>
      </c>
      <c r="C695" t="s">
        <v>801</v>
      </c>
      <c r="D695" t="s">
        <v>31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380.60500000000002</v>
      </c>
      <c r="R695">
        <v>0</v>
      </c>
    </row>
    <row r="696" spans="1:18" hidden="1" x14ac:dyDescent="0.25">
      <c r="A696" t="s">
        <v>807</v>
      </c>
      <c r="B696" t="s">
        <v>46</v>
      </c>
      <c r="C696" t="s">
        <v>801</v>
      </c>
      <c r="D696" t="s">
        <v>33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388.2937</v>
      </c>
      <c r="R696">
        <v>0</v>
      </c>
    </row>
    <row r="697" spans="1:18" hidden="1" x14ac:dyDescent="0.25">
      <c r="A697" t="s">
        <v>808</v>
      </c>
      <c r="B697" t="s">
        <v>46</v>
      </c>
      <c r="C697" t="s">
        <v>801</v>
      </c>
      <c r="D697" t="s">
        <v>35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769.23500000000001</v>
      </c>
      <c r="R697">
        <v>0</v>
      </c>
    </row>
    <row r="698" spans="1:18" hidden="1" x14ac:dyDescent="0.25">
      <c r="A698" t="s">
        <v>809</v>
      </c>
      <c r="B698" t="s">
        <v>46</v>
      </c>
      <c r="C698" t="s">
        <v>810</v>
      </c>
      <c r="D698" t="s">
        <v>21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R698">
        <v>0</v>
      </c>
    </row>
    <row r="699" spans="1:18" hidden="1" x14ac:dyDescent="0.25">
      <c r="A699" t="s">
        <v>811</v>
      </c>
      <c r="B699" t="s">
        <v>46</v>
      </c>
      <c r="C699" t="s">
        <v>810</v>
      </c>
      <c r="D699" t="s">
        <v>23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424.03440000000001</v>
      </c>
      <c r="R699">
        <v>0</v>
      </c>
    </row>
    <row r="700" spans="1:18" hidden="1" x14ac:dyDescent="0.25">
      <c r="A700" t="s">
        <v>812</v>
      </c>
      <c r="B700" t="s">
        <v>46</v>
      </c>
      <c r="C700" t="s">
        <v>810</v>
      </c>
      <c r="D700" t="s">
        <v>25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490.0068</v>
      </c>
      <c r="R700">
        <v>0</v>
      </c>
    </row>
    <row r="701" spans="1:18" hidden="1" x14ac:dyDescent="0.25">
      <c r="A701" t="s">
        <v>813</v>
      </c>
      <c r="B701" t="s">
        <v>46</v>
      </c>
      <c r="C701" t="s">
        <v>810</v>
      </c>
      <c r="D701" t="s">
        <v>27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562.29179999999997</v>
      </c>
      <c r="R701">
        <v>0</v>
      </c>
    </row>
    <row r="702" spans="1:18" hidden="1" x14ac:dyDescent="0.25">
      <c r="A702" t="s">
        <v>814</v>
      </c>
      <c r="B702" t="s">
        <v>46</v>
      </c>
      <c r="C702" t="s">
        <v>810</v>
      </c>
      <c r="D702" t="s">
        <v>29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393.69869999999997</v>
      </c>
      <c r="R702">
        <v>0</v>
      </c>
    </row>
    <row r="703" spans="1:18" hidden="1" x14ac:dyDescent="0.25">
      <c r="A703" t="s">
        <v>815</v>
      </c>
      <c r="B703" t="s">
        <v>46</v>
      </c>
      <c r="C703" t="s">
        <v>810</v>
      </c>
      <c r="D703" t="s">
        <v>31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295.88170000000002</v>
      </c>
      <c r="R703">
        <v>0</v>
      </c>
    </row>
    <row r="704" spans="1:18" hidden="1" x14ac:dyDescent="0.25">
      <c r="A704" t="s">
        <v>816</v>
      </c>
      <c r="B704" t="s">
        <v>46</v>
      </c>
      <c r="C704" t="s">
        <v>810</v>
      </c>
      <c r="D704" t="s">
        <v>33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298.13889999999998</v>
      </c>
      <c r="R704">
        <v>0</v>
      </c>
    </row>
    <row r="705" spans="1:18" hidden="1" x14ac:dyDescent="0.25">
      <c r="A705" t="s">
        <v>817</v>
      </c>
      <c r="B705" t="s">
        <v>46</v>
      </c>
      <c r="C705" t="s">
        <v>810</v>
      </c>
      <c r="D705" t="s">
        <v>35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578.07889999999998</v>
      </c>
      <c r="R705">
        <v>0</v>
      </c>
    </row>
    <row r="706" spans="1:18" hidden="1" x14ac:dyDescent="0.25">
      <c r="A706" t="s">
        <v>818</v>
      </c>
      <c r="B706" t="s">
        <v>46</v>
      </c>
      <c r="C706" t="s">
        <v>819</v>
      </c>
      <c r="D706" t="s">
        <v>21</v>
      </c>
      <c r="E706">
        <v>164.83500000000001</v>
      </c>
      <c r="F706">
        <v>0</v>
      </c>
      <c r="G706">
        <v>0</v>
      </c>
      <c r="H706">
        <v>0</v>
      </c>
      <c r="I706">
        <v>0</v>
      </c>
      <c r="J706">
        <v>201</v>
      </c>
      <c r="K706">
        <v>0</v>
      </c>
      <c r="L706">
        <v>0</v>
      </c>
      <c r="M706">
        <v>0</v>
      </c>
      <c r="N706">
        <v>122.1</v>
      </c>
      <c r="O706">
        <v>0</v>
      </c>
      <c r="P706">
        <v>0</v>
      </c>
      <c r="R706">
        <v>0</v>
      </c>
    </row>
    <row r="707" spans="1:18" hidden="1" x14ac:dyDescent="0.25">
      <c r="A707" t="s">
        <v>820</v>
      </c>
      <c r="B707" t="s">
        <v>46</v>
      </c>
      <c r="C707" t="s">
        <v>819</v>
      </c>
      <c r="D707" t="s">
        <v>23</v>
      </c>
      <c r="E707">
        <v>250.30500000000001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248.0625</v>
      </c>
      <c r="L707">
        <v>0</v>
      </c>
      <c r="M707">
        <v>0</v>
      </c>
      <c r="N707">
        <v>195.36</v>
      </c>
      <c r="O707">
        <v>181.5</v>
      </c>
      <c r="P707">
        <v>178.0496</v>
      </c>
      <c r="R707">
        <v>0</v>
      </c>
    </row>
    <row r="708" spans="1:18" hidden="1" x14ac:dyDescent="0.25">
      <c r="A708" t="s">
        <v>821</v>
      </c>
      <c r="B708" t="s">
        <v>46</v>
      </c>
      <c r="C708" t="s">
        <v>819</v>
      </c>
      <c r="D708" t="s">
        <v>25</v>
      </c>
      <c r="E708">
        <v>262.51499999999999</v>
      </c>
      <c r="F708">
        <v>0</v>
      </c>
      <c r="G708">
        <v>0</v>
      </c>
      <c r="H708">
        <v>0</v>
      </c>
      <c r="I708">
        <v>0</v>
      </c>
      <c r="J708">
        <v>339.9</v>
      </c>
      <c r="K708">
        <v>266.17500000000001</v>
      </c>
      <c r="L708">
        <v>0</v>
      </c>
      <c r="M708">
        <v>0</v>
      </c>
      <c r="N708">
        <v>213.67500000000001</v>
      </c>
      <c r="O708">
        <v>217.8</v>
      </c>
      <c r="P708">
        <v>183.3792</v>
      </c>
      <c r="R708">
        <v>0</v>
      </c>
    </row>
    <row r="709" spans="1:18" hidden="1" x14ac:dyDescent="0.25">
      <c r="A709" t="s">
        <v>822</v>
      </c>
      <c r="B709" t="s">
        <v>46</v>
      </c>
      <c r="C709" t="s">
        <v>819</v>
      </c>
      <c r="D709" t="s">
        <v>27</v>
      </c>
      <c r="E709">
        <v>317.45999999999998</v>
      </c>
      <c r="F709">
        <v>0</v>
      </c>
      <c r="G709">
        <v>0</v>
      </c>
      <c r="H709">
        <v>0</v>
      </c>
      <c r="I709">
        <v>0</v>
      </c>
      <c r="J709">
        <v>340</v>
      </c>
      <c r="K709">
        <v>0</v>
      </c>
      <c r="L709">
        <v>0</v>
      </c>
      <c r="M709">
        <v>478.46370000000002</v>
      </c>
      <c r="N709">
        <v>293.04000000000002</v>
      </c>
      <c r="O709">
        <v>242</v>
      </c>
      <c r="P709">
        <v>245.74469999999999</v>
      </c>
      <c r="R709">
        <v>0</v>
      </c>
    </row>
    <row r="710" spans="1:18" hidden="1" x14ac:dyDescent="0.25">
      <c r="A710" t="s">
        <v>823</v>
      </c>
      <c r="B710" t="s">
        <v>46</v>
      </c>
      <c r="C710" t="s">
        <v>819</v>
      </c>
      <c r="D710" t="s">
        <v>29</v>
      </c>
      <c r="E710">
        <v>177.04499999999999</v>
      </c>
      <c r="F710">
        <v>0</v>
      </c>
      <c r="G710">
        <v>0</v>
      </c>
      <c r="H710">
        <v>0</v>
      </c>
      <c r="I710">
        <v>0</v>
      </c>
      <c r="J710">
        <v>201</v>
      </c>
      <c r="K710">
        <v>118.125</v>
      </c>
      <c r="L710">
        <v>0</v>
      </c>
      <c r="M710">
        <v>0</v>
      </c>
      <c r="N710">
        <v>134.31</v>
      </c>
      <c r="O710">
        <v>0</v>
      </c>
      <c r="P710">
        <v>125.7641</v>
      </c>
      <c r="R710">
        <v>0</v>
      </c>
    </row>
    <row r="711" spans="1:18" hidden="1" x14ac:dyDescent="0.25">
      <c r="A711" t="s">
        <v>824</v>
      </c>
      <c r="B711" t="s">
        <v>46</v>
      </c>
      <c r="C711" t="s">
        <v>819</v>
      </c>
      <c r="D711" t="s">
        <v>31</v>
      </c>
      <c r="E711">
        <v>201.465</v>
      </c>
      <c r="F711">
        <v>0</v>
      </c>
      <c r="G711">
        <v>0</v>
      </c>
      <c r="H711">
        <v>0</v>
      </c>
      <c r="I711">
        <v>0</v>
      </c>
      <c r="J711">
        <v>212</v>
      </c>
      <c r="K711">
        <v>141.75</v>
      </c>
      <c r="L711">
        <v>0</v>
      </c>
      <c r="M711">
        <v>0</v>
      </c>
      <c r="N711">
        <v>152.625</v>
      </c>
      <c r="O711">
        <v>121</v>
      </c>
      <c r="P711">
        <v>121.1801</v>
      </c>
      <c r="R711">
        <v>0</v>
      </c>
    </row>
    <row r="712" spans="1:18" hidden="1" x14ac:dyDescent="0.25">
      <c r="A712" t="s">
        <v>825</v>
      </c>
      <c r="B712" t="s">
        <v>46</v>
      </c>
      <c r="C712" t="s">
        <v>819</v>
      </c>
      <c r="D712" t="s">
        <v>33</v>
      </c>
      <c r="E712">
        <v>213.67500000000001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200.8125</v>
      </c>
      <c r="L712">
        <v>0</v>
      </c>
      <c r="M712">
        <v>0</v>
      </c>
      <c r="N712">
        <v>164.83500000000001</v>
      </c>
      <c r="O712">
        <v>121</v>
      </c>
      <c r="P712">
        <v>124.7563</v>
      </c>
      <c r="R712">
        <v>0</v>
      </c>
    </row>
    <row r="713" spans="1:18" hidden="1" x14ac:dyDescent="0.25">
      <c r="A713" t="s">
        <v>826</v>
      </c>
      <c r="B713" t="s">
        <v>46</v>
      </c>
      <c r="C713" t="s">
        <v>819</v>
      </c>
      <c r="D713" t="s">
        <v>35</v>
      </c>
      <c r="E713">
        <v>335.77499999999998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533.63969999999995</v>
      </c>
      <c r="N713">
        <v>311.35500000000002</v>
      </c>
      <c r="O713">
        <v>278.3</v>
      </c>
      <c r="P713">
        <v>273.35629999999998</v>
      </c>
      <c r="R713">
        <v>0</v>
      </c>
    </row>
    <row r="714" spans="1:18" hidden="1" x14ac:dyDescent="0.25">
      <c r="A714" t="s">
        <v>827</v>
      </c>
      <c r="B714" t="s">
        <v>46</v>
      </c>
      <c r="C714" t="s">
        <v>828</v>
      </c>
      <c r="D714" t="s">
        <v>21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R714">
        <v>0</v>
      </c>
    </row>
    <row r="715" spans="1:18" hidden="1" x14ac:dyDescent="0.25">
      <c r="A715" t="s">
        <v>829</v>
      </c>
      <c r="B715" t="s">
        <v>46</v>
      </c>
      <c r="C715" t="s">
        <v>828</v>
      </c>
      <c r="D715" t="s">
        <v>23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203.83629999999999</v>
      </c>
      <c r="R715">
        <v>0</v>
      </c>
    </row>
    <row r="716" spans="1:18" hidden="1" x14ac:dyDescent="0.25">
      <c r="A716" t="s">
        <v>830</v>
      </c>
      <c r="B716" t="s">
        <v>46</v>
      </c>
      <c r="C716" t="s">
        <v>828</v>
      </c>
      <c r="D716" t="s">
        <v>25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232.1678</v>
      </c>
      <c r="R716">
        <v>0</v>
      </c>
    </row>
    <row r="717" spans="1:18" hidden="1" x14ac:dyDescent="0.25">
      <c r="A717" t="s">
        <v>831</v>
      </c>
      <c r="B717" t="s">
        <v>46</v>
      </c>
      <c r="C717" t="s">
        <v>828</v>
      </c>
      <c r="D717" t="s">
        <v>27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349.55250000000001</v>
      </c>
      <c r="N717">
        <v>0</v>
      </c>
      <c r="O717">
        <v>0</v>
      </c>
      <c r="P717">
        <v>266.97890000000001</v>
      </c>
      <c r="R717">
        <v>0</v>
      </c>
    </row>
    <row r="718" spans="1:18" hidden="1" x14ac:dyDescent="0.25">
      <c r="A718" t="s">
        <v>832</v>
      </c>
      <c r="B718" t="s">
        <v>46</v>
      </c>
      <c r="C718" t="s">
        <v>828</v>
      </c>
      <c r="D718" t="s">
        <v>29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214.52180000000001</v>
      </c>
      <c r="R718">
        <v>0</v>
      </c>
    </row>
    <row r="719" spans="1:18" hidden="1" x14ac:dyDescent="0.25">
      <c r="A719" t="s">
        <v>833</v>
      </c>
      <c r="B719" t="s">
        <v>46</v>
      </c>
      <c r="C719" t="s">
        <v>828</v>
      </c>
      <c r="D719" t="s">
        <v>31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138.69990000000001</v>
      </c>
      <c r="R719">
        <v>0</v>
      </c>
    </row>
    <row r="720" spans="1:18" hidden="1" x14ac:dyDescent="0.25">
      <c r="A720" t="s">
        <v>834</v>
      </c>
      <c r="B720" t="s">
        <v>46</v>
      </c>
      <c r="C720" t="s">
        <v>828</v>
      </c>
      <c r="D720" t="s">
        <v>33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140.8066</v>
      </c>
      <c r="R720">
        <v>0</v>
      </c>
    </row>
    <row r="721" spans="1:18" hidden="1" x14ac:dyDescent="0.25">
      <c r="A721" t="s">
        <v>835</v>
      </c>
      <c r="B721" t="s">
        <v>46</v>
      </c>
      <c r="C721" t="s">
        <v>828</v>
      </c>
      <c r="D721" t="s">
        <v>35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355.82249999999999</v>
      </c>
      <c r="N721">
        <v>0</v>
      </c>
      <c r="O721">
        <v>0</v>
      </c>
      <c r="P721">
        <v>274.7636</v>
      </c>
      <c r="R721">
        <v>0</v>
      </c>
    </row>
    <row r="722" spans="1:18" hidden="1" x14ac:dyDescent="0.25">
      <c r="A722" t="s">
        <v>836</v>
      </c>
      <c r="B722" t="s">
        <v>46</v>
      </c>
      <c r="C722" t="s">
        <v>837</v>
      </c>
      <c r="D722" t="s">
        <v>21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R722">
        <v>0</v>
      </c>
    </row>
    <row r="723" spans="1:18" hidden="1" x14ac:dyDescent="0.25">
      <c r="A723" t="s">
        <v>838</v>
      </c>
      <c r="B723" t="s">
        <v>46</v>
      </c>
      <c r="C723" t="s">
        <v>837</v>
      </c>
      <c r="D723" t="s">
        <v>23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509.4896</v>
      </c>
      <c r="R723">
        <v>0</v>
      </c>
    </row>
    <row r="724" spans="1:18" hidden="1" x14ac:dyDescent="0.25">
      <c r="A724" t="s">
        <v>839</v>
      </c>
      <c r="B724" t="s">
        <v>46</v>
      </c>
      <c r="C724" t="s">
        <v>837</v>
      </c>
      <c r="D724" t="s">
        <v>25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591.00720000000001</v>
      </c>
      <c r="R724">
        <v>0</v>
      </c>
    </row>
    <row r="725" spans="1:18" hidden="1" x14ac:dyDescent="0.25">
      <c r="A725" t="s">
        <v>840</v>
      </c>
      <c r="B725" t="s">
        <v>46</v>
      </c>
      <c r="C725" t="s">
        <v>837</v>
      </c>
      <c r="D725" t="s">
        <v>27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683.75760000000002</v>
      </c>
      <c r="R725">
        <v>0</v>
      </c>
    </row>
    <row r="726" spans="1:18" hidden="1" x14ac:dyDescent="0.25">
      <c r="A726" t="s">
        <v>841</v>
      </c>
      <c r="B726" t="s">
        <v>46</v>
      </c>
      <c r="C726" t="s">
        <v>837</v>
      </c>
      <c r="D726" t="s">
        <v>29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383.97239999999999</v>
      </c>
      <c r="R726">
        <v>0</v>
      </c>
    </row>
    <row r="727" spans="1:18" hidden="1" x14ac:dyDescent="0.25">
      <c r="A727" t="s">
        <v>842</v>
      </c>
      <c r="B727" t="s">
        <v>46</v>
      </c>
      <c r="C727" t="s">
        <v>837</v>
      </c>
      <c r="D727" t="s">
        <v>31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352.15019999999998</v>
      </c>
      <c r="R727">
        <v>0</v>
      </c>
    </row>
    <row r="728" spans="1:18" hidden="1" x14ac:dyDescent="0.25">
      <c r="A728" t="s">
        <v>843</v>
      </c>
      <c r="B728" t="s">
        <v>46</v>
      </c>
      <c r="C728" t="s">
        <v>837</v>
      </c>
      <c r="D728" t="s">
        <v>33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356.72250000000003</v>
      </c>
      <c r="R728">
        <v>0</v>
      </c>
    </row>
    <row r="729" spans="1:18" hidden="1" x14ac:dyDescent="0.25">
      <c r="A729" t="s">
        <v>844</v>
      </c>
      <c r="B729" t="s">
        <v>46</v>
      </c>
      <c r="C729" t="s">
        <v>837</v>
      </c>
      <c r="D729" t="s">
        <v>35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702.9479</v>
      </c>
      <c r="R729">
        <v>0</v>
      </c>
    </row>
    <row r="730" spans="1:18" hidden="1" x14ac:dyDescent="0.25">
      <c r="A730" t="s">
        <v>845</v>
      </c>
      <c r="B730" t="s">
        <v>46</v>
      </c>
      <c r="C730" t="s">
        <v>846</v>
      </c>
      <c r="D730" t="s">
        <v>21</v>
      </c>
      <c r="E730">
        <v>298.452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R730">
        <v>0</v>
      </c>
    </row>
    <row r="731" spans="1:18" hidden="1" x14ac:dyDescent="0.25">
      <c r="A731" t="s">
        <v>847</v>
      </c>
      <c r="B731" t="s">
        <v>46</v>
      </c>
      <c r="C731" t="s">
        <v>846</v>
      </c>
      <c r="D731" t="s">
        <v>23</v>
      </c>
      <c r="E731">
        <v>477.774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502.52929999999998</v>
      </c>
      <c r="L731">
        <v>0</v>
      </c>
      <c r="M731">
        <v>0</v>
      </c>
      <c r="N731">
        <v>0</v>
      </c>
      <c r="O731">
        <v>293.45800000000003</v>
      </c>
      <c r="P731">
        <v>305.48630000000003</v>
      </c>
      <c r="R731">
        <v>0</v>
      </c>
    </row>
    <row r="732" spans="1:18" hidden="1" x14ac:dyDescent="0.25">
      <c r="A732" t="s">
        <v>848</v>
      </c>
      <c r="B732" t="s">
        <v>46</v>
      </c>
      <c r="C732" t="s">
        <v>846</v>
      </c>
      <c r="D732" t="s">
        <v>25</v>
      </c>
      <c r="E732">
        <v>514.04100000000005</v>
      </c>
      <c r="F732">
        <v>0</v>
      </c>
      <c r="G732">
        <v>0</v>
      </c>
      <c r="H732">
        <v>0</v>
      </c>
      <c r="I732">
        <v>0</v>
      </c>
      <c r="J732">
        <v>537.9</v>
      </c>
      <c r="K732">
        <v>571.53510000000006</v>
      </c>
      <c r="L732">
        <v>0</v>
      </c>
      <c r="M732">
        <v>0</v>
      </c>
      <c r="N732">
        <v>0</v>
      </c>
      <c r="O732">
        <v>342.375</v>
      </c>
      <c r="P732">
        <v>350.32249999999999</v>
      </c>
      <c r="R732">
        <v>0</v>
      </c>
    </row>
    <row r="733" spans="1:18" hidden="1" x14ac:dyDescent="0.25">
      <c r="A733" t="s">
        <v>849</v>
      </c>
      <c r="B733" t="s">
        <v>46</v>
      </c>
      <c r="C733" t="s">
        <v>846</v>
      </c>
      <c r="D733" t="s">
        <v>27</v>
      </c>
      <c r="E733">
        <v>578.09400000000005</v>
      </c>
      <c r="F733">
        <v>0</v>
      </c>
      <c r="G733">
        <v>0</v>
      </c>
      <c r="H733">
        <v>0</v>
      </c>
      <c r="I733">
        <v>0</v>
      </c>
      <c r="J733">
        <v>538</v>
      </c>
      <c r="K733">
        <v>0</v>
      </c>
      <c r="L733">
        <v>0</v>
      </c>
      <c r="M733">
        <v>565.59799999999996</v>
      </c>
      <c r="N733">
        <v>0</v>
      </c>
      <c r="O733">
        <v>391.28100000000001</v>
      </c>
      <c r="P733">
        <v>365.44439999999997</v>
      </c>
      <c r="R733">
        <v>0</v>
      </c>
    </row>
    <row r="734" spans="1:18" hidden="1" x14ac:dyDescent="0.25">
      <c r="A734" t="s">
        <v>850</v>
      </c>
      <c r="B734" t="s">
        <v>46</v>
      </c>
      <c r="C734" t="s">
        <v>846</v>
      </c>
      <c r="D734" t="s">
        <v>29</v>
      </c>
      <c r="E734">
        <v>321.024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304.46960000000001</v>
      </c>
      <c r="L734">
        <v>0</v>
      </c>
      <c r="M734">
        <v>0</v>
      </c>
      <c r="N734">
        <v>0</v>
      </c>
      <c r="O734">
        <v>0</v>
      </c>
      <c r="P734">
        <v>296.61799999999999</v>
      </c>
      <c r="R734">
        <v>0</v>
      </c>
    </row>
    <row r="735" spans="1:18" hidden="1" x14ac:dyDescent="0.25">
      <c r="A735" t="s">
        <v>851</v>
      </c>
      <c r="B735" t="s">
        <v>46</v>
      </c>
      <c r="C735" t="s">
        <v>846</v>
      </c>
      <c r="D735" t="s">
        <v>31</v>
      </c>
      <c r="E735">
        <v>331.05599999999998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383.00580000000002</v>
      </c>
      <c r="L735">
        <v>0</v>
      </c>
      <c r="M735">
        <v>0</v>
      </c>
      <c r="N735">
        <v>0</v>
      </c>
      <c r="O735">
        <v>195.64599999999999</v>
      </c>
      <c r="P735">
        <v>205.9188</v>
      </c>
      <c r="R735">
        <v>0</v>
      </c>
    </row>
    <row r="736" spans="1:18" hidden="1" x14ac:dyDescent="0.25">
      <c r="A736" t="s">
        <v>852</v>
      </c>
      <c r="B736" t="s">
        <v>46</v>
      </c>
      <c r="C736" t="s">
        <v>846</v>
      </c>
      <c r="D736" t="s">
        <v>33</v>
      </c>
      <c r="E736">
        <v>357.39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408.93549999999999</v>
      </c>
      <c r="L736">
        <v>0</v>
      </c>
      <c r="M736">
        <v>0</v>
      </c>
      <c r="N736">
        <v>0</v>
      </c>
      <c r="O736">
        <v>195.64599999999999</v>
      </c>
      <c r="P736">
        <v>212.47499999999999</v>
      </c>
      <c r="R736">
        <v>0</v>
      </c>
    </row>
    <row r="737" spans="1:18" hidden="1" x14ac:dyDescent="0.25">
      <c r="A737" t="s">
        <v>853</v>
      </c>
      <c r="B737" t="s">
        <v>46</v>
      </c>
      <c r="C737" t="s">
        <v>846</v>
      </c>
      <c r="D737" t="s">
        <v>35</v>
      </c>
      <c r="E737">
        <v>731.37900000000002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578.77599999999995</v>
      </c>
      <c r="N737">
        <v>0</v>
      </c>
      <c r="O737">
        <v>403.51299999999998</v>
      </c>
      <c r="P737">
        <v>366.89839999999998</v>
      </c>
      <c r="R737">
        <v>0</v>
      </c>
    </row>
    <row r="738" spans="1:18" hidden="1" x14ac:dyDescent="0.25">
      <c r="A738" t="s">
        <v>854</v>
      </c>
      <c r="B738" t="s">
        <v>46</v>
      </c>
      <c r="C738" t="s">
        <v>855</v>
      </c>
      <c r="D738" t="s">
        <v>21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231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R738">
        <v>0</v>
      </c>
    </row>
    <row r="739" spans="1:18" hidden="1" x14ac:dyDescent="0.25">
      <c r="A739" t="s">
        <v>856</v>
      </c>
      <c r="B739" t="s">
        <v>46</v>
      </c>
      <c r="C739" t="s">
        <v>855</v>
      </c>
      <c r="D739" t="s">
        <v>23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183.81790000000001</v>
      </c>
      <c r="R739">
        <v>0</v>
      </c>
    </row>
    <row r="740" spans="1:18" hidden="1" x14ac:dyDescent="0.25">
      <c r="A740" t="s">
        <v>857</v>
      </c>
      <c r="B740" t="s">
        <v>46</v>
      </c>
      <c r="C740" t="s">
        <v>855</v>
      </c>
      <c r="D740" t="s">
        <v>25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383.9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216.9288</v>
      </c>
      <c r="R740">
        <v>0</v>
      </c>
    </row>
    <row r="741" spans="1:18" hidden="1" x14ac:dyDescent="0.25">
      <c r="A741" t="s">
        <v>858</v>
      </c>
      <c r="B741" t="s">
        <v>46</v>
      </c>
      <c r="C741" t="s">
        <v>855</v>
      </c>
      <c r="D741" t="s">
        <v>27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384</v>
      </c>
      <c r="K741">
        <v>0</v>
      </c>
      <c r="L741">
        <v>0</v>
      </c>
      <c r="M741">
        <v>427.6454</v>
      </c>
      <c r="N741">
        <v>0</v>
      </c>
      <c r="O741">
        <v>0</v>
      </c>
      <c r="P741">
        <v>240.6514</v>
      </c>
      <c r="R741">
        <v>0</v>
      </c>
    </row>
    <row r="742" spans="1:18" hidden="1" x14ac:dyDescent="0.25">
      <c r="A742" t="s">
        <v>859</v>
      </c>
      <c r="B742" t="s">
        <v>46</v>
      </c>
      <c r="C742" t="s">
        <v>855</v>
      </c>
      <c r="D742" t="s">
        <v>29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231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139.0874</v>
      </c>
      <c r="R742">
        <v>0</v>
      </c>
    </row>
    <row r="743" spans="1:18" hidden="1" x14ac:dyDescent="0.25">
      <c r="A743" t="s">
        <v>860</v>
      </c>
      <c r="B743" t="s">
        <v>46</v>
      </c>
      <c r="C743" t="s">
        <v>855</v>
      </c>
      <c r="D743" t="s">
        <v>31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242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122.98220000000001</v>
      </c>
      <c r="R743">
        <v>0</v>
      </c>
    </row>
    <row r="744" spans="1:18" hidden="1" x14ac:dyDescent="0.25">
      <c r="A744" t="s">
        <v>861</v>
      </c>
      <c r="B744" t="s">
        <v>46</v>
      </c>
      <c r="C744" t="s">
        <v>855</v>
      </c>
      <c r="D744" t="s">
        <v>33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124.6751</v>
      </c>
      <c r="R744">
        <v>0</v>
      </c>
    </row>
    <row r="745" spans="1:18" hidden="1" x14ac:dyDescent="0.25">
      <c r="A745" t="s">
        <v>862</v>
      </c>
      <c r="B745" t="s">
        <v>46</v>
      </c>
      <c r="C745" t="s">
        <v>855</v>
      </c>
      <c r="D745" t="s">
        <v>35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461.5034</v>
      </c>
      <c r="N745">
        <v>0</v>
      </c>
      <c r="O745">
        <v>0</v>
      </c>
      <c r="P745">
        <v>283.46429999999998</v>
      </c>
      <c r="R745">
        <v>0</v>
      </c>
    </row>
    <row r="746" spans="1:18" hidden="1" x14ac:dyDescent="0.25">
      <c r="A746" t="s">
        <v>863</v>
      </c>
      <c r="B746" t="s">
        <v>46</v>
      </c>
      <c r="C746" t="s">
        <v>864</v>
      </c>
      <c r="D746" t="s">
        <v>21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263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R746">
        <v>0</v>
      </c>
    </row>
    <row r="747" spans="1:18" hidden="1" x14ac:dyDescent="0.25">
      <c r="A747" t="s">
        <v>865</v>
      </c>
      <c r="B747" t="s">
        <v>46</v>
      </c>
      <c r="C747" t="s">
        <v>864</v>
      </c>
      <c r="D747" t="s">
        <v>23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192.39529999999999</v>
      </c>
      <c r="R747">
        <v>0</v>
      </c>
    </row>
    <row r="748" spans="1:18" hidden="1" x14ac:dyDescent="0.25">
      <c r="A748" t="s">
        <v>866</v>
      </c>
      <c r="B748" t="s">
        <v>46</v>
      </c>
      <c r="C748" t="s">
        <v>864</v>
      </c>
      <c r="D748" t="s">
        <v>25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537.9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224.82900000000001</v>
      </c>
      <c r="R748">
        <v>0</v>
      </c>
    </row>
    <row r="749" spans="1:18" hidden="1" x14ac:dyDescent="0.25">
      <c r="A749" t="s">
        <v>867</v>
      </c>
      <c r="B749" t="s">
        <v>46</v>
      </c>
      <c r="C749" t="s">
        <v>864</v>
      </c>
      <c r="D749" t="s">
        <v>27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538</v>
      </c>
      <c r="K749">
        <v>0</v>
      </c>
      <c r="L749">
        <v>0</v>
      </c>
      <c r="M749">
        <v>403.19240000000002</v>
      </c>
      <c r="N749">
        <v>0</v>
      </c>
      <c r="O749">
        <v>0</v>
      </c>
      <c r="P749">
        <v>251.03450000000001</v>
      </c>
      <c r="R749">
        <v>0</v>
      </c>
    </row>
    <row r="750" spans="1:18" hidden="1" x14ac:dyDescent="0.25">
      <c r="A750" t="s">
        <v>868</v>
      </c>
      <c r="B750" t="s">
        <v>46</v>
      </c>
      <c r="C750" t="s">
        <v>864</v>
      </c>
      <c r="D750" t="s">
        <v>29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263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172.34979999999999</v>
      </c>
      <c r="R750">
        <v>0</v>
      </c>
    </row>
    <row r="751" spans="1:18" hidden="1" x14ac:dyDescent="0.25">
      <c r="A751" t="s">
        <v>869</v>
      </c>
      <c r="B751" t="s">
        <v>46</v>
      </c>
      <c r="C751" t="s">
        <v>864</v>
      </c>
      <c r="D751" t="s">
        <v>31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274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127.8728</v>
      </c>
      <c r="R751">
        <v>0</v>
      </c>
    </row>
    <row r="752" spans="1:18" hidden="1" x14ac:dyDescent="0.25">
      <c r="A752" t="s">
        <v>870</v>
      </c>
      <c r="B752" t="s">
        <v>46</v>
      </c>
      <c r="C752" t="s">
        <v>864</v>
      </c>
      <c r="D752" t="s">
        <v>33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129.75380000000001</v>
      </c>
      <c r="R752">
        <v>0</v>
      </c>
    </row>
    <row r="753" spans="1:18" hidden="1" x14ac:dyDescent="0.25">
      <c r="A753" t="s">
        <v>871</v>
      </c>
      <c r="B753" t="s">
        <v>46</v>
      </c>
      <c r="C753" t="s">
        <v>864</v>
      </c>
      <c r="D753" t="s">
        <v>35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431.4074</v>
      </c>
      <c r="N753">
        <v>0</v>
      </c>
      <c r="O753">
        <v>0</v>
      </c>
      <c r="P753">
        <v>296.55599999999998</v>
      </c>
      <c r="R753">
        <v>0</v>
      </c>
    </row>
    <row r="754" spans="1:18" hidden="1" x14ac:dyDescent="0.25">
      <c r="A754" t="s">
        <v>872</v>
      </c>
      <c r="B754" t="s">
        <v>46</v>
      </c>
      <c r="C754" t="s">
        <v>873</v>
      </c>
      <c r="D754" t="s">
        <v>21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R754">
        <v>0</v>
      </c>
    </row>
    <row r="755" spans="1:18" hidden="1" x14ac:dyDescent="0.25">
      <c r="A755" t="s">
        <v>874</v>
      </c>
      <c r="B755" t="s">
        <v>46</v>
      </c>
      <c r="C755" t="s">
        <v>873</v>
      </c>
      <c r="D755" t="s">
        <v>23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815.34130000000005</v>
      </c>
      <c r="R755">
        <v>0</v>
      </c>
    </row>
    <row r="756" spans="1:18" hidden="1" x14ac:dyDescent="0.25">
      <c r="A756" t="s">
        <v>875</v>
      </c>
      <c r="B756" t="s">
        <v>46</v>
      </c>
      <c r="C756" t="s">
        <v>873</v>
      </c>
      <c r="D756" t="s">
        <v>25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889.21510000000001</v>
      </c>
      <c r="R756">
        <v>0</v>
      </c>
    </row>
    <row r="757" spans="1:18" hidden="1" x14ac:dyDescent="0.25">
      <c r="A757" t="s">
        <v>876</v>
      </c>
      <c r="B757" t="s">
        <v>46</v>
      </c>
      <c r="C757" t="s">
        <v>873</v>
      </c>
      <c r="D757" t="s">
        <v>27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984.90260000000001</v>
      </c>
      <c r="R757">
        <v>0</v>
      </c>
    </row>
    <row r="758" spans="1:18" hidden="1" x14ac:dyDescent="0.25">
      <c r="A758" t="s">
        <v>877</v>
      </c>
      <c r="B758" t="s">
        <v>46</v>
      </c>
      <c r="C758" t="s">
        <v>873</v>
      </c>
      <c r="D758" t="s">
        <v>29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588.39419999999996</v>
      </c>
      <c r="R758">
        <v>0</v>
      </c>
    </row>
    <row r="759" spans="1:18" hidden="1" x14ac:dyDescent="0.25">
      <c r="A759" t="s">
        <v>878</v>
      </c>
      <c r="B759" t="s">
        <v>46</v>
      </c>
      <c r="C759" t="s">
        <v>873</v>
      </c>
      <c r="D759" t="s">
        <v>31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662.37080000000003</v>
      </c>
      <c r="R759">
        <v>0</v>
      </c>
    </row>
    <row r="760" spans="1:18" hidden="1" x14ac:dyDescent="0.25">
      <c r="A760" t="s">
        <v>879</v>
      </c>
      <c r="B760" t="s">
        <v>46</v>
      </c>
      <c r="C760" t="s">
        <v>873</v>
      </c>
      <c r="D760" t="s">
        <v>33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664.47730000000001</v>
      </c>
      <c r="R760">
        <v>0</v>
      </c>
    </row>
    <row r="761" spans="1:18" hidden="1" x14ac:dyDescent="0.25">
      <c r="A761" t="s">
        <v>880</v>
      </c>
      <c r="B761" t="s">
        <v>46</v>
      </c>
      <c r="C761" t="s">
        <v>873</v>
      </c>
      <c r="D761" t="s">
        <v>35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988.61630000000002</v>
      </c>
      <c r="R761">
        <v>0</v>
      </c>
    </row>
    <row r="762" spans="1:18" hidden="1" x14ac:dyDescent="0.25">
      <c r="A762" t="s">
        <v>881</v>
      </c>
      <c r="B762" t="s">
        <v>46</v>
      </c>
      <c r="C762" t="s">
        <v>882</v>
      </c>
      <c r="D762" t="s">
        <v>21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R762">
        <v>0</v>
      </c>
    </row>
    <row r="763" spans="1:18" hidden="1" x14ac:dyDescent="0.25">
      <c r="A763" t="s">
        <v>883</v>
      </c>
      <c r="B763" t="s">
        <v>46</v>
      </c>
      <c r="C763" t="s">
        <v>882</v>
      </c>
      <c r="D763" t="s">
        <v>23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680.63699999999994</v>
      </c>
      <c r="R763">
        <v>0</v>
      </c>
    </row>
    <row r="764" spans="1:18" hidden="1" x14ac:dyDescent="0.25">
      <c r="A764" t="s">
        <v>884</v>
      </c>
      <c r="B764" t="s">
        <v>46</v>
      </c>
      <c r="C764" t="s">
        <v>882</v>
      </c>
      <c r="D764" t="s">
        <v>25</v>
      </c>
      <c r="E764">
        <v>0</v>
      </c>
      <c r="F764">
        <v>0</v>
      </c>
      <c r="G764">
        <v>857.73599999999999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740.43129999999996</v>
      </c>
      <c r="R764">
        <v>0</v>
      </c>
    </row>
    <row r="765" spans="1:18" hidden="1" x14ac:dyDescent="0.25">
      <c r="A765" t="s">
        <v>885</v>
      </c>
      <c r="B765" t="s">
        <v>46</v>
      </c>
      <c r="C765" t="s">
        <v>882</v>
      </c>
      <c r="D765" t="s">
        <v>27</v>
      </c>
      <c r="E765">
        <v>0</v>
      </c>
      <c r="F765">
        <v>0</v>
      </c>
      <c r="G765">
        <v>1168.7280000000001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889.09810000000004</v>
      </c>
      <c r="R765">
        <v>0</v>
      </c>
    </row>
    <row r="766" spans="1:18" hidden="1" x14ac:dyDescent="0.25">
      <c r="A766" t="s">
        <v>886</v>
      </c>
      <c r="B766" t="s">
        <v>46</v>
      </c>
      <c r="C766" t="s">
        <v>882</v>
      </c>
      <c r="D766" t="s">
        <v>29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515.82100000000003</v>
      </c>
      <c r="R766">
        <v>0</v>
      </c>
    </row>
    <row r="767" spans="1:18" hidden="1" x14ac:dyDescent="0.25">
      <c r="A767" t="s">
        <v>887</v>
      </c>
      <c r="B767" t="s">
        <v>46</v>
      </c>
      <c r="C767" t="s">
        <v>882</v>
      </c>
      <c r="D767" t="s">
        <v>31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466.8014</v>
      </c>
      <c r="R767">
        <v>0</v>
      </c>
    </row>
    <row r="768" spans="1:18" hidden="1" x14ac:dyDescent="0.25">
      <c r="A768" t="s">
        <v>888</v>
      </c>
      <c r="B768" t="s">
        <v>46</v>
      </c>
      <c r="C768" t="s">
        <v>882</v>
      </c>
      <c r="D768" t="s">
        <v>33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471.1497</v>
      </c>
      <c r="R768">
        <v>0</v>
      </c>
    </row>
    <row r="769" spans="1:18" hidden="1" x14ac:dyDescent="0.25">
      <c r="A769" t="s">
        <v>889</v>
      </c>
      <c r="B769" t="s">
        <v>46</v>
      </c>
      <c r="C769" t="s">
        <v>882</v>
      </c>
      <c r="D769" t="s">
        <v>35</v>
      </c>
      <c r="E769">
        <v>0</v>
      </c>
      <c r="F769">
        <v>0</v>
      </c>
      <c r="G769">
        <v>1241.46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891.62220000000002</v>
      </c>
      <c r="R769">
        <v>0</v>
      </c>
    </row>
    <row r="770" spans="1:18" hidden="1" x14ac:dyDescent="0.25">
      <c r="A770" t="s">
        <v>890</v>
      </c>
      <c r="B770" t="s">
        <v>46</v>
      </c>
      <c r="C770" t="s">
        <v>891</v>
      </c>
      <c r="D770" t="s">
        <v>21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R770">
        <v>0</v>
      </c>
    </row>
    <row r="771" spans="1:18" hidden="1" x14ac:dyDescent="0.25">
      <c r="A771" t="s">
        <v>892</v>
      </c>
      <c r="B771" t="s">
        <v>46</v>
      </c>
      <c r="C771" t="s">
        <v>891</v>
      </c>
      <c r="D771" t="s">
        <v>23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230.3886</v>
      </c>
      <c r="R771">
        <v>0</v>
      </c>
    </row>
    <row r="772" spans="1:18" hidden="1" x14ac:dyDescent="0.25">
      <c r="A772" t="s">
        <v>893</v>
      </c>
      <c r="B772" t="s">
        <v>46</v>
      </c>
      <c r="C772" t="s">
        <v>891</v>
      </c>
      <c r="D772" t="s">
        <v>25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261.8415</v>
      </c>
      <c r="R772">
        <v>0</v>
      </c>
    </row>
    <row r="773" spans="1:18" hidden="1" x14ac:dyDescent="0.25">
      <c r="A773" t="s">
        <v>894</v>
      </c>
      <c r="B773" t="s">
        <v>46</v>
      </c>
      <c r="C773" t="s">
        <v>891</v>
      </c>
      <c r="D773" t="s">
        <v>27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306.0052</v>
      </c>
      <c r="R773">
        <v>0</v>
      </c>
    </row>
    <row r="774" spans="1:18" hidden="1" x14ac:dyDescent="0.25">
      <c r="A774" t="s">
        <v>895</v>
      </c>
      <c r="B774" t="s">
        <v>46</v>
      </c>
      <c r="C774" t="s">
        <v>891</v>
      </c>
      <c r="D774" t="s">
        <v>29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242.39490000000001</v>
      </c>
      <c r="R774">
        <v>0</v>
      </c>
    </row>
    <row r="775" spans="1:18" hidden="1" x14ac:dyDescent="0.25">
      <c r="A775" t="s">
        <v>896</v>
      </c>
      <c r="B775" t="s">
        <v>46</v>
      </c>
      <c r="C775" t="s">
        <v>891</v>
      </c>
      <c r="D775" t="s">
        <v>31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158.45359999999999</v>
      </c>
      <c r="R775">
        <v>0</v>
      </c>
    </row>
    <row r="776" spans="1:18" hidden="1" x14ac:dyDescent="0.25">
      <c r="A776" t="s">
        <v>897</v>
      </c>
      <c r="B776" t="s">
        <v>46</v>
      </c>
      <c r="C776" t="s">
        <v>891</v>
      </c>
      <c r="D776" t="s">
        <v>33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161.26689999999999</v>
      </c>
      <c r="R776">
        <v>0</v>
      </c>
    </row>
    <row r="777" spans="1:18" hidden="1" x14ac:dyDescent="0.25">
      <c r="A777" t="s">
        <v>898</v>
      </c>
      <c r="B777" t="s">
        <v>46</v>
      </c>
      <c r="C777" t="s">
        <v>891</v>
      </c>
      <c r="D777" t="s">
        <v>35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317.20510000000002</v>
      </c>
      <c r="R777">
        <v>0</v>
      </c>
    </row>
    <row r="778" spans="1:18" hidden="1" x14ac:dyDescent="0.25">
      <c r="A778" t="s">
        <v>899</v>
      </c>
      <c r="B778" t="s">
        <v>46</v>
      </c>
      <c r="C778" t="s">
        <v>900</v>
      </c>
      <c r="D778" t="s">
        <v>21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R778">
        <v>0</v>
      </c>
    </row>
    <row r="779" spans="1:18" hidden="1" x14ac:dyDescent="0.25">
      <c r="A779" t="s">
        <v>901</v>
      </c>
      <c r="B779" t="s">
        <v>46</v>
      </c>
      <c r="C779" t="s">
        <v>900</v>
      </c>
      <c r="D779" t="s">
        <v>23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325.8252</v>
      </c>
      <c r="R779">
        <v>0</v>
      </c>
    </row>
    <row r="780" spans="1:18" hidden="1" x14ac:dyDescent="0.25">
      <c r="A780" t="s">
        <v>902</v>
      </c>
      <c r="B780" t="s">
        <v>46</v>
      </c>
      <c r="C780" t="s">
        <v>900</v>
      </c>
      <c r="D780" t="s">
        <v>25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373.64249999999998</v>
      </c>
      <c r="R780">
        <v>0</v>
      </c>
    </row>
    <row r="781" spans="1:18" hidden="1" x14ac:dyDescent="0.25">
      <c r="A781" t="s">
        <v>903</v>
      </c>
      <c r="B781" t="s">
        <v>46</v>
      </c>
      <c r="C781" t="s">
        <v>900</v>
      </c>
      <c r="D781" t="s">
        <v>27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434.03559999999999</v>
      </c>
      <c r="R781">
        <v>0</v>
      </c>
    </row>
    <row r="782" spans="1:18" hidden="1" x14ac:dyDescent="0.25">
      <c r="A782" t="s">
        <v>904</v>
      </c>
      <c r="B782" t="s">
        <v>46</v>
      </c>
      <c r="C782" t="s">
        <v>900</v>
      </c>
      <c r="D782" t="s">
        <v>29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297.63369999999998</v>
      </c>
      <c r="R782">
        <v>0</v>
      </c>
    </row>
    <row r="783" spans="1:18" hidden="1" x14ac:dyDescent="0.25">
      <c r="A783" t="s">
        <v>905</v>
      </c>
      <c r="B783" t="s">
        <v>46</v>
      </c>
      <c r="C783" t="s">
        <v>900</v>
      </c>
      <c r="D783" t="s">
        <v>31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220.33340000000001</v>
      </c>
      <c r="R783">
        <v>0</v>
      </c>
    </row>
    <row r="784" spans="1:18" hidden="1" x14ac:dyDescent="0.25">
      <c r="A784" t="s">
        <v>906</v>
      </c>
      <c r="B784" t="s">
        <v>46</v>
      </c>
      <c r="C784" t="s">
        <v>900</v>
      </c>
      <c r="D784" t="s">
        <v>33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226.8897</v>
      </c>
      <c r="R784">
        <v>0</v>
      </c>
    </row>
    <row r="785" spans="1:18" hidden="1" x14ac:dyDescent="0.25">
      <c r="A785" t="s">
        <v>907</v>
      </c>
      <c r="B785" t="s">
        <v>46</v>
      </c>
      <c r="C785" t="s">
        <v>900</v>
      </c>
      <c r="D785" t="s">
        <v>35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445.99310000000003</v>
      </c>
      <c r="R785">
        <v>0</v>
      </c>
    </row>
    <row r="786" spans="1:18" hidden="1" x14ac:dyDescent="0.25">
      <c r="A786" t="s">
        <v>908</v>
      </c>
      <c r="B786" t="s">
        <v>46</v>
      </c>
      <c r="C786" t="s">
        <v>909</v>
      </c>
      <c r="D786" t="s">
        <v>21</v>
      </c>
      <c r="E786">
        <v>329.67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R786">
        <v>0</v>
      </c>
    </row>
    <row r="787" spans="1:18" hidden="1" x14ac:dyDescent="0.25">
      <c r="A787" t="s">
        <v>910</v>
      </c>
      <c r="B787" t="s">
        <v>46</v>
      </c>
      <c r="C787" t="s">
        <v>909</v>
      </c>
      <c r="D787" t="s">
        <v>23</v>
      </c>
      <c r="E787">
        <v>527.47199999999998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487.91629999999998</v>
      </c>
      <c r="L787">
        <v>0</v>
      </c>
      <c r="M787">
        <v>0</v>
      </c>
      <c r="N787">
        <v>0</v>
      </c>
      <c r="O787">
        <v>332.233</v>
      </c>
      <c r="P787">
        <v>342.47219999999999</v>
      </c>
      <c r="R787">
        <v>0</v>
      </c>
    </row>
    <row r="788" spans="1:18" hidden="1" x14ac:dyDescent="0.25">
      <c r="A788" t="s">
        <v>911</v>
      </c>
      <c r="B788" t="s">
        <v>46</v>
      </c>
      <c r="C788" t="s">
        <v>909</v>
      </c>
      <c r="D788" t="s">
        <v>25</v>
      </c>
      <c r="E788">
        <v>582.41700000000003</v>
      </c>
      <c r="F788">
        <v>0</v>
      </c>
      <c r="G788">
        <v>0</v>
      </c>
      <c r="H788">
        <v>0</v>
      </c>
      <c r="I788">
        <v>0</v>
      </c>
      <c r="J788">
        <v>605</v>
      </c>
      <c r="K788">
        <v>553.99950000000001</v>
      </c>
      <c r="L788">
        <v>0</v>
      </c>
      <c r="M788">
        <v>0</v>
      </c>
      <c r="N788">
        <v>0</v>
      </c>
      <c r="O788">
        <v>387.60700000000003</v>
      </c>
      <c r="P788">
        <v>389.7704</v>
      </c>
      <c r="R788">
        <v>0</v>
      </c>
    </row>
    <row r="789" spans="1:18" hidden="1" x14ac:dyDescent="0.25">
      <c r="A789" t="s">
        <v>912</v>
      </c>
      <c r="B789" t="s">
        <v>46</v>
      </c>
      <c r="C789" t="s">
        <v>909</v>
      </c>
      <c r="D789" t="s">
        <v>27</v>
      </c>
      <c r="E789">
        <v>637.36199999999997</v>
      </c>
      <c r="F789">
        <v>0</v>
      </c>
      <c r="G789">
        <v>0</v>
      </c>
      <c r="H789">
        <v>0</v>
      </c>
      <c r="I789">
        <v>0</v>
      </c>
      <c r="J789">
        <v>605</v>
      </c>
      <c r="K789">
        <v>0</v>
      </c>
      <c r="L789">
        <v>0</v>
      </c>
      <c r="M789">
        <v>0</v>
      </c>
      <c r="N789">
        <v>0</v>
      </c>
      <c r="O789">
        <v>442.98099999999999</v>
      </c>
      <c r="P789">
        <v>327.4513</v>
      </c>
      <c r="R789">
        <v>0</v>
      </c>
    </row>
    <row r="790" spans="1:18" hidden="1" x14ac:dyDescent="0.25">
      <c r="A790" t="s">
        <v>913</v>
      </c>
      <c r="B790" t="s">
        <v>46</v>
      </c>
      <c r="C790" t="s">
        <v>909</v>
      </c>
      <c r="D790" t="s">
        <v>29</v>
      </c>
      <c r="E790">
        <v>352.86900000000003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304.46960000000001</v>
      </c>
      <c r="L790">
        <v>0</v>
      </c>
      <c r="M790">
        <v>0</v>
      </c>
      <c r="N790">
        <v>0</v>
      </c>
      <c r="O790">
        <v>0</v>
      </c>
      <c r="P790">
        <v>296.92860000000002</v>
      </c>
      <c r="R790">
        <v>0</v>
      </c>
    </row>
    <row r="791" spans="1:18" hidden="1" x14ac:dyDescent="0.25">
      <c r="A791" t="s">
        <v>914</v>
      </c>
      <c r="B791" t="s">
        <v>46</v>
      </c>
      <c r="C791" t="s">
        <v>909</v>
      </c>
      <c r="D791" t="s">
        <v>31</v>
      </c>
      <c r="E791">
        <v>374.94600000000003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383.00580000000002</v>
      </c>
      <c r="L791">
        <v>0</v>
      </c>
      <c r="M791">
        <v>0</v>
      </c>
      <c r="N791">
        <v>0</v>
      </c>
      <c r="O791">
        <v>221.49600000000001</v>
      </c>
      <c r="P791">
        <v>228.46029999999999</v>
      </c>
      <c r="R791">
        <v>0</v>
      </c>
    </row>
    <row r="792" spans="1:18" hidden="1" x14ac:dyDescent="0.25">
      <c r="A792" t="s">
        <v>915</v>
      </c>
      <c r="B792" t="s">
        <v>46</v>
      </c>
      <c r="C792" t="s">
        <v>909</v>
      </c>
      <c r="D792" t="s">
        <v>33</v>
      </c>
      <c r="E792">
        <v>403.78800000000001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408.93549999999999</v>
      </c>
      <c r="L792">
        <v>0</v>
      </c>
      <c r="M792">
        <v>0</v>
      </c>
      <c r="N792">
        <v>0</v>
      </c>
      <c r="O792">
        <v>221.49600000000001</v>
      </c>
      <c r="P792">
        <v>235.01669999999999</v>
      </c>
      <c r="R792">
        <v>0</v>
      </c>
    </row>
    <row r="793" spans="1:18" hidden="1" x14ac:dyDescent="0.25">
      <c r="A793" t="s">
        <v>916</v>
      </c>
      <c r="B793" t="s">
        <v>46</v>
      </c>
      <c r="C793" t="s">
        <v>909</v>
      </c>
      <c r="D793" t="s">
        <v>35</v>
      </c>
      <c r="E793">
        <v>827.83799999999997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456.83</v>
      </c>
      <c r="P793">
        <v>329.09730000000002</v>
      </c>
      <c r="R793">
        <v>0</v>
      </c>
    </row>
    <row r="794" spans="1:18" hidden="1" x14ac:dyDescent="0.25">
      <c r="A794" t="s">
        <v>917</v>
      </c>
      <c r="B794" t="s">
        <v>918</v>
      </c>
      <c r="C794" t="s">
        <v>37</v>
      </c>
      <c r="D794" t="s">
        <v>21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R794">
        <v>0</v>
      </c>
    </row>
    <row r="795" spans="1:18" hidden="1" x14ac:dyDescent="0.25">
      <c r="A795" t="s">
        <v>919</v>
      </c>
      <c r="B795" t="s">
        <v>918</v>
      </c>
      <c r="C795" t="s">
        <v>37</v>
      </c>
      <c r="D795" t="s">
        <v>23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R795">
        <v>0</v>
      </c>
    </row>
    <row r="796" spans="1:18" hidden="1" x14ac:dyDescent="0.25">
      <c r="A796" t="s">
        <v>920</v>
      </c>
      <c r="B796" t="s">
        <v>918</v>
      </c>
      <c r="C796" t="s">
        <v>37</v>
      </c>
      <c r="D796" t="s">
        <v>25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R796">
        <v>0</v>
      </c>
    </row>
    <row r="797" spans="1:18" hidden="1" x14ac:dyDescent="0.25">
      <c r="A797" t="s">
        <v>921</v>
      </c>
      <c r="B797" t="s">
        <v>918</v>
      </c>
      <c r="C797" t="s">
        <v>37</v>
      </c>
      <c r="D797" t="s">
        <v>27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R797">
        <v>0</v>
      </c>
    </row>
    <row r="798" spans="1:18" hidden="1" x14ac:dyDescent="0.25">
      <c r="A798" t="s">
        <v>922</v>
      </c>
      <c r="B798" t="s">
        <v>918</v>
      </c>
      <c r="C798" t="s">
        <v>37</v>
      </c>
      <c r="D798" t="s">
        <v>29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R798">
        <v>0</v>
      </c>
    </row>
    <row r="799" spans="1:18" hidden="1" x14ac:dyDescent="0.25">
      <c r="A799" t="s">
        <v>923</v>
      </c>
      <c r="B799" t="s">
        <v>918</v>
      </c>
      <c r="C799" t="s">
        <v>37</v>
      </c>
      <c r="D799" t="s">
        <v>31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R799">
        <v>0</v>
      </c>
    </row>
    <row r="800" spans="1:18" hidden="1" x14ac:dyDescent="0.25">
      <c r="A800" t="s">
        <v>924</v>
      </c>
      <c r="B800" t="s">
        <v>918</v>
      </c>
      <c r="C800" t="s">
        <v>37</v>
      </c>
      <c r="D800" t="s">
        <v>33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R800">
        <v>0</v>
      </c>
    </row>
    <row r="801" spans="1:18" hidden="1" x14ac:dyDescent="0.25">
      <c r="A801" t="s">
        <v>925</v>
      </c>
      <c r="B801" t="s">
        <v>918</v>
      </c>
      <c r="C801" t="s">
        <v>37</v>
      </c>
      <c r="D801" t="s">
        <v>35</v>
      </c>
      <c r="E801">
        <v>770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R801">
        <v>0</v>
      </c>
    </row>
    <row r="802" spans="1:18" hidden="1" x14ac:dyDescent="0.25">
      <c r="A802" t="s">
        <v>926</v>
      </c>
      <c r="B802" t="s">
        <v>918</v>
      </c>
      <c r="C802" t="s">
        <v>333</v>
      </c>
      <c r="D802" t="s">
        <v>21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R802">
        <v>0</v>
      </c>
    </row>
    <row r="803" spans="1:18" hidden="1" x14ac:dyDescent="0.25">
      <c r="A803" t="s">
        <v>927</v>
      </c>
      <c r="B803" t="s">
        <v>918</v>
      </c>
      <c r="C803" t="s">
        <v>333</v>
      </c>
      <c r="D803" t="s">
        <v>23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R803">
        <v>0</v>
      </c>
    </row>
    <row r="804" spans="1:18" hidden="1" x14ac:dyDescent="0.25">
      <c r="A804" t="s">
        <v>928</v>
      </c>
      <c r="B804" t="s">
        <v>918</v>
      </c>
      <c r="C804" t="s">
        <v>333</v>
      </c>
      <c r="D804" t="s">
        <v>25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R804">
        <v>0</v>
      </c>
    </row>
    <row r="805" spans="1:18" hidden="1" x14ac:dyDescent="0.25">
      <c r="A805" t="s">
        <v>929</v>
      </c>
      <c r="B805" t="s">
        <v>918</v>
      </c>
      <c r="C805" t="s">
        <v>333</v>
      </c>
      <c r="D805" t="s">
        <v>27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R805">
        <v>0</v>
      </c>
    </row>
    <row r="806" spans="1:18" hidden="1" x14ac:dyDescent="0.25">
      <c r="A806" t="s">
        <v>930</v>
      </c>
      <c r="B806" t="s">
        <v>918</v>
      </c>
      <c r="C806" t="s">
        <v>333</v>
      </c>
      <c r="D806" t="s">
        <v>29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R806">
        <v>0</v>
      </c>
    </row>
    <row r="807" spans="1:18" hidden="1" x14ac:dyDescent="0.25">
      <c r="A807" t="s">
        <v>931</v>
      </c>
      <c r="B807" t="s">
        <v>918</v>
      </c>
      <c r="C807" t="s">
        <v>333</v>
      </c>
      <c r="D807" t="s">
        <v>31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R807">
        <v>0</v>
      </c>
    </row>
    <row r="808" spans="1:18" hidden="1" x14ac:dyDescent="0.25">
      <c r="A808" t="s">
        <v>932</v>
      </c>
      <c r="B808" t="s">
        <v>918</v>
      </c>
      <c r="C808" t="s">
        <v>333</v>
      </c>
      <c r="D808" t="s">
        <v>33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R808">
        <v>0</v>
      </c>
    </row>
    <row r="809" spans="1:18" hidden="1" x14ac:dyDescent="0.25">
      <c r="A809" t="s">
        <v>933</v>
      </c>
      <c r="B809" t="s">
        <v>918</v>
      </c>
      <c r="C809" t="s">
        <v>333</v>
      </c>
      <c r="D809" t="s">
        <v>35</v>
      </c>
      <c r="E809">
        <v>913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R809">
        <v>0</v>
      </c>
    </row>
    <row r="810" spans="1:18" hidden="1" x14ac:dyDescent="0.25">
      <c r="A810" t="s">
        <v>934</v>
      </c>
      <c r="B810" t="s">
        <v>935</v>
      </c>
      <c r="C810" t="s">
        <v>639</v>
      </c>
      <c r="D810" t="s">
        <v>21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R810">
        <v>0</v>
      </c>
    </row>
    <row r="811" spans="1:18" hidden="1" x14ac:dyDescent="0.25">
      <c r="A811" t="s">
        <v>936</v>
      </c>
      <c r="B811" t="s">
        <v>935</v>
      </c>
      <c r="C811" t="s">
        <v>639</v>
      </c>
      <c r="D811" t="s">
        <v>23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R811">
        <v>0</v>
      </c>
    </row>
    <row r="812" spans="1:18" hidden="1" x14ac:dyDescent="0.25">
      <c r="A812" t="s">
        <v>937</v>
      </c>
      <c r="B812" t="s">
        <v>935</v>
      </c>
      <c r="C812" t="s">
        <v>639</v>
      </c>
      <c r="D812" t="s">
        <v>25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R812">
        <v>0</v>
      </c>
    </row>
    <row r="813" spans="1:18" hidden="1" x14ac:dyDescent="0.25">
      <c r="A813" t="s">
        <v>938</v>
      </c>
      <c r="B813" t="s">
        <v>935</v>
      </c>
      <c r="C813" t="s">
        <v>639</v>
      </c>
      <c r="D813" t="s">
        <v>27</v>
      </c>
      <c r="E813">
        <v>0</v>
      </c>
      <c r="F813">
        <v>0</v>
      </c>
      <c r="G813">
        <v>0</v>
      </c>
      <c r="H813">
        <v>630.74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R813">
        <v>0</v>
      </c>
    </row>
    <row r="814" spans="1:18" hidden="1" x14ac:dyDescent="0.25">
      <c r="A814" t="s">
        <v>939</v>
      </c>
      <c r="B814" t="s">
        <v>935</v>
      </c>
      <c r="C814" t="s">
        <v>639</v>
      </c>
      <c r="D814" t="s">
        <v>29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R814">
        <v>0</v>
      </c>
    </row>
    <row r="815" spans="1:18" hidden="1" x14ac:dyDescent="0.25">
      <c r="A815" t="s">
        <v>940</v>
      </c>
      <c r="B815" t="s">
        <v>935</v>
      </c>
      <c r="C815" t="s">
        <v>639</v>
      </c>
      <c r="D815" t="s">
        <v>31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R815">
        <v>0</v>
      </c>
    </row>
    <row r="816" spans="1:18" hidden="1" x14ac:dyDescent="0.25">
      <c r="A816" t="s">
        <v>941</v>
      </c>
      <c r="B816" t="s">
        <v>935</v>
      </c>
      <c r="C816" t="s">
        <v>639</v>
      </c>
      <c r="D816" t="s">
        <v>33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R816">
        <v>0</v>
      </c>
    </row>
    <row r="817" spans="1:18" hidden="1" x14ac:dyDescent="0.25">
      <c r="A817" t="s">
        <v>942</v>
      </c>
      <c r="B817" t="s">
        <v>935</v>
      </c>
      <c r="C817" t="s">
        <v>639</v>
      </c>
      <c r="D817" t="s">
        <v>35</v>
      </c>
      <c r="E817">
        <v>0</v>
      </c>
      <c r="F817">
        <v>0</v>
      </c>
      <c r="G817">
        <v>0</v>
      </c>
      <c r="H817">
        <v>630.74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R817">
        <v>0</v>
      </c>
    </row>
    <row r="818" spans="1:18" hidden="1" x14ac:dyDescent="0.25">
      <c r="A818" t="s">
        <v>943</v>
      </c>
      <c r="B818" t="s">
        <v>37</v>
      </c>
      <c r="C818" t="s">
        <v>47</v>
      </c>
      <c r="D818" t="s">
        <v>21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R818">
        <v>0</v>
      </c>
    </row>
    <row r="819" spans="1:18" hidden="1" x14ac:dyDescent="0.25">
      <c r="A819" t="s">
        <v>944</v>
      </c>
      <c r="B819" t="s">
        <v>37</v>
      </c>
      <c r="C819" t="s">
        <v>47</v>
      </c>
      <c r="D819" t="s">
        <v>23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209.02330000000001</v>
      </c>
      <c r="R819">
        <v>209.02340000000001</v>
      </c>
    </row>
    <row r="820" spans="1:18" hidden="1" x14ac:dyDescent="0.25">
      <c r="A820" t="s">
        <v>945</v>
      </c>
      <c r="B820" t="s">
        <v>37</v>
      </c>
      <c r="C820" t="s">
        <v>47</v>
      </c>
      <c r="D820" t="s">
        <v>25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225.72</v>
      </c>
      <c r="R820">
        <v>225.72</v>
      </c>
    </row>
    <row r="821" spans="1:18" hidden="1" x14ac:dyDescent="0.25">
      <c r="A821" t="s">
        <v>946</v>
      </c>
      <c r="B821" t="s">
        <v>37</v>
      </c>
      <c r="C821" t="s">
        <v>47</v>
      </c>
      <c r="D821" t="s">
        <v>27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312.67239999999998</v>
      </c>
      <c r="R821">
        <v>312.67239999999998</v>
      </c>
    </row>
    <row r="822" spans="1:18" hidden="1" x14ac:dyDescent="0.25">
      <c r="A822" t="s">
        <v>947</v>
      </c>
      <c r="B822" t="s">
        <v>37</v>
      </c>
      <c r="C822" t="s">
        <v>47</v>
      </c>
      <c r="D822" t="s">
        <v>29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143.85890000000001</v>
      </c>
      <c r="R822">
        <v>143.85890000000001</v>
      </c>
    </row>
    <row r="823" spans="1:18" hidden="1" x14ac:dyDescent="0.25">
      <c r="A823" t="s">
        <v>948</v>
      </c>
      <c r="B823" t="s">
        <v>37</v>
      </c>
      <c r="C823" t="s">
        <v>47</v>
      </c>
      <c r="D823" t="s">
        <v>31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163.81</v>
      </c>
      <c r="R823">
        <v>163.81</v>
      </c>
    </row>
    <row r="824" spans="1:18" hidden="1" x14ac:dyDescent="0.25">
      <c r="A824" t="s">
        <v>949</v>
      </c>
      <c r="B824" t="s">
        <v>37</v>
      </c>
      <c r="C824" t="s">
        <v>47</v>
      </c>
      <c r="D824" t="s">
        <v>33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170.87</v>
      </c>
      <c r="R824">
        <v>170.87</v>
      </c>
    </row>
    <row r="825" spans="1:18" hidden="1" x14ac:dyDescent="0.25">
      <c r="A825" t="s">
        <v>950</v>
      </c>
      <c r="B825" t="s">
        <v>37</v>
      </c>
      <c r="C825" t="s">
        <v>47</v>
      </c>
      <c r="D825" t="s">
        <v>35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336.72410000000002</v>
      </c>
      <c r="R825">
        <v>336.72410000000002</v>
      </c>
    </row>
    <row r="826" spans="1:18" hidden="1" x14ac:dyDescent="0.25">
      <c r="A826" t="s">
        <v>951</v>
      </c>
      <c r="B826" t="s">
        <v>37</v>
      </c>
      <c r="C826" t="s">
        <v>56</v>
      </c>
      <c r="D826" t="s">
        <v>21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</row>
    <row r="827" spans="1:18" hidden="1" x14ac:dyDescent="0.25">
      <c r="A827" t="s">
        <v>952</v>
      </c>
      <c r="B827" t="s">
        <v>37</v>
      </c>
      <c r="C827" t="s">
        <v>56</v>
      </c>
      <c r="D827" t="s">
        <v>23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267.20229999999998</v>
      </c>
      <c r="Q827">
        <v>0</v>
      </c>
      <c r="R827">
        <v>267.20229999999998</v>
      </c>
    </row>
    <row r="828" spans="1:18" hidden="1" x14ac:dyDescent="0.25">
      <c r="A828" t="s">
        <v>953</v>
      </c>
      <c r="B828" t="s">
        <v>37</v>
      </c>
      <c r="C828" t="s">
        <v>56</v>
      </c>
      <c r="D828" t="s">
        <v>25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288.2088</v>
      </c>
      <c r="Q828">
        <v>0</v>
      </c>
      <c r="R828">
        <v>288.2088</v>
      </c>
    </row>
    <row r="829" spans="1:18" hidden="1" x14ac:dyDescent="0.25">
      <c r="A829" t="s">
        <v>954</v>
      </c>
      <c r="B829" t="s">
        <v>37</v>
      </c>
      <c r="C829" t="s">
        <v>56</v>
      </c>
      <c r="D829" t="s">
        <v>27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425.77949999999998</v>
      </c>
      <c r="Q829">
        <v>0</v>
      </c>
      <c r="R829">
        <v>425.77960000000002</v>
      </c>
    </row>
    <row r="830" spans="1:18" hidden="1" x14ac:dyDescent="0.25">
      <c r="A830" t="s">
        <v>955</v>
      </c>
      <c r="B830" t="s">
        <v>37</v>
      </c>
      <c r="C830" t="s">
        <v>56</v>
      </c>
      <c r="D830" t="s">
        <v>29</v>
      </c>
      <c r="E830">
        <v>0</v>
      </c>
      <c r="F830">
        <v>207.38300000000001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203.41130000000001</v>
      </c>
      <c r="Q830">
        <v>207.38300000000001</v>
      </c>
      <c r="R830">
        <v>203.41130000000001</v>
      </c>
    </row>
    <row r="831" spans="1:18" hidden="1" x14ac:dyDescent="0.25">
      <c r="A831" t="s">
        <v>956</v>
      </c>
      <c r="B831" t="s">
        <v>37</v>
      </c>
      <c r="C831" t="s">
        <v>56</v>
      </c>
      <c r="D831" t="s">
        <v>31</v>
      </c>
      <c r="E831">
        <v>0</v>
      </c>
      <c r="F831">
        <v>235.36699999999999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224.99010000000001</v>
      </c>
      <c r="Q831">
        <v>235.36699999999999</v>
      </c>
      <c r="R831">
        <v>224.99019999999999</v>
      </c>
    </row>
    <row r="832" spans="1:18" hidden="1" x14ac:dyDescent="0.25">
      <c r="A832" t="s">
        <v>957</v>
      </c>
      <c r="B832" t="s">
        <v>37</v>
      </c>
      <c r="C832" t="s">
        <v>56</v>
      </c>
      <c r="D832" t="s">
        <v>33</v>
      </c>
      <c r="E832">
        <v>0</v>
      </c>
      <c r="F832">
        <v>254.452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244.53</v>
      </c>
      <c r="Q832">
        <v>254.452</v>
      </c>
      <c r="R832">
        <v>244.53</v>
      </c>
    </row>
    <row r="833" spans="1:18" hidden="1" x14ac:dyDescent="0.25">
      <c r="A833" t="s">
        <v>958</v>
      </c>
      <c r="B833" t="s">
        <v>37</v>
      </c>
      <c r="C833" t="s">
        <v>56</v>
      </c>
      <c r="D833" t="s">
        <v>35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431.1968</v>
      </c>
      <c r="Q833">
        <v>0</v>
      </c>
      <c r="R833">
        <v>431.1968</v>
      </c>
    </row>
    <row r="834" spans="1:18" hidden="1" x14ac:dyDescent="0.25">
      <c r="A834" t="s">
        <v>959</v>
      </c>
      <c r="B834" t="s">
        <v>37</v>
      </c>
      <c r="C834" t="s">
        <v>46</v>
      </c>
      <c r="D834" t="s">
        <v>21</v>
      </c>
      <c r="E834">
        <v>220.11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217.04</v>
      </c>
      <c r="L834">
        <v>0</v>
      </c>
      <c r="M834">
        <v>0</v>
      </c>
      <c r="N834">
        <v>207.57</v>
      </c>
      <c r="O834">
        <v>210.298</v>
      </c>
      <c r="P834">
        <v>0</v>
      </c>
      <c r="R834">
        <v>0</v>
      </c>
    </row>
    <row r="835" spans="1:18" hidden="1" x14ac:dyDescent="0.25">
      <c r="A835" t="s">
        <v>960</v>
      </c>
      <c r="B835" t="s">
        <v>37</v>
      </c>
      <c r="C835" t="s">
        <v>46</v>
      </c>
      <c r="D835" t="s">
        <v>23</v>
      </c>
      <c r="E835">
        <v>355.46499999999997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377.39019999999999</v>
      </c>
      <c r="L835">
        <v>0</v>
      </c>
      <c r="M835">
        <v>0</v>
      </c>
      <c r="N835">
        <v>341.88</v>
      </c>
      <c r="O835">
        <v>336.74299999999999</v>
      </c>
      <c r="P835">
        <v>336.82060000000001</v>
      </c>
      <c r="R835">
        <v>336.82060000000001</v>
      </c>
    </row>
    <row r="836" spans="1:18" hidden="1" x14ac:dyDescent="0.25">
      <c r="A836" t="s">
        <v>961</v>
      </c>
      <c r="B836" t="s">
        <v>37</v>
      </c>
      <c r="C836" t="s">
        <v>46</v>
      </c>
      <c r="D836" t="s">
        <v>25</v>
      </c>
      <c r="E836">
        <v>435.13799999999998</v>
      </c>
      <c r="F836">
        <v>0</v>
      </c>
      <c r="G836">
        <v>0</v>
      </c>
      <c r="H836">
        <v>0</v>
      </c>
      <c r="I836">
        <v>0</v>
      </c>
      <c r="J836">
        <v>638</v>
      </c>
      <c r="K836">
        <v>421.3682</v>
      </c>
      <c r="L836">
        <v>0</v>
      </c>
      <c r="M836">
        <v>0</v>
      </c>
      <c r="N836">
        <v>378.51</v>
      </c>
      <c r="O836">
        <v>444.55399999999997</v>
      </c>
      <c r="P836">
        <v>371.1096</v>
      </c>
      <c r="R836">
        <v>397.298</v>
      </c>
    </row>
    <row r="837" spans="1:18" hidden="1" x14ac:dyDescent="0.25">
      <c r="A837" t="s">
        <v>962</v>
      </c>
      <c r="B837" t="s">
        <v>37</v>
      </c>
      <c r="C837" t="s">
        <v>46</v>
      </c>
      <c r="D837" t="s">
        <v>27</v>
      </c>
      <c r="E837">
        <v>689.86500000000001</v>
      </c>
      <c r="F837">
        <v>0</v>
      </c>
      <c r="G837">
        <v>0</v>
      </c>
      <c r="H837">
        <v>644.16</v>
      </c>
      <c r="I837">
        <v>579.97500000000002</v>
      </c>
      <c r="J837">
        <v>638</v>
      </c>
      <c r="K837">
        <v>0</v>
      </c>
      <c r="L837">
        <v>0</v>
      </c>
      <c r="M837">
        <v>585.30999999999995</v>
      </c>
      <c r="N837">
        <v>549.45000000000005</v>
      </c>
      <c r="O837">
        <v>553.69600000000003</v>
      </c>
      <c r="P837">
        <v>548.17740000000003</v>
      </c>
      <c r="R837">
        <v>548.17740000000003</v>
      </c>
    </row>
    <row r="838" spans="1:18" hidden="1" x14ac:dyDescent="0.25">
      <c r="A838" t="s">
        <v>963</v>
      </c>
      <c r="B838" t="s">
        <v>37</v>
      </c>
      <c r="C838" t="s">
        <v>46</v>
      </c>
      <c r="D838" t="s">
        <v>29</v>
      </c>
      <c r="E838">
        <v>209.99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229.80009999999999</v>
      </c>
      <c r="L838">
        <v>0</v>
      </c>
      <c r="M838">
        <v>0</v>
      </c>
      <c r="N838">
        <v>231.99</v>
      </c>
      <c r="O838">
        <v>246.23500000000001</v>
      </c>
      <c r="P838">
        <v>211.32409999999999</v>
      </c>
      <c r="R838">
        <v>211.32409999999999</v>
      </c>
    </row>
    <row r="839" spans="1:18" hidden="1" x14ac:dyDescent="0.25">
      <c r="A839" t="s">
        <v>964</v>
      </c>
      <c r="B839" t="s">
        <v>37</v>
      </c>
      <c r="C839" t="s">
        <v>46</v>
      </c>
      <c r="D839" t="s">
        <v>31</v>
      </c>
      <c r="E839">
        <v>275.77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289.21910000000003</v>
      </c>
      <c r="L839">
        <v>0</v>
      </c>
      <c r="M839">
        <v>0</v>
      </c>
      <c r="N839">
        <v>256.41000000000003</v>
      </c>
      <c r="O839">
        <v>284.834</v>
      </c>
      <c r="P839">
        <v>265.44670000000002</v>
      </c>
      <c r="R839">
        <v>265.44670000000002</v>
      </c>
    </row>
    <row r="840" spans="1:18" hidden="1" x14ac:dyDescent="0.25">
      <c r="A840" t="s">
        <v>965</v>
      </c>
      <c r="B840" t="s">
        <v>37</v>
      </c>
      <c r="C840" t="s">
        <v>46</v>
      </c>
      <c r="D840" t="s">
        <v>33</v>
      </c>
      <c r="E840">
        <v>299.80500000000001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308.73020000000002</v>
      </c>
      <c r="L840">
        <v>0</v>
      </c>
      <c r="M840">
        <v>0</v>
      </c>
      <c r="N840">
        <v>280.83</v>
      </c>
      <c r="O840">
        <v>307.46100000000001</v>
      </c>
      <c r="P840">
        <v>288.42</v>
      </c>
      <c r="R840">
        <v>288.42</v>
      </c>
    </row>
    <row r="841" spans="1:18" hidden="1" x14ac:dyDescent="0.25">
      <c r="A841" t="s">
        <v>966</v>
      </c>
      <c r="B841" t="s">
        <v>37</v>
      </c>
      <c r="C841" t="s">
        <v>46</v>
      </c>
      <c r="D841" t="s">
        <v>35</v>
      </c>
      <c r="E841">
        <v>764.346</v>
      </c>
      <c r="F841">
        <v>0</v>
      </c>
      <c r="G841">
        <v>585.30999999999995</v>
      </c>
      <c r="H841">
        <v>644.16</v>
      </c>
      <c r="I841">
        <v>579.97500000000002</v>
      </c>
      <c r="J841">
        <v>0</v>
      </c>
      <c r="K841">
        <v>0</v>
      </c>
      <c r="L841">
        <v>0</v>
      </c>
      <c r="M841">
        <v>585.30449999999996</v>
      </c>
      <c r="N841">
        <v>573.87</v>
      </c>
      <c r="O841">
        <v>721.40200000000004</v>
      </c>
      <c r="P841">
        <v>571.24580000000003</v>
      </c>
      <c r="R841">
        <v>624.822</v>
      </c>
    </row>
    <row r="842" spans="1:18" hidden="1" x14ac:dyDescent="0.25">
      <c r="A842" t="s">
        <v>967</v>
      </c>
      <c r="B842" t="s">
        <v>37</v>
      </c>
      <c r="C842" t="s">
        <v>73</v>
      </c>
      <c r="D842" t="s">
        <v>21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R842">
        <v>0</v>
      </c>
    </row>
    <row r="843" spans="1:18" hidden="1" x14ac:dyDescent="0.25">
      <c r="A843" t="s">
        <v>968</v>
      </c>
      <c r="B843" t="s">
        <v>37</v>
      </c>
      <c r="C843" t="s">
        <v>73</v>
      </c>
      <c r="D843" t="s">
        <v>23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637.88469999999995</v>
      </c>
      <c r="R843">
        <v>637.88469999999995</v>
      </c>
    </row>
    <row r="844" spans="1:18" hidden="1" x14ac:dyDescent="0.25">
      <c r="A844" t="s">
        <v>969</v>
      </c>
      <c r="B844" t="s">
        <v>37</v>
      </c>
      <c r="C844" t="s">
        <v>73</v>
      </c>
      <c r="D844" t="s">
        <v>25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659.85479999999995</v>
      </c>
      <c r="R844">
        <v>659.85479999999995</v>
      </c>
    </row>
    <row r="845" spans="1:18" hidden="1" x14ac:dyDescent="0.25">
      <c r="A845" t="s">
        <v>970</v>
      </c>
      <c r="B845" t="s">
        <v>37</v>
      </c>
      <c r="C845" t="s">
        <v>73</v>
      </c>
      <c r="D845" t="s">
        <v>27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871.58010000000002</v>
      </c>
      <c r="R845">
        <v>871.58010000000002</v>
      </c>
    </row>
    <row r="846" spans="1:18" hidden="1" x14ac:dyDescent="0.25">
      <c r="A846" t="s">
        <v>971</v>
      </c>
      <c r="B846" t="s">
        <v>37</v>
      </c>
      <c r="C846" t="s">
        <v>73</v>
      </c>
      <c r="D846" t="s">
        <v>29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456.98270000000002</v>
      </c>
      <c r="R846">
        <v>456.98270000000002</v>
      </c>
    </row>
    <row r="847" spans="1:18" hidden="1" x14ac:dyDescent="0.25">
      <c r="A847" t="s">
        <v>972</v>
      </c>
      <c r="B847" t="s">
        <v>37</v>
      </c>
      <c r="C847" t="s">
        <v>73</v>
      </c>
      <c r="D847" t="s">
        <v>31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529.96550000000002</v>
      </c>
      <c r="R847">
        <v>529.96550000000002</v>
      </c>
    </row>
    <row r="848" spans="1:18" hidden="1" x14ac:dyDescent="0.25">
      <c r="A848" t="s">
        <v>973</v>
      </c>
      <c r="B848" t="s">
        <v>37</v>
      </c>
      <c r="C848" t="s">
        <v>73</v>
      </c>
      <c r="D848" t="s">
        <v>33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548.78800000000001</v>
      </c>
      <c r="R848">
        <v>548.78800000000001</v>
      </c>
    </row>
    <row r="849" spans="1:18" hidden="1" x14ac:dyDescent="0.25">
      <c r="A849" t="s">
        <v>974</v>
      </c>
      <c r="B849" t="s">
        <v>37</v>
      </c>
      <c r="C849" t="s">
        <v>73</v>
      </c>
      <c r="D849" t="s">
        <v>35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889.91359999999997</v>
      </c>
      <c r="R849">
        <v>889.91359999999997</v>
      </c>
    </row>
    <row r="850" spans="1:18" hidden="1" x14ac:dyDescent="0.25">
      <c r="A850" t="s">
        <v>975</v>
      </c>
      <c r="B850" t="s">
        <v>37</v>
      </c>
      <c r="C850" t="s">
        <v>918</v>
      </c>
      <c r="D850" t="s">
        <v>21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R850">
        <v>0</v>
      </c>
    </row>
    <row r="851" spans="1:18" hidden="1" x14ac:dyDescent="0.25">
      <c r="A851" t="s">
        <v>976</v>
      </c>
      <c r="B851" t="s">
        <v>37</v>
      </c>
      <c r="C851" t="s">
        <v>918</v>
      </c>
      <c r="D851" t="s">
        <v>23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R851">
        <v>0</v>
      </c>
    </row>
    <row r="852" spans="1:18" hidden="1" x14ac:dyDescent="0.25">
      <c r="A852" t="s">
        <v>977</v>
      </c>
      <c r="B852" t="s">
        <v>37</v>
      </c>
      <c r="C852" t="s">
        <v>918</v>
      </c>
      <c r="D852" t="s">
        <v>25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R852">
        <v>0</v>
      </c>
    </row>
    <row r="853" spans="1:18" hidden="1" x14ac:dyDescent="0.25">
      <c r="A853" t="s">
        <v>978</v>
      </c>
      <c r="B853" t="s">
        <v>37</v>
      </c>
      <c r="C853" t="s">
        <v>918</v>
      </c>
      <c r="D853" t="s">
        <v>27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R853">
        <v>0</v>
      </c>
    </row>
    <row r="854" spans="1:18" hidden="1" x14ac:dyDescent="0.25">
      <c r="A854" t="s">
        <v>979</v>
      </c>
      <c r="B854" t="s">
        <v>37</v>
      </c>
      <c r="C854" t="s">
        <v>918</v>
      </c>
      <c r="D854" t="s">
        <v>29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R854">
        <v>0</v>
      </c>
    </row>
    <row r="855" spans="1:18" hidden="1" x14ac:dyDescent="0.25">
      <c r="A855" t="s">
        <v>980</v>
      </c>
      <c r="B855" t="s">
        <v>37</v>
      </c>
      <c r="C855" t="s">
        <v>918</v>
      </c>
      <c r="D855" t="s">
        <v>31</v>
      </c>
      <c r="E855">
        <v>412.5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R855">
        <v>0</v>
      </c>
    </row>
    <row r="856" spans="1:18" hidden="1" x14ac:dyDescent="0.25">
      <c r="A856" t="s">
        <v>981</v>
      </c>
      <c r="B856" t="s">
        <v>37</v>
      </c>
      <c r="C856" t="s">
        <v>918</v>
      </c>
      <c r="D856" t="s">
        <v>33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R856">
        <v>0</v>
      </c>
    </row>
    <row r="857" spans="1:18" hidden="1" x14ac:dyDescent="0.25">
      <c r="A857" t="s">
        <v>982</v>
      </c>
      <c r="B857" t="s">
        <v>37</v>
      </c>
      <c r="C857" t="s">
        <v>918</v>
      </c>
      <c r="D857" t="s">
        <v>35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R857">
        <v>0</v>
      </c>
    </row>
    <row r="858" spans="1:18" hidden="1" x14ac:dyDescent="0.25">
      <c r="A858" t="s">
        <v>983</v>
      </c>
      <c r="B858" t="s">
        <v>37</v>
      </c>
      <c r="C858" t="s">
        <v>82</v>
      </c>
      <c r="D858" t="s">
        <v>21</v>
      </c>
      <c r="E858">
        <v>159.20660000000001</v>
      </c>
      <c r="F858">
        <v>0</v>
      </c>
      <c r="G858">
        <v>219.70670000000001</v>
      </c>
      <c r="H858">
        <v>0</v>
      </c>
      <c r="I858">
        <v>0</v>
      </c>
      <c r="J858">
        <v>0</v>
      </c>
      <c r="K858">
        <v>146.7165</v>
      </c>
      <c r="L858">
        <v>0</v>
      </c>
      <c r="M858">
        <v>0</v>
      </c>
      <c r="N858">
        <v>153.703</v>
      </c>
      <c r="O858">
        <v>167.70599999999999</v>
      </c>
      <c r="P858">
        <v>0</v>
      </c>
      <c r="Q858">
        <v>0</v>
      </c>
      <c r="R858">
        <v>0</v>
      </c>
    </row>
    <row r="859" spans="1:18" hidden="1" x14ac:dyDescent="0.25">
      <c r="A859" t="s">
        <v>984</v>
      </c>
      <c r="B859" t="s">
        <v>37</v>
      </c>
      <c r="C859" t="s">
        <v>82</v>
      </c>
      <c r="D859" t="s">
        <v>23</v>
      </c>
      <c r="E859">
        <v>275.73340000000002</v>
      </c>
      <c r="F859">
        <v>0</v>
      </c>
      <c r="G859">
        <v>288.93329999999997</v>
      </c>
      <c r="H859">
        <v>0</v>
      </c>
      <c r="I859">
        <v>0</v>
      </c>
      <c r="J859">
        <v>0</v>
      </c>
      <c r="K859">
        <v>288.69749999999999</v>
      </c>
      <c r="L859">
        <v>0</v>
      </c>
      <c r="M859">
        <v>0</v>
      </c>
      <c r="N859">
        <v>301.83999999999997</v>
      </c>
      <c r="O859">
        <v>306.13</v>
      </c>
      <c r="P859">
        <v>284.98399999999998</v>
      </c>
      <c r="Q859">
        <v>0</v>
      </c>
      <c r="R859">
        <v>284.98399999999998</v>
      </c>
    </row>
    <row r="860" spans="1:18" hidden="1" x14ac:dyDescent="0.25">
      <c r="A860" t="s">
        <v>985</v>
      </c>
      <c r="B860" t="s">
        <v>37</v>
      </c>
      <c r="C860" t="s">
        <v>82</v>
      </c>
      <c r="D860" t="s">
        <v>25</v>
      </c>
      <c r="E860">
        <v>289.37700000000001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314.93700000000001</v>
      </c>
      <c r="L860">
        <v>0</v>
      </c>
      <c r="M860">
        <v>0</v>
      </c>
      <c r="N860">
        <v>317.45999999999998</v>
      </c>
      <c r="O860">
        <v>415.27199999999999</v>
      </c>
      <c r="P860">
        <v>297.34910000000002</v>
      </c>
      <c r="Q860">
        <v>0</v>
      </c>
      <c r="R860">
        <v>297.34910000000002</v>
      </c>
    </row>
    <row r="861" spans="1:18" hidden="1" x14ac:dyDescent="0.25">
      <c r="A861" t="s">
        <v>986</v>
      </c>
      <c r="B861" t="s">
        <v>37</v>
      </c>
      <c r="C861" t="s">
        <v>82</v>
      </c>
      <c r="D861" t="s">
        <v>27</v>
      </c>
      <c r="E861">
        <v>415.14</v>
      </c>
      <c r="F861">
        <v>0</v>
      </c>
      <c r="G861">
        <v>0</v>
      </c>
      <c r="H861">
        <v>0</v>
      </c>
      <c r="I861">
        <v>451.77</v>
      </c>
      <c r="J861">
        <v>0</v>
      </c>
      <c r="K861">
        <v>0</v>
      </c>
      <c r="L861">
        <v>0</v>
      </c>
      <c r="M861">
        <v>0</v>
      </c>
      <c r="N861">
        <v>427.35</v>
      </c>
      <c r="O861">
        <v>439.23</v>
      </c>
      <c r="P861">
        <v>418.13380000000001</v>
      </c>
      <c r="Q861">
        <v>0</v>
      </c>
      <c r="R861">
        <v>418.13380000000001</v>
      </c>
    </row>
    <row r="862" spans="1:18" hidden="1" x14ac:dyDescent="0.25">
      <c r="A862" t="s">
        <v>987</v>
      </c>
      <c r="B862" t="s">
        <v>37</v>
      </c>
      <c r="C862" t="s">
        <v>82</v>
      </c>
      <c r="D862" t="s">
        <v>29</v>
      </c>
      <c r="E862">
        <v>160.3066</v>
      </c>
      <c r="F862">
        <v>160.303</v>
      </c>
      <c r="G862">
        <v>226.30670000000001</v>
      </c>
      <c r="H862">
        <v>0</v>
      </c>
      <c r="I862">
        <v>0</v>
      </c>
      <c r="J862">
        <v>0</v>
      </c>
      <c r="K862">
        <v>154.5915</v>
      </c>
      <c r="L862">
        <v>0</v>
      </c>
      <c r="M862">
        <v>0</v>
      </c>
      <c r="N862">
        <v>160.303</v>
      </c>
      <c r="O862">
        <v>189.00200000000001</v>
      </c>
      <c r="P862">
        <v>158.00399999999999</v>
      </c>
      <c r="Q862">
        <v>160.303</v>
      </c>
      <c r="R862">
        <v>158.00399999999999</v>
      </c>
    </row>
    <row r="863" spans="1:18" hidden="1" x14ac:dyDescent="0.25">
      <c r="A863" t="s">
        <v>988</v>
      </c>
      <c r="B863" t="s">
        <v>37</v>
      </c>
      <c r="C863" t="s">
        <v>82</v>
      </c>
      <c r="D863" t="s">
        <v>31</v>
      </c>
      <c r="E863">
        <v>205.33340000000001</v>
      </c>
      <c r="F863">
        <v>207.38300000000001</v>
      </c>
      <c r="G863">
        <v>259.23329999999999</v>
      </c>
      <c r="H863">
        <v>0</v>
      </c>
      <c r="I863">
        <v>213.21299999999999</v>
      </c>
      <c r="J863">
        <v>0</v>
      </c>
      <c r="K863">
        <v>211.3545</v>
      </c>
      <c r="L863">
        <v>0</v>
      </c>
      <c r="M863">
        <v>0</v>
      </c>
      <c r="N863">
        <v>214.137</v>
      </c>
      <c r="O863">
        <v>230.26300000000001</v>
      </c>
      <c r="P863">
        <v>203.148</v>
      </c>
      <c r="Q863">
        <v>207.38300000000001</v>
      </c>
      <c r="R863">
        <v>203.148</v>
      </c>
    </row>
    <row r="864" spans="1:18" hidden="1" x14ac:dyDescent="0.25">
      <c r="A864" t="s">
        <v>989</v>
      </c>
      <c r="B864" t="s">
        <v>37</v>
      </c>
      <c r="C864" t="s">
        <v>82</v>
      </c>
      <c r="D864" t="s">
        <v>33</v>
      </c>
      <c r="E864">
        <v>224.0334</v>
      </c>
      <c r="F864">
        <v>236.643</v>
      </c>
      <c r="G864">
        <v>270.23329999999999</v>
      </c>
      <c r="H864">
        <v>0</v>
      </c>
      <c r="I864">
        <v>213.21299999999999</v>
      </c>
      <c r="J864">
        <v>0</v>
      </c>
      <c r="K864">
        <v>224.3115</v>
      </c>
      <c r="L864">
        <v>0</v>
      </c>
      <c r="M864">
        <v>0</v>
      </c>
      <c r="N864">
        <v>236.137</v>
      </c>
      <c r="O864">
        <v>263.53800000000001</v>
      </c>
      <c r="P864">
        <v>210.22059999999999</v>
      </c>
      <c r="Q864">
        <v>236.643</v>
      </c>
      <c r="R864">
        <v>210.22059999999999</v>
      </c>
    </row>
    <row r="865" spans="1:18" hidden="1" x14ac:dyDescent="0.25">
      <c r="A865" t="s">
        <v>990</v>
      </c>
      <c r="B865" t="s">
        <v>37</v>
      </c>
      <c r="C865" t="s">
        <v>82</v>
      </c>
      <c r="D865" t="s">
        <v>35</v>
      </c>
      <c r="E865">
        <v>456.654</v>
      </c>
      <c r="F865">
        <v>0</v>
      </c>
      <c r="G865">
        <v>0</v>
      </c>
      <c r="H865">
        <v>0</v>
      </c>
      <c r="I865">
        <v>451.77</v>
      </c>
      <c r="J865">
        <v>0</v>
      </c>
      <c r="K865">
        <v>0</v>
      </c>
      <c r="L865">
        <v>0</v>
      </c>
      <c r="M865">
        <v>0</v>
      </c>
      <c r="N865">
        <v>451.77</v>
      </c>
      <c r="O865">
        <v>479.16</v>
      </c>
      <c r="P865">
        <v>445.471</v>
      </c>
      <c r="Q865">
        <v>0</v>
      </c>
      <c r="R865">
        <v>445.471</v>
      </c>
    </row>
    <row r="866" spans="1:18" hidden="1" x14ac:dyDescent="0.25">
      <c r="A866" t="s">
        <v>991</v>
      </c>
      <c r="B866" t="s">
        <v>37</v>
      </c>
      <c r="C866" t="s">
        <v>91</v>
      </c>
      <c r="D866" t="s">
        <v>21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</row>
    <row r="867" spans="1:18" hidden="1" x14ac:dyDescent="0.25">
      <c r="A867" t="s">
        <v>992</v>
      </c>
      <c r="B867" t="s">
        <v>37</v>
      </c>
      <c r="C867" t="s">
        <v>91</v>
      </c>
      <c r="D867" t="s">
        <v>23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283.85539999999997</v>
      </c>
      <c r="Q867">
        <v>0</v>
      </c>
      <c r="R867">
        <v>283.85539999999997</v>
      </c>
    </row>
    <row r="868" spans="1:18" hidden="1" x14ac:dyDescent="0.25">
      <c r="A868" t="s">
        <v>993</v>
      </c>
      <c r="B868" t="s">
        <v>37</v>
      </c>
      <c r="C868" t="s">
        <v>91</v>
      </c>
      <c r="D868" t="s">
        <v>25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316.19279999999998</v>
      </c>
      <c r="Q868">
        <v>0</v>
      </c>
      <c r="R868">
        <v>316.19279999999998</v>
      </c>
    </row>
    <row r="869" spans="1:18" hidden="1" x14ac:dyDescent="0.25">
      <c r="A869" t="s">
        <v>994</v>
      </c>
      <c r="B869" t="s">
        <v>37</v>
      </c>
      <c r="C869" t="s">
        <v>91</v>
      </c>
      <c r="D869" t="s">
        <v>27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454.6936</v>
      </c>
      <c r="Q869">
        <v>0</v>
      </c>
      <c r="R869">
        <v>454.69349999999997</v>
      </c>
    </row>
    <row r="870" spans="1:18" hidden="1" x14ac:dyDescent="0.25">
      <c r="A870" t="s">
        <v>995</v>
      </c>
      <c r="B870" t="s">
        <v>37</v>
      </c>
      <c r="C870" t="s">
        <v>91</v>
      </c>
      <c r="D870" t="s">
        <v>29</v>
      </c>
      <c r="E870">
        <v>0</v>
      </c>
      <c r="F870">
        <v>198.13200000000001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195.16</v>
      </c>
      <c r="Q870">
        <v>198.13200000000001</v>
      </c>
      <c r="R870">
        <v>195.16</v>
      </c>
    </row>
    <row r="871" spans="1:18" hidden="1" x14ac:dyDescent="0.25">
      <c r="A871" t="s">
        <v>996</v>
      </c>
      <c r="B871" t="s">
        <v>37</v>
      </c>
      <c r="C871" t="s">
        <v>91</v>
      </c>
      <c r="D871" t="s">
        <v>31</v>
      </c>
      <c r="E871">
        <v>0</v>
      </c>
      <c r="F871">
        <v>225.72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227.22479999999999</v>
      </c>
      <c r="Q871">
        <v>225.72</v>
      </c>
      <c r="R871">
        <v>227.22479999999999</v>
      </c>
    </row>
    <row r="872" spans="1:18" hidden="1" x14ac:dyDescent="0.25">
      <c r="A872" t="s">
        <v>997</v>
      </c>
      <c r="B872" t="s">
        <v>37</v>
      </c>
      <c r="C872" t="s">
        <v>91</v>
      </c>
      <c r="D872" t="s">
        <v>33</v>
      </c>
      <c r="E872">
        <v>0</v>
      </c>
      <c r="F872">
        <v>238.26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241.2696</v>
      </c>
      <c r="Q872">
        <v>238.26</v>
      </c>
      <c r="R872">
        <v>241.2696</v>
      </c>
    </row>
    <row r="873" spans="1:18" hidden="1" x14ac:dyDescent="0.25">
      <c r="A873" t="s">
        <v>998</v>
      </c>
      <c r="B873" t="s">
        <v>37</v>
      </c>
      <c r="C873" t="s">
        <v>91</v>
      </c>
      <c r="D873" t="s">
        <v>35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480.80869999999999</v>
      </c>
      <c r="Q873">
        <v>0</v>
      </c>
      <c r="R873">
        <v>480.80869999999999</v>
      </c>
    </row>
    <row r="874" spans="1:18" hidden="1" x14ac:dyDescent="0.25">
      <c r="A874" t="s">
        <v>999</v>
      </c>
      <c r="B874" t="s">
        <v>37</v>
      </c>
      <c r="C874" t="s">
        <v>100</v>
      </c>
      <c r="D874" t="s">
        <v>21</v>
      </c>
      <c r="E874">
        <v>290.95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274.80599999999998</v>
      </c>
      <c r="L874">
        <v>0</v>
      </c>
      <c r="M874">
        <v>0</v>
      </c>
      <c r="N874">
        <v>280.83</v>
      </c>
      <c r="O874">
        <v>254.221</v>
      </c>
      <c r="P874">
        <v>0</v>
      </c>
      <c r="R874">
        <v>0</v>
      </c>
    </row>
    <row r="875" spans="1:18" hidden="1" x14ac:dyDescent="0.25">
      <c r="A875" t="s">
        <v>1000</v>
      </c>
      <c r="B875" t="s">
        <v>37</v>
      </c>
      <c r="C875" t="s">
        <v>100</v>
      </c>
      <c r="D875" t="s">
        <v>23</v>
      </c>
      <c r="E875">
        <v>576.84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549.61199999999997</v>
      </c>
      <c r="L875">
        <v>0</v>
      </c>
      <c r="M875">
        <v>0</v>
      </c>
      <c r="N875">
        <v>561.66</v>
      </c>
      <c r="O875">
        <v>441.892</v>
      </c>
      <c r="P875">
        <v>441.89659999999998</v>
      </c>
      <c r="R875">
        <v>441.89659999999998</v>
      </c>
    </row>
    <row r="876" spans="1:18" hidden="1" x14ac:dyDescent="0.25">
      <c r="A876" t="s">
        <v>1001</v>
      </c>
      <c r="B876" t="s">
        <v>37</v>
      </c>
      <c r="C876" t="s">
        <v>100</v>
      </c>
      <c r="D876" t="s">
        <v>25</v>
      </c>
      <c r="E876">
        <v>586.08000000000004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628.03440000000001</v>
      </c>
      <c r="L876">
        <v>0</v>
      </c>
      <c r="M876">
        <v>0</v>
      </c>
      <c r="N876">
        <v>586.08000000000004</v>
      </c>
      <c r="O876">
        <v>512.43499999999995</v>
      </c>
      <c r="P876">
        <v>508.16680000000002</v>
      </c>
      <c r="R876">
        <v>508.16669999999999</v>
      </c>
    </row>
    <row r="877" spans="1:18" hidden="1" x14ac:dyDescent="0.25">
      <c r="A877" t="s">
        <v>1002</v>
      </c>
      <c r="B877" t="s">
        <v>37</v>
      </c>
      <c r="C877" t="s">
        <v>100</v>
      </c>
      <c r="D877" t="s">
        <v>27</v>
      </c>
      <c r="E877">
        <v>658.35</v>
      </c>
      <c r="F877">
        <v>0</v>
      </c>
      <c r="G877">
        <v>0</v>
      </c>
      <c r="H877">
        <v>0</v>
      </c>
      <c r="I877">
        <v>671.55</v>
      </c>
      <c r="J877">
        <v>0</v>
      </c>
      <c r="K877">
        <v>0</v>
      </c>
      <c r="L877">
        <v>0</v>
      </c>
      <c r="M877">
        <v>0</v>
      </c>
      <c r="N877">
        <v>641.02499999999998</v>
      </c>
      <c r="O877">
        <v>601.61199999999997</v>
      </c>
      <c r="P877">
        <v>601.47140000000002</v>
      </c>
      <c r="R877">
        <v>601.47140000000002</v>
      </c>
    </row>
    <row r="878" spans="1:18" hidden="1" x14ac:dyDescent="0.25">
      <c r="A878" t="s">
        <v>1003</v>
      </c>
      <c r="B878" t="s">
        <v>37</v>
      </c>
      <c r="C878" t="s">
        <v>100</v>
      </c>
      <c r="D878" t="s">
        <v>29</v>
      </c>
      <c r="E878">
        <v>313.5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297.65140000000002</v>
      </c>
      <c r="L878">
        <v>0</v>
      </c>
      <c r="M878">
        <v>0</v>
      </c>
      <c r="N878">
        <v>305.25</v>
      </c>
      <c r="O878">
        <v>330.08800000000002</v>
      </c>
      <c r="P878">
        <v>301.16059999999999</v>
      </c>
      <c r="R878">
        <v>301.16059999999999</v>
      </c>
    </row>
    <row r="879" spans="1:18" hidden="1" x14ac:dyDescent="0.25">
      <c r="A879" t="s">
        <v>1004</v>
      </c>
      <c r="B879" t="s">
        <v>37</v>
      </c>
      <c r="C879" t="s">
        <v>100</v>
      </c>
      <c r="D879" t="s">
        <v>31</v>
      </c>
      <c r="E879">
        <v>489.06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464.59739999999999</v>
      </c>
      <c r="L879">
        <v>0</v>
      </c>
      <c r="M879">
        <v>0</v>
      </c>
      <c r="N879">
        <v>476.19</v>
      </c>
      <c r="O879">
        <v>380.666</v>
      </c>
      <c r="P879">
        <v>384.10449999999997</v>
      </c>
      <c r="R879">
        <v>384.1044</v>
      </c>
    </row>
    <row r="880" spans="1:18" hidden="1" x14ac:dyDescent="0.25">
      <c r="A880" t="s">
        <v>1005</v>
      </c>
      <c r="B880" t="s">
        <v>37</v>
      </c>
      <c r="C880" t="s">
        <v>100</v>
      </c>
      <c r="D880" t="s">
        <v>33</v>
      </c>
      <c r="E880">
        <v>494.505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487.76179999999999</v>
      </c>
      <c r="L880">
        <v>0</v>
      </c>
      <c r="M880">
        <v>0</v>
      </c>
      <c r="N880">
        <v>494.505</v>
      </c>
      <c r="O880">
        <v>412.33499999999998</v>
      </c>
      <c r="P880">
        <v>413.89550000000003</v>
      </c>
      <c r="R880">
        <v>413.8954</v>
      </c>
    </row>
    <row r="881" spans="1:18" hidden="1" x14ac:dyDescent="0.25">
      <c r="A881" t="s">
        <v>1006</v>
      </c>
      <c r="B881" t="s">
        <v>37</v>
      </c>
      <c r="C881" t="s">
        <v>100</v>
      </c>
      <c r="D881" t="s">
        <v>35</v>
      </c>
      <c r="E881">
        <v>689.7</v>
      </c>
      <c r="F881">
        <v>0</v>
      </c>
      <c r="G881">
        <v>0</v>
      </c>
      <c r="H881">
        <v>0</v>
      </c>
      <c r="I881">
        <v>671.55</v>
      </c>
      <c r="J881">
        <v>0</v>
      </c>
      <c r="K881">
        <v>0</v>
      </c>
      <c r="L881">
        <v>0</v>
      </c>
      <c r="M881">
        <v>0</v>
      </c>
      <c r="N881">
        <v>671.55</v>
      </c>
      <c r="O881">
        <v>724.06399999999996</v>
      </c>
      <c r="P881">
        <v>660.90819999999997</v>
      </c>
      <c r="R881">
        <v>660.90819999999997</v>
      </c>
    </row>
    <row r="882" spans="1:18" hidden="1" x14ac:dyDescent="0.25">
      <c r="A882" t="s">
        <v>1007</v>
      </c>
      <c r="B882" t="s">
        <v>37</v>
      </c>
      <c r="C882" t="s">
        <v>109</v>
      </c>
      <c r="D882" t="s">
        <v>21</v>
      </c>
      <c r="E882">
        <v>161.91999999999999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166.9342</v>
      </c>
      <c r="L882">
        <v>0</v>
      </c>
      <c r="M882">
        <v>0</v>
      </c>
      <c r="N882">
        <v>207.57</v>
      </c>
      <c r="O882">
        <v>179.685</v>
      </c>
      <c r="P882">
        <v>0</v>
      </c>
      <c r="R882">
        <v>0</v>
      </c>
    </row>
    <row r="883" spans="1:18" hidden="1" x14ac:dyDescent="0.25">
      <c r="A883" t="s">
        <v>1008</v>
      </c>
      <c r="B883" t="s">
        <v>37</v>
      </c>
      <c r="C883" t="s">
        <v>109</v>
      </c>
      <c r="D883" t="s">
        <v>23</v>
      </c>
      <c r="E883">
        <v>265.64999999999998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254.29949999999999</v>
      </c>
      <c r="L883">
        <v>0</v>
      </c>
      <c r="M883">
        <v>0</v>
      </c>
      <c r="N883">
        <v>268.62</v>
      </c>
      <c r="O883">
        <v>294.15100000000001</v>
      </c>
      <c r="P883">
        <v>253.05719999999999</v>
      </c>
      <c r="R883">
        <v>253.05719999999999</v>
      </c>
    </row>
    <row r="884" spans="1:18" hidden="1" x14ac:dyDescent="0.25">
      <c r="A884" t="s">
        <v>1009</v>
      </c>
      <c r="B884" t="s">
        <v>37</v>
      </c>
      <c r="C884" t="s">
        <v>109</v>
      </c>
      <c r="D884" t="s">
        <v>25</v>
      </c>
      <c r="E884">
        <v>285.91199999999998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273.65940000000001</v>
      </c>
      <c r="L884">
        <v>0</v>
      </c>
      <c r="M884">
        <v>0</v>
      </c>
      <c r="N884">
        <v>293.04000000000002</v>
      </c>
      <c r="O884">
        <v>387.32100000000003</v>
      </c>
      <c r="P884">
        <v>285.91199999999998</v>
      </c>
      <c r="R884">
        <v>285.91199999999998</v>
      </c>
    </row>
    <row r="885" spans="1:18" hidden="1" x14ac:dyDescent="0.25">
      <c r="A885" t="s">
        <v>1010</v>
      </c>
      <c r="B885" t="s">
        <v>37</v>
      </c>
      <c r="C885" t="s">
        <v>109</v>
      </c>
      <c r="D885" t="s">
        <v>27</v>
      </c>
      <c r="E885">
        <v>443.916</v>
      </c>
      <c r="F885">
        <v>0</v>
      </c>
      <c r="G885">
        <v>0</v>
      </c>
      <c r="H885">
        <v>0</v>
      </c>
      <c r="I885">
        <v>488.4</v>
      </c>
      <c r="J885">
        <v>0</v>
      </c>
      <c r="K885">
        <v>0</v>
      </c>
      <c r="L885">
        <v>0</v>
      </c>
      <c r="M885">
        <v>460.90769999999998</v>
      </c>
      <c r="N885">
        <v>525.03</v>
      </c>
      <c r="O885">
        <v>436.56799999999998</v>
      </c>
      <c r="P885">
        <v>434.97579999999999</v>
      </c>
      <c r="R885">
        <v>434.97570000000002</v>
      </c>
    </row>
    <row r="886" spans="1:18" hidden="1" x14ac:dyDescent="0.25">
      <c r="A886" t="s">
        <v>1011</v>
      </c>
      <c r="B886" t="s">
        <v>37</v>
      </c>
      <c r="C886" t="s">
        <v>109</v>
      </c>
      <c r="D886" t="s">
        <v>29</v>
      </c>
      <c r="E886">
        <v>193.11600000000001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193.67779999999999</v>
      </c>
      <c r="L886">
        <v>0</v>
      </c>
      <c r="M886">
        <v>0</v>
      </c>
      <c r="N886">
        <v>219.78</v>
      </c>
      <c r="O886">
        <v>220.946</v>
      </c>
      <c r="P886">
        <v>191.05940000000001</v>
      </c>
      <c r="R886">
        <v>191.05940000000001</v>
      </c>
    </row>
    <row r="887" spans="1:18" hidden="1" x14ac:dyDescent="0.25">
      <c r="A887" t="s">
        <v>1012</v>
      </c>
      <c r="B887" t="s">
        <v>37</v>
      </c>
      <c r="C887" t="s">
        <v>109</v>
      </c>
      <c r="D887" t="s">
        <v>31</v>
      </c>
      <c r="E887">
        <v>237.41659999999999</v>
      </c>
      <c r="F887">
        <v>0</v>
      </c>
      <c r="G887">
        <v>274.81670000000003</v>
      </c>
      <c r="H887">
        <v>0</v>
      </c>
      <c r="I887">
        <v>248.6</v>
      </c>
      <c r="J887">
        <v>0</v>
      </c>
      <c r="K887">
        <v>245.1225</v>
      </c>
      <c r="L887">
        <v>0</v>
      </c>
      <c r="M887">
        <v>0</v>
      </c>
      <c r="N887">
        <v>238.51300000000001</v>
      </c>
      <c r="O887">
        <v>251.559</v>
      </c>
      <c r="P887">
        <v>237.26929999999999</v>
      </c>
      <c r="R887">
        <v>237.26929999999999</v>
      </c>
    </row>
    <row r="888" spans="1:18" hidden="1" x14ac:dyDescent="0.25">
      <c r="A888" t="s">
        <v>1013</v>
      </c>
      <c r="B888" t="s">
        <v>37</v>
      </c>
      <c r="C888" t="s">
        <v>109</v>
      </c>
      <c r="D888" t="s">
        <v>33</v>
      </c>
      <c r="E888">
        <v>269.61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269.23050000000001</v>
      </c>
      <c r="L888">
        <v>0</v>
      </c>
      <c r="M888">
        <v>0</v>
      </c>
      <c r="N888">
        <v>250.30500000000001</v>
      </c>
      <c r="O888">
        <v>267.53100000000001</v>
      </c>
      <c r="P888">
        <v>247.1634</v>
      </c>
      <c r="R888">
        <v>247.1634</v>
      </c>
    </row>
    <row r="889" spans="1:18" hidden="1" x14ac:dyDescent="0.25">
      <c r="A889" t="s">
        <v>1014</v>
      </c>
      <c r="B889" t="s">
        <v>37</v>
      </c>
      <c r="C889" t="s">
        <v>109</v>
      </c>
      <c r="D889" t="s">
        <v>35</v>
      </c>
      <c r="E889">
        <v>499.38900000000001</v>
      </c>
      <c r="F889">
        <v>0</v>
      </c>
      <c r="G889">
        <v>0</v>
      </c>
      <c r="H889">
        <v>0</v>
      </c>
      <c r="I889">
        <v>488.4</v>
      </c>
      <c r="J889">
        <v>0</v>
      </c>
      <c r="K889">
        <v>0</v>
      </c>
      <c r="L889">
        <v>0</v>
      </c>
      <c r="M889">
        <v>495.39269999999999</v>
      </c>
      <c r="N889">
        <v>561.66</v>
      </c>
      <c r="O889">
        <v>523.08299999999997</v>
      </c>
      <c r="P889">
        <v>480.48329999999999</v>
      </c>
      <c r="R889">
        <v>480.48329999999999</v>
      </c>
    </row>
    <row r="890" spans="1:18" hidden="1" x14ac:dyDescent="0.25">
      <c r="A890" t="s">
        <v>1015</v>
      </c>
      <c r="B890" t="s">
        <v>37</v>
      </c>
      <c r="C890" t="s">
        <v>118</v>
      </c>
      <c r="D890" t="s">
        <v>21</v>
      </c>
      <c r="E890">
        <v>147.62</v>
      </c>
      <c r="F890">
        <v>0</v>
      </c>
      <c r="G890">
        <v>207.02</v>
      </c>
      <c r="H890">
        <v>0</v>
      </c>
      <c r="I890">
        <v>0</v>
      </c>
      <c r="J890">
        <v>0</v>
      </c>
      <c r="K890">
        <v>152.7851</v>
      </c>
      <c r="L890">
        <v>0</v>
      </c>
      <c r="M890">
        <v>0</v>
      </c>
      <c r="N890">
        <v>154.22</v>
      </c>
      <c r="O890">
        <v>161.05099999999999</v>
      </c>
      <c r="P890">
        <v>0</v>
      </c>
      <c r="Q890">
        <v>0</v>
      </c>
      <c r="R890">
        <v>0</v>
      </c>
    </row>
    <row r="891" spans="1:18" hidden="1" x14ac:dyDescent="0.25">
      <c r="A891" t="s">
        <v>1016</v>
      </c>
      <c r="B891" t="s">
        <v>37</v>
      </c>
      <c r="C891" t="s">
        <v>118</v>
      </c>
      <c r="D891" t="s">
        <v>23</v>
      </c>
      <c r="E891">
        <v>218.9</v>
      </c>
      <c r="F891">
        <v>0</v>
      </c>
      <c r="G891">
        <v>248.6</v>
      </c>
      <c r="H891">
        <v>0</v>
      </c>
      <c r="I891">
        <v>0</v>
      </c>
      <c r="J891">
        <v>0</v>
      </c>
      <c r="K891">
        <v>245.72020000000001</v>
      </c>
      <c r="L891">
        <v>0</v>
      </c>
      <c r="M891">
        <v>0</v>
      </c>
      <c r="N891">
        <v>219.78</v>
      </c>
      <c r="O891">
        <v>248.05</v>
      </c>
      <c r="P891">
        <v>203.09780000000001</v>
      </c>
      <c r="Q891">
        <v>0</v>
      </c>
      <c r="R891">
        <v>208.97800000000001</v>
      </c>
    </row>
    <row r="892" spans="1:18" hidden="1" x14ac:dyDescent="0.25">
      <c r="A892" t="s">
        <v>1017</v>
      </c>
      <c r="B892" t="s">
        <v>37</v>
      </c>
      <c r="C892" t="s">
        <v>118</v>
      </c>
      <c r="D892" t="s">
        <v>25</v>
      </c>
      <c r="E892">
        <v>233.53</v>
      </c>
      <c r="F892">
        <v>0</v>
      </c>
      <c r="G892">
        <v>269.27999999999997</v>
      </c>
      <c r="H892">
        <v>0</v>
      </c>
      <c r="I892">
        <v>0</v>
      </c>
      <c r="J892">
        <v>0</v>
      </c>
      <c r="K892">
        <v>263.36419999999998</v>
      </c>
      <c r="L892">
        <v>0</v>
      </c>
      <c r="M892">
        <v>0</v>
      </c>
      <c r="N892">
        <v>246.4</v>
      </c>
      <c r="O892">
        <v>242</v>
      </c>
      <c r="P892">
        <v>209.48070000000001</v>
      </c>
      <c r="Q892">
        <v>0</v>
      </c>
      <c r="R892">
        <v>216.57900000000001</v>
      </c>
    </row>
    <row r="893" spans="1:18" hidden="1" x14ac:dyDescent="0.25">
      <c r="A893" t="s">
        <v>1018</v>
      </c>
      <c r="B893" t="s">
        <v>37</v>
      </c>
      <c r="C893" t="s">
        <v>118</v>
      </c>
      <c r="D893" t="s">
        <v>27</v>
      </c>
      <c r="E893">
        <v>336.38</v>
      </c>
      <c r="F893">
        <v>0</v>
      </c>
      <c r="G893">
        <v>415.58</v>
      </c>
      <c r="H893">
        <v>0</v>
      </c>
      <c r="I893">
        <v>366.08</v>
      </c>
      <c r="J893">
        <v>0</v>
      </c>
      <c r="K893">
        <v>0</v>
      </c>
      <c r="L893">
        <v>0</v>
      </c>
      <c r="M893">
        <v>359.27100000000002</v>
      </c>
      <c r="N893">
        <v>357.28</v>
      </c>
      <c r="O893">
        <v>366.02499999999998</v>
      </c>
      <c r="P893">
        <v>342.49250000000001</v>
      </c>
      <c r="Q893">
        <v>0</v>
      </c>
      <c r="R893">
        <v>342.49250000000001</v>
      </c>
    </row>
    <row r="894" spans="1:18" hidden="1" x14ac:dyDescent="0.25">
      <c r="A894" t="s">
        <v>1019</v>
      </c>
      <c r="B894" t="s">
        <v>37</v>
      </c>
      <c r="C894" t="s">
        <v>118</v>
      </c>
      <c r="D894" t="s">
        <v>29</v>
      </c>
      <c r="E894">
        <v>154.22</v>
      </c>
      <c r="F894">
        <v>161.93100000000001</v>
      </c>
      <c r="G894">
        <v>213.62</v>
      </c>
      <c r="H894">
        <v>0</v>
      </c>
      <c r="I894">
        <v>0</v>
      </c>
      <c r="J894">
        <v>0</v>
      </c>
      <c r="K894">
        <v>160.3501</v>
      </c>
      <c r="L894">
        <v>0</v>
      </c>
      <c r="M894">
        <v>0</v>
      </c>
      <c r="N894">
        <v>159.72</v>
      </c>
      <c r="O894">
        <v>161.05099999999999</v>
      </c>
      <c r="P894">
        <v>155.7593</v>
      </c>
      <c r="Q894">
        <v>161.93100000000001</v>
      </c>
      <c r="R894">
        <v>155.7593</v>
      </c>
    </row>
    <row r="895" spans="1:18" hidden="1" x14ac:dyDescent="0.25">
      <c r="A895" t="s">
        <v>1020</v>
      </c>
      <c r="B895" t="s">
        <v>37</v>
      </c>
      <c r="C895" t="s">
        <v>118</v>
      </c>
      <c r="D895" t="s">
        <v>31</v>
      </c>
      <c r="E895">
        <v>189.2</v>
      </c>
      <c r="F895">
        <v>214.67599999999999</v>
      </c>
      <c r="G895">
        <v>225.5</v>
      </c>
      <c r="H895">
        <v>0</v>
      </c>
      <c r="I895">
        <v>190.48699999999999</v>
      </c>
      <c r="J895">
        <v>0</v>
      </c>
      <c r="K895">
        <v>221.44499999999999</v>
      </c>
      <c r="L895">
        <v>0</v>
      </c>
      <c r="M895">
        <v>0</v>
      </c>
      <c r="N895">
        <v>185.9</v>
      </c>
      <c r="O895">
        <v>168.19</v>
      </c>
      <c r="P895">
        <v>170.90350000000001</v>
      </c>
      <c r="Q895">
        <v>214.67599999999999</v>
      </c>
      <c r="R895">
        <v>170.90350000000001</v>
      </c>
    </row>
    <row r="896" spans="1:18" hidden="1" x14ac:dyDescent="0.25">
      <c r="A896" t="s">
        <v>1021</v>
      </c>
      <c r="B896" t="s">
        <v>37</v>
      </c>
      <c r="C896" t="s">
        <v>118</v>
      </c>
      <c r="D896" t="s">
        <v>33</v>
      </c>
      <c r="E896">
        <v>204.6</v>
      </c>
      <c r="F896">
        <v>245.34399999999999</v>
      </c>
      <c r="G896">
        <v>221.1</v>
      </c>
      <c r="H896">
        <v>0</v>
      </c>
      <c r="I896">
        <v>190.48699999999999</v>
      </c>
      <c r="J896">
        <v>0</v>
      </c>
      <c r="K896">
        <v>235.809</v>
      </c>
      <c r="L896">
        <v>0</v>
      </c>
      <c r="M896">
        <v>0</v>
      </c>
      <c r="N896">
        <v>197.12</v>
      </c>
      <c r="O896">
        <v>182.71</v>
      </c>
      <c r="P896">
        <v>182.74119999999999</v>
      </c>
      <c r="Q896">
        <v>245.34399999999999</v>
      </c>
      <c r="R896">
        <v>182.74119999999999</v>
      </c>
    </row>
    <row r="897" spans="1:18" hidden="1" x14ac:dyDescent="0.25">
      <c r="A897" t="s">
        <v>1022</v>
      </c>
      <c r="B897" t="s">
        <v>37</v>
      </c>
      <c r="C897" t="s">
        <v>118</v>
      </c>
      <c r="D897" t="s">
        <v>35</v>
      </c>
      <c r="E897">
        <v>400.488</v>
      </c>
      <c r="F897">
        <v>0</v>
      </c>
      <c r="G897">
        <v>0</v>
      </c>
      <c r="H897">
        <v>0</v>
      </c>
      <c r="I897">
        <v>372.40499999999997</v>
      </c>
      <c r="J897">
        <v>0</v>
      </c>
      <c r="K897">
        <v>0</v>
      </c>
      <c r="L897">
        <v>0</v>
      </c>
      <c r="M897">
        <v>394.5711</v>
      </c>
      <c r="N897">
        <v>378.51</v>
      </c>
      <c r="O897">
        <v>419.26499999999999</v>
      </c>
      <c r="P897">
        <v>366.36860000000001</v>
      </c>
      <c r="Q897">
        <v>0</v>
      </c>
      <c r="R897">
        <v>373.81299999999999</v>
      </c>
    </row>
    <row r="898" spans="1:18" hidden="1" x14ac:dyDescent="0.25">
      <c r="A898" t="s">
        <v>1023</v>
      </c>
      <c r="B898" t="s">
        <v>37</v>
      </c>
      <c r="C898" t="s">
        <v>127</v>
      </c>
      <c r="D898" t="s">
        <v>21</v>
      </c>
      <c r="E898">
        <v>175.4134</v>
      </c>
      <c r="F898">
        <v>0</v>
      </c>
      <c r="G898">
        <v>265.61329999999998</v>
      </c>
      <c r="H898">
        <v>0</v>
      </c>
      <c r="I898">
        <v>0</v>
      </c>
      <c r="J898">
        <v>0</v>
      </c>
      <c r="K898">
        <v>169.16</v>
      </c>
      <c r="L898">
        <v>0</v>
      </c>
      <c r="M898">
        <v>0</v>
      </c>
      <c r="N898">
        <v>215.017</v>
      </c>
      <c r="O898">
        <v>189.00200000000001</v>
      </c>
      <c r="P898">
        <v>0</v>
      </c>
      <c r="R898">
        <v>0</v>
      </c>
    </row>
    <row r="899" spans="1:18" hidden="1" x14ac:dyDescent="0.25">
      <c r="A899" t="s">
        <v>1024</v>
      </c>
      <c r="B899" t="s">
        <v>37</v>
      </c>
      <c r="C899" t="s">
        <v>127</v>
      </c>
      <c r="D899" t="s">
        <v>23</v>
      </c>
      <c r="E899">
        <v>266.01659999999998</v>
      </c>
      <c r="F899">
        <v>0</v>
      </c>
      <c r="G899">
        <v>316.61669999999998</v>
      </c>
      <c r="H899">
        <v>0</v>
      </c>
      <c r="I899">
        <v>0</v>
      </c>
      <c r="J899">
        <v>0</v>
      </c>
      <c r="K899">
        <v>305.5702</v>
      </c>
      <c r="L899">
        <v>0</v>
      </c>
      <c r="M899">
        <v>0</v>
      </c>
      <c r="N899">
        <v>277.01299999999998</v>
      </c>
      <c r="O899">
        <v>375.1</v>
      </c>
      <c r="P899">
        <v>253.05719999999999</v>
      </c>
      <c r="R899">
        <v>253.05719999999999</v>
      </c>
    </row>
    <row r="900" spans="1:18" hidden="1" x14ac:dyDescent="0.25">
      <c r="A900" t="s">
        <v>1025</v>
      </c>
      <c r="B900" t="s">
        <v>37</v>
      </c>
      <c r="C900" t="s">
        <v>127</v>
      </c>
      <c r="D900" t="s">
        <v>25</v>
      </c>
      <c r="E900">
        <v>275.88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335.18419999999998</v>
      </c>
      <c r="L900">
        <v>0</v>
      </c>
      <c r="M900">
        <v>0</v>
      </c>
      <c r="N900">
        <v>293.04000000000002</v>
      </c>
      <c r="O900">
        <v>399.3</v>
      </c>
      <c r="P900">
        <v>265.221</v>
      </c>
      <c r="R900">
        <v>265.221</v>
      </c>
    </row>
    <row r="901" spans="1:18" hidden="1" x14ac:dyDescent="0.25">
      <c r="A901" t="s">
        <v>1026</v>
      </c>
      <c r="B901" t="s">
        <v>37</v>
      </c>
      <c r="C901" t="s">
        <v>127</v>
      </c>
      <c r="D901" t="s">
        <v>27</v>
      </c>
      <c r="E901">
        <v>426.12900000000002</v>
      </c>
      <c r="F901">
        <v>0</v>
      </c>
      <c r="G901">
        <v>530.99199999999996</v>
      </c>
      <c r="H901">
        <v>0</v>
      </c>
      <c r="I901">
        <v>488.4</v>
      </c>
      <c r="J901">
        <v>0</v>
      </c>
      <c r="K901">
        <v>0</v>
      </c>
      <c r="L901">
        <v>0</v>
      </c>
      <c r="M901">
        <v>457.77269999999999</v>
      </c>
      <c r="N901">
        <v>525.03</v>
      </c>
      <c r="O901">
        <v>429.91300000000001</v>
      </c>
      <c r="P901">
        <v>428.79860000000002</v>
      </c>
      <c r="R901">
        <v>428.79860000000002</v>
      </c>
    </row>
    <row r="902" spans="1:18" hidden="1" x14ac:dyDescent="0.25">
      <c r="A902" t="s">
        <v>1027</v>
      </c>
      <c r="B902" t="s">
        <v>37</v>
      </c>
      <c r="C902" t="s">
        <v>127</v>
      </c>
      <c r="D902" t="s">
        <v>29</v>
      </c>
      <c r="E902">
        <v>188.61340000000001</v>
      </c>
      <c r="F902">
        <v>0</v>
      </c>
      <c r="G902">
        <v>273.31330000000003</v>
      </c>
      <c r="H902">
        <v>0</v>
      </c>
      <c r="I902">
        <v>0</v>
      </c>
      <c r="J902">
        <v>0</v>
      </c>
      <c r="K902">
        <v>187.9051</v>
      </c>
      <c r="L902">
        <v>0</v>
      </c>
      <c r="M902">
        <v>0</v>
      </c>
      <c r="N902">
        <v>226.017</v>
      </c>
      <c r="O902">
        <v>243.57300000000001</v>
      </c>
      <c r="P902">
        <v>183.30969999999999</v>
      </c>
      <c r="R902">
        <v>183.30969999999999</v>
      </c>
    </row>
    <row r="903" spans="1:18" hidden="1" x14ac:dyDescent="0.25">
      <c r="A903" t="s">
        <v>1028</v>
      </c>
      <c r="B903" t="s">
        <v>37</v>
      </c>
      <c r="C903" t="s">
        <v>127</v>
      </c>
      <c r="D903" t="s">
        <v>31</v>
      </c>
      <c r="E903">
        <v>236.31659999999999</v>
      </c>
      <c r="F903">
        <v>0</v>
      </c>
      <c r="G903">
        <v>295.7167</v>
      </c>
      <c r="H903">
        <v>0</v>
      </c>
      <c r="I903">
        <v>243.1</v>
      </c>
      <c r="J903">
        <v>0</v>
      </c>
      <c r="K903">
        <v>227.43</v>
      </c>
      <c r="L903">
        <v>0</v>
      </c>
      <c r="M903">
        <v>0</v>
      </c>
      <c r="N903">
        <v>244.01300000000001</v>
      </c>
      <c r="O903">
        <v>248.05</v>
      </c>
      <c r="P903">
        <v>226.51</v>
      </c>
      <c r="R903">
        <v>226.51</v>
      </c>
    </row>
    <row r="904" spans="1:18" hidden="1" x14ac:dyDescent="0.25">
      <c r="A904" t="s">
        <v>1029</v>
      </c>
      <c r="B904" t="s">
        <v>37</v>
      </c>
      <c r="C904" t="s">
        <v>127</v>
      </c>
      <c r="D904" t="s">
        <v>33</v>
      </c>
      <c r="E904">
        <v>244.01660000000001</v>
      </c>
      <c r="F904">
        <v>0</v>
      </c>
      <c r="G904">
        <v>301.2167</v>
      </c>
      <c r="H904">
        <v>0</v>
      </c>
      <c r="I904">
        <v>243.1</v>
      </c>
      <c r="J904">
        <v>0</v>
      </c>
      <c r="K904">
        <v>237.006</v>
      </c>
      <c r="L904">
        <v>0</v>
      </c>
      <c r="M904">
        <v>0</v>
      </c>
      <c r="N904">
        <v>255.01300000000001</v>
      </c>
      <c r="O904">
        <v>242</v>
      </c>
      <c r="P904">
        <v>233.30670000000001</v>
      </c>
      <c r="R904">
        <v>233.30670000000001</v>
      </c>
    </row>
    <row r="905" spans="1:18" hidden="1" x14ac:dyDescent="0.25">
      <c r="A905" t="s">
        <v>1030</v>
      </c>
      <c r="B905" t="s">
        <v>37</v>
      </c>
      <c r="C905" t="s">
        <v>127</v>
      </c>
      <c r="D905" t="s">
        <v>35</v>
      </c>
      <c r="E905">
        <v>499.125</v>
      </c>
      <c r="F905">
        <v>0</v>
      </c>
      <c r="G905">
        <v>559.42859999999996</v>
      </c>
      <c r="H905">
        <v>0</v>
      </c>
      <c r="I905">
        <v>499.4</v>
      </c>
      <c r="J905">
        <v>0</v>
      </c>
      <c r="K905">
        <v>0</v>
      </c>
      <c r="L905">
        <v>0</v>
      </c>
      <c r="M905">
        <v>493.51170000000002</v>
      </c>
      <c r="N905">
        <v>561.66</v>
      </c>
      <c r="O905">
        <v>519.09</v>
      </c>
      <c r="P905">
        <v>485.36320000000001</v>
      </c>
      <c r="R905">
        <v>485.36320000000001</v>
      </c>
    </row>
    <row r="906" spans="1:18" hidden="1" x14ac:dyDescent="0.25">
      <c r="A906" t="s">
        <v>1031</v>
      </c>
      <c r="B906" t="s">
        <v>37</v>
      </c>
      <c r="C906" t="s">
        <v>136</v>
      </c>
      <c r="D906" t="s">
        <v>21</v>
      </c>
      <c r="E906">
        <v>173.30500000000001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180.30600000000001</v>
      </c>
      <c r="L906">
        <v>0</v>
      </c>
      <c r="M906">
        <v>0</v>
      </c>
      <c r="N906">
        <v>207.57</v>
      </c>
      <c r="O906">
        <v>174.36099999999999</v>
      </c>
      <c r="P906">
        <v>0</v>
      </c>
      <c r="R906">
        <v>0</v>
      </c>
    </row>
    <row r="907" spans="1:18" hidden="1" x14ac:dyDescent="0.25">
      <c r="A907" t="s">
        <v>1032</v>
      </c>
      <c r="B907" t="s">
        <v>37</v>
      </c>
      <c r="C907" t="s">
        <v>136</v>
      </c>
      <c r="D907" t="s">
        <v>23</v>
      </c>
      <c r="E907">
        <v>278.3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295.97399999999999</v>
      </c>
      <c r="L907">
        <v>0</v>
      </c>
      <c r="M907">
        <v>0</v>
      </c>
      <c r="N907">
        <v>268.62</v>
      </c>
      <c r="O907">
        <v>292.82</v>
      </c>
      <c r="P907">
        <v>275.88</v>
      </c>
      <c r="R907">
        <v>275.88</v>
      </c>
    </row>
    <row r="908" spans="1:18" hidden="1" x14ac:dyDescent="0.25">
      <c r="A908" t="s">
        <v>1033</v>
      </c>
      <c r="B908" t="s">
        <v>37</v>
      </c>
      <c r="C908" t="s">
        <v>136</v>
      </c>
      <c r="D908" t="s">
        <v>25</v>
      </c>
      <c r="E908">
        <v>317.51499999999999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323.66879999999998</v>
      </c>
      <c r="L908">
        <v>0</v>
      </c>
      <c r="M908">
        <v>0</v>
      </c>
      <c r="N908">
        <v>293.04000000000002</v>
      </c>
      <c r="O908">
        <v>381.99700000000001</v>
      </c>
      <c r="P908">
        <v>302.27670000000001</v>
      </c>
      <c r="R908">
        <v>302.27670000000001</v>
      </c>
    </row>
    <row r="909" spans="1:18" hidden="1" x14ac:dyDescent="0.25">
      <c r="A909" t="s">
        <v>1034</v>
      </c>
      <c r="B909" t="s">
        <v>37</v>
      </c>
      <c r="C909" t="s">
        <v>136</v>
      </c>
      <c r="D909" t="s">
        <v>27</v>
      </c>
      <c r="E909">
        <v>446.42399999999998</v>
      </c>
      <c r="F909">
        <v>0</v>
      </c>
      <c r="G909">
        <v>0</v>
      </c>
      <c r="H909">
        <v>0</v>
      </c>
      <c r="I909">
        <v>476.19</v>
      </c>
      <c r="J909">
        <v>0</v>
      </c>
      <c r="K909">
        <v>0</v>
      </c>
      <c r="L909">
        <v>0</v>
      </c>
      <c r="M909">
        <v>462.1617</v>
      </c>
      <c r="N909">
        <v>525.03</v>
      </c>
      <c r="O909">
        <v>439.23</v>
      </c>
      <c r="P909">
        <v>437.92189999999999</v>
      </c>
      <c r="R909">
        <v>437.92189999999999</v>
      </c>
    </row>
    <row r="910" spans="1:18" hidden="1" x14ac:dyDescent="0.25">
      <c r="A910" t="s">
        <v>1035</v>
      </c>
      <c r="B910" t="s">
        <v>37</v>
      </c>
      <c r="C910" t="s">
        <v>136</v>
      </c>
      <c r="D910" t="s">
        <v>29</v>
      </c>
      <c r="E910">
        <v>187.8066</v>
      </c>
      <c r="F910">
        <v>0</v>
      </c>
      <c r="G910">
        <v>252.70670000000001</v>
      </c>
      <c r="H910">
        <v>0</v>
      </c>
      <c r="I910">
        <v>0</v>
      </c>
      <c r="J910">
        <v>0</v>
      </c>
      <c r="K910">
        <v>194.97450000000001</v>
      </c>
      <c r="L910">
        <v>0</v>
      </c>
      <c r="M910">
        <v>0</v>
      </c>
      <c r="N910">
        <v>221.90299999999999</v>
      </c>
      <c r="O910">
        <v>210.298</v>
      </c>
      <c r="P910">
        <v>187.5232</v>
      </c>
      <c r="R910">
        <v>187.5232</v>
      </c>
    </row>
    <row r="911" spans="1:18" hidden="1" x14ac:dyDescent="0.25">
      <c r="A911" t="s">
        <v>1036</v>
      </c>
      <c r="B911" t="s">
        <v>37</v>
      </c>
      <c r="C911" t="s">
        <v>136</v>
      </c>
      <c r="D911" t="s">
        <v>31</v>
      </c>
      <c r="E911">
        <v>227.7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244.06989999999999</v>
      </c>
      <c r="L911">
        <v>0</v>
      </c>
      <c r="M911">
        <v>0</v>
      </c>
      <c r="N911">
        <v>231.99</v>
      </c>
      <c r="O911">
        <v>223.608</v>
      </c>
      <c r="P911">
        <v>222.44560000000001</v>
      </c>
      <c r="R911">
        <v>222.44560000000001</v>
      </c>
    </row>
    <row r="912" spans="1:18" hidden="1" x14ac:dyDescent="0.25">
      <c r="A912" t="s">
        <v>1037</v>
      </c>
      <c r="B912" t="s">
        <v>37</v>
      </c>
      <c r="C912" t="s">
        <v>136</v>
      </c>
      <c r="D912" t="s">
        <v>33</v>
      </c>
      <c r="E912">
        <v>241.08340000000001</v>
      </c>
      <c r="F912">
        <v>0</v>
      </c>
      <c r="G912">
        <v>287.2833</v>
      </c>
      <c r="H912">
        <v>0</v>
      </c>
      <c r="I912">
        <v>254.46299999999999</v>
      </c>
      <c r="J912">
        <v>0</v>
      </c>
      <c r="K912">
        <v>257.34449999999998</v>
      </c>
      <c r="L912">
        <v>0</v>
      </c>
      <c r="M912">
        <v>0</v>
      </c>
      <c r="N912">
        <v>255.387</v>
      </c>
      <c r="O912">
        <v>256.88299999999998</v>
      </c>
      <c r="P912">
        <v>242.87469999999999</v>
      </c>
      <c r="R912">
        <v>242.87469999999999</v>
      </c>
    </row>
    <row r="913" spans="1:18" hidden="1" x14ac:dyDescent="0.25">
      <c r="A913" t="s">
        <v>1038</v>
      </c>
      <c r="B913" t="s">
        <v>37</v>
      </c>
      <c r="C913" t="s">
        <v>136</v>
      </c>
      <c r="D913" t="s">
        <v>35</v>
      </c>
      <c r="E913">
        <v>504.108</v>
      </c>
      <c r="F913">
        <v>0</v>
      </c>
      <c r="G913">
        <v>0</v>
      </c>
      <c r="H913">
        <v>0</v>
      </c>
      <c r="I913">
        <v>476.19</v>
      </c>
      <c r="J913">
        <v>0</v>
      </c>
      <c r="K913">
        <v>0</v>
      </c>
      <c r="L913">
        <v>0</v>
      </c>
      <c r="M913">
        <v>491.00369999999998</v>
      </c>
      <c r="N913">
        <v>561.66</v>
      </c>
      <c r="O913">
        <v>515.09699999999998</v>
      </c>
      <c r="P913">
        <v>469.99919999999997</v>
      </c>
      <c r="R913">
        <v>469.99919999999997</v>
      </c>
    </row>
    <row r="914" spans="1:18" hidden="1" x14ac:dyDescent="0.25">
      <c r="A914" t="s">
        <v>1039</v>
      </c>
      <c r="B914" t="s">
        <v>37</v>
      </c>
      <c r="C914" t="s">
        <v>145</v>
      </c>
      <c r="D914" t="s">
        <v>21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R914">
        <v>0</v>
      </c>
    </row>
    <row r="915" spans="1:18" hidden="1" x14ac:dyDescent="0.25">
      <c r="A915" t="s">
        <v>1040</v>
      </c>
      <c r="B915" t="s">
        <v>37</v>
      </c>
      <c r="C915" t="s">
        <v>145</v>
      </c>
      <c r="D915" t="s">
        <v>23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473.5224</v>
      </c>
      <c r="R915">
        <v>473.5224</v>
      </c>
    </row>
    <row r="916" spans="1:18" hidden="1" x14ac:dyDescent="0.25">
      <c r="A916" t="s">
        <v>1041</v>
      </c>
      <c r="B916" t="s">
        <v>37</v>
      </c>
      <c r="C916" t="s">
        <v>145</v>
      </c>
      <c r="D916" t="s">
        <v>25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525.49069999999995</v>
      </c>
      <c r="R916">
        <v>525.49069999999995</v>
      </c>
    </row>
    <row r="917" spans="1:18" hidden="1" x14ac:dyDescent="0.25">
      <c r="A917" t="s">
        <v>1042</v>
      </c>
      <c r="B917" t="s">
        <v>37</v>
      </c>
      <c r="C917" t="s">
        <v>145</v>
      </c>
      <c r="D917" t="s">
        <v>27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609.53240000000005</v>
      </c>
      <c r="R917">
        <v>609.53250000000003</v>
      </c>
    </row>
    <row r="918" spans="1:18" hidden="1" x14ac:dyDescent="0.25">
      <c r="A918" t="s">
        <v>1043</v>
      </c>
      <c r="B918" t="s">
        <v>37</v>
      </c>
      <c r="C918" t="s">
        <v>145</v>
      </c>
      <c r="D918" t="s">
        <v>29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318.94240000000002</v>
      </c>
      <c r="R918">
        <v>318.94240000000002</v>
      </c>
    </row>
    <row r="919" spans="1:18" hidden="1" x14ac:dyDescent="0.25">
      <c r="A919" t="s">
        <v>1044</v>
      </c>
      <c r="B919" t="s">
        <v>37</v>
      </c>
      <c r="C919" t="s">
        <v>145</v>
      </c>
      <c r="D919" t="s">
        <v>31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415.3852</v>
      </c>
      <c r="R919">
        <v>415.3852</v>
      </c>
    </row>
    <row r="920" spans="1:18" hidden="1" x14ac:dyDescent="0.25">
      <c r="A920" t="s">
        <v>1045</v>
      </c>
      <c r="B920" t="s">
        <v>37</v>
      </c>
      <c r="C920" t="s">
        <v>145</v>
      </c>
      <c r="D920" t="s">
        <v>33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439.3338</v>
      </c>
      <c r="R920">
        <v>439.33390000000003</v>
      </c>
    </row>
    <row r="921" spans="1:18" hidden="1" x14ac:dyDescent="0.25">
      <c r="A921" t="s">
        <v>1046</v>
      </c>
      <c r="B921" t="s">
        <v>37</v>
      </c>
      <c r="C921" t="s">
        <v>145</v>
      </c>
      <c r="D921" t="s">
        <v>35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679.71820000000002</v>
      </c>
      <c r="R921">
        <v>679.71820000000002</v>
      </c>
    </row>
    <row r="922" spans="1:18" hidden="1" x14ac:dyDescent="0.25">
      <c r="A922" t="s">
        <v>1047</v>
      </c>
      <c r="B922" t="s">
        <v>37</v>
      </c>
      <c r="C922" t="s">
        <v>154</v>
      </c>
      <c r="D922" t="s">
        <v>21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R922">
        <v>0</v>
      </c>
    </row>
    <row r="923" spans="1:18" hidden="1" x14ac:dyDescent="0.25">
      <c r="A923" t="s">
        <v>1048</v>
      </c>
      <c r="B923" t="s">
        <v>37</v>
      </c>
      <c r="C923" t="s">
        <v>154</v>
      </c>
      <c r="D923" t="s">
        <v>23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216.34010000000001</v>
      </c>
      <c r="R923">
        <v>216.34010000000001</v>
      </c>
    </row>
    <row r="924" spans="1:18" hidden="1" x14ac:dyDescent="0.25">
      <c r="A924" t="s">
        <v>1049</v>
      </c>
      <c r="B924" t="s">
        <v>37</v>
      </c>
      <c r="C924" t="s">
        <v>154</v>
      </c>
      <c r="D924" t="s">
        <v>25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239.63810000000001</v>
      </c>
      <c r="R924">
        <v>239.63810000000001</v>
      </c>
    </row>
    <row r="925" spans="1:18" hidden="1" x14ac:dyDescent="0.25">
      <c r="A925" t="s">
        <v>1050</v>
      </c>
      <c r="B925" t="s">
        <v>37</v>
      </c>
      <c r="C925" t="s">
        <v>154</v>
      </c>
      <c r="D925" t="s">
        <v>27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322.90499999999997</v>
      </c>
      <c r="N925">
        <v>0</v>
      </c>
      <c r="O925">
        <v>0</v>
      </c>
      <c r="P925">
        <v>315.00479999999999</v>
      </c>
      <c r="R925">
        <v>315.00479999999999</v>
      </c>
    </row>
    <row r="926" spans="1:18" hidden="1" x14ac:dyDescent="0.25">
      <c r="A926" t="s">
        <v>1051</v>
      </c>
      <c r="B926" t="s">
        <v>37</v>
      </c>
      <c r="C926" t="s">
        <v>154</v>
      </c>
      <c r="D926" t="s">
        <v>29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128.56010000000001</v>
      </c>
      <c r="R926">
        <v>128.56010000000001</v>
      </c>
    </row>
    <row r="927" spans="1:18" hidden="1" x14ac:dyDescent="0.25">
      <c r="A927" t="s">
        <v>1052</v>
      </c>
      <c r="B927" t="s">
        <v>37</v>
      </c>
      <c r="C927" t="s">
        <v>154</v>
      </c>
      <c r="D927" t="s">
        <v>31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181.16540000000001</v>
      </c>
      <c r="R927">
        <v>181.16540000000001</v>
      </c>
    </row>
    <row r="928" spans="1:18" hidden="1" x14ac:dyDescent="0.25">
      <c r="A928" t="s">
        <v>1053</v>
      </c>
      <c r="B928" t="s">
        <v>37</v>
      </c>
      <c r="C928" t="s">
        <v>154</v>
      </c>
      <c r="D928" t="s">
        <v>33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200.64</v>
      </c>
      <c r="R928">
        <v>200.64</v>
      </c>
    </row>
    <row r="929" spans="1:18" hidden="1" x14ac:dyDescent="0.25">
      <c r="A929" t="s">
        <v>1054</v>
      </c>
      <c r="B929" t="s">
        <v>37</v>
      </c>
      <c r="C929" t="s">
        <v>154</v>
      </c>
      <c r="D929" t="s">
        <v>35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343.596</v>
      </c>
      <c r="N929">
        <v>0</v>
      </c>
      <c r="O929">
        <v>0</v>
      </c>
      <c r="P929">
        <v>333.21289999999999</v>
      </c>
      <c r="R929">
        <v>333.21289999999999</v>
      </c>
    </row>
    <row r="930" spans="1:18" hidden="1" x14ac:dyDescent="0.25">
      <c r="A930" t="s">
        <v>1055</v>
      </c>
      <c r="B930" t="s">
        <v>37</v>
      </c>
      <c r="C930" t="s">
        <v>163</v>
      </c>
      <c r="D930" t="s">
        <v>21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R930">
        <v>0</v>
      </c>
    </row>
    <row r="931" spans="1:18" hidden="1" x14ac:dyDescent="0.25">
      <c r="A931" t="s">
        <v>1056</v>
      </c>
      <c r="B931" t="s">
        <v>37</v>
      </c>
      <c r="C931" t="s">
        <v>163</v>
      </c>
      <c r="D931" t="s">
        <v>23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541.67780000000005</v>
      </c>
      <c r="R931">
        <v>541.67780000000005</v>
      </c>
    </row>
    <row r="932" spans="1:18" hidden="1" x14ac:dyDescent="0.25">
      <c r="A932" t="s">
        <v>1057</v>
      </c>
      <c r="B932" t="s">
        <v>37</v>
      </c>
      <c r="C932" t="s">
        <v>163</v>
      </c>
      <c r="D932" t="s">
        <v>25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582.60839999999996</v>
      </c>
      <c r="R932">
        <v>582.60839999999996</v>
      </c>
    </row>
    <row r="933" spans="1:18" hidden="1" x14ac:dyDescent="0.25">
      <c r="A933" t="s">
        <v>1058</v>
      </c>
      <c r="B933" t="s">
        <v>37</v>
      </c>
      <c r="C933" t="s">
        <v>163</v>
      </c>
      <c r="D933" t="s">
        <v>27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879.0059</v>
      </c>
      <c r="R933">
        <v>879.0059</v>
      </c>
    </row>
    <row r="934" spans="1:18" hidden="1" x14ac:dyDescent="0.25">
      <c r="A934" t="s">
        <v>1059</v>
      </c>
      <c r="B934" t="s">
        <v>37</v>
      </c>
      <c r="C934" t="s">
        <v>163</v>
      </c>
      <c r="D934" t="s">
        <v>29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445.471</v>
      </c>
      <c r="R934">
        <v>445.471</v>
      </c>
    </row>
    <row r="935" spans="1:18" hidden="1" x14ac:dyDescent="0.25">
      <c r="A935" t="s">
        <v>1060</v>
      </c>
      <c r="B935" t="s">
        <v>37</v>
      </c>
      <c r="C935" t="s">
        <v>163</v>
      </c>
      <c r="D935" t="s">
        <v>31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488.05680000000001</v>
      </c>
      <c r="R935">
        <v>488.05680000000001</v>
      </c>
    </row>
    <row r="936" spans="1:18" hidden="1" x14ac:dyDescent="0.25">
      <c r="A936" t="s">
        <v>1061</v>
      </c>
      <c r="B936" t="s">
        <v>37</v>
      </c>
      <c r="C936" t="s">
        <v>163</v>
      </c>
      <c r="D936" t="s">
        <v>33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501.92599999999999</v>
      </c>
      <c r="R936">
        <v>501.92599999999999</v>
      </c>
    </row>
    <row r="937" spans="1:18" hidden="1" x14ac:dyDescent="0.25">
      <c r="A937" t="s">
        <v>1062</v>
      </c>
      <c r="B937" t="s">
        <v>37</v>
      </c>
      <c r="C937" t="s">
        <v>163</v>
      </c>
      <c r="D937" t="s">
        <v>35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962.06880000000001</v>
      </c>
      <c r="R937">
        <v>962.06880000000001</v>
      </c>
    </row>
    <row r="938" spans="1:18" hidden="1" x14ac:dyDescent="0.25">
      <c r="A938" t="s">
        <v>1063</v>
      </c>
      <c r="B938" t="s">
        <v>37</v>
      </c>
      <c r="C938" t="s">
        <v>1064</v>
      </c>
      <c r="D938" t="s">
        <v>21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R938">
        <v>0</v>
      </c>
    </row>
    <row r="939" spans="1:18" hidden="1" x14ac:dyDescent="0.25">
      <c r="A939" t="s">
        <v>1065</v>
      </c>
      <c r="B939" t="s">
        <v>37</v>
      </c>
      <c r="C939" t="s">
        <v>1064</v>
      </c>
      <c r="D939" t="s">
        <v>23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111.60599999999999</v>
      </c>
      <c r="R939">
        <v>164.58750000000001</v>
      </c>
    </row>
    <row r="940" spans="1:18" hidden="1" x14ac:dyDescent="0.25">
      <c r="A940" t="s">
        <v>1066</v>
      </c>
      <c r="B940" t="s">
        <v>37</v>
      </c>
      <c r="C940" t="s">
        <v>1064</v>
      </c>
      <c r="D940" t="s">
        <v>25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122.892</v>
      </c>
      <c r="R940">
        <v>177.75450000000001</v>
      </c>
    </row>
    <row r="941" spans="1:18" hidden="1" x14ac:dyDescent="0.25">
      <c r="A941" t="s">
        <v>1067</v>
      </c>
      <c r="B941" t="s">
        <v>37</v>
      </c>
      <c r="C941" t="s">
        <v>1064</v>
      </c>
      <c r="D941" t="s">
        <v>27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148.67599999999999</v>
      </c>
      <c r="R941">
        <v>193.75239999999999</v>
      </c>
    </row>
    <row r="942" spans="1:18" hidden="1" x14ac:dyDescent="0.25">
      <c r="A942" t="s">
        <v>1068</v>
      </c>
      <c r="B942" t="s">
        <v>37</v>
      </c>
      <c r="C942" t="s">
        <v>1064</v>
      </c>
      <c r="D942" t="s">
        <v>29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94.05</v>
      </c>
      <c r="R942">
        <v>94.05</v>
      </c>
    </row>
    <row r="943" spans="1:18" hidden="1" x14ac:dyDescent="0.25">
      <c r="A943" t="s">
        <v>1069</v>
      </c>
      <c r="B943" t="s">
        <v>37</v>
      </c>
      <c r="C943" t="s">
        <v>1064</v>
      </c>
      <c r="D943" t="s">
        <v>31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150.47999999999999</v>
      </c>
      <c r="R943">
        <v>150.47999999999999</v>
      </c>
    </row>
    <row r="944" spans="1:18" hidden="1" x14ac:dyDescent="0.25">
      <c r="A944" t="s">
        <v>1070</v>
      </c>
      <c r="B944" t="s">
        <v>37</v>
      </c>
      <c r="C944" t="s">
        <v>1064</v>
      </c>
      <c r="D944" t="s">
        <v>33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156.75</v>
      </c>
      <c r="R944">
        <v>156.75</v>
      </c>
    </row>
    <row r="945" spans="1:18" hidden="1" x14ac:dyDescent="0.25">
      <c r="A945" t="s">
        <v>1071</v>
      </c>
      <c r="B945" t="s">
        <v>37</v>
      </c>
      <c r="C945" t="s">
        <v>1064</v>
      </c>
      <c r="D945" t="s">
        <v>35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154</v>
      </c>
      <c r="R945">
        <v>213.1276</v>
      </c>
    </row>
    <row r="946" spans="1:18" hidden="1" x14ac:dyDescent="0.25">
      <c r="A946" t="s">
        <v>1072</v>
      </c>
      <c r="B946" t="s">
        <v>37</v>
      </c>
      <c r="C946" t="s">
        <v>172</v>
      </c>
      <c r="D946" t="s">
        <v>21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R946">
        <v>0</v>
      </c>
    </row>
    <row r="947" spans="1:18" hidden="1" x14ac:dyDescent="0.25">
      <c r="A947" t="s">
        <v>1073</v>
      </c>
      <c r="B947" t="s">
        <v>37</v>
      </c>
      <c r="C947" t="s">
        <v>172</v>
      </c>
      <c r="D947" t="s">
        <v>23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478.66379999999998</v>
      </c>
      <c r="R947">
        <v>478.66379999999998</v>
      </c>
    </row>
    <row r="948" spans="1:18" hidden="1" x14ac:dyDescent="0.25">
      <c r="A948" t="s">
        <v>1074</v>
      </c>
      <c r="B948" t="s">
        <v>37</v>
      </c>
      <c r="C948" t="s">
        <v>172</v>
      </c>
      <c r="D948" t="s">
        <v>25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530.8202</v>
      </c>
      <c r="R948">
        <v>530.8202</v>
      </c>
    </row>
    <row r="949" spans="1:18" hidden="1" x14ac:dyDescent="0.25">
      <c r="A949" t="s">
        <v>1075</v>
      </c>
      <c r="B949" t="s">
        <v>37</v>
      </c>
      <c r="C949" t="s">
        <v>172</v>
      </c>
      <c r="D949" t="s">
        <v>27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609.53240000000005</v>
      </c>
      <c r="R949">
        <v>609.53250000000003</v>
      </c>
    </row>
    <row r="950" spans="1:18" hidden="1" x14ac:dyDescent="0.25">
      <c r="A950" t="s">
        <v>1076</v>
      </c>
      <c r="B950" t="s">
        <v>37</v>
      </c>
      <c r="C950" t="s">
        <v>172</v>
      </c>
      <c r="D950" t="s">
        <v>29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332.57909999999998</v>
      </c>
      <c r="R950">
        <v>332.57900000000001</v>
      </c>
    </row>
    <row r="951" spans="1:18" hidden="1" x14ac:dyDescent="0.25">
      <c r="A951" t="s">
        <v>1077</v>
      </c>
      <c r="B951" t="s">
        <v>37</v>
      </c>
      <c r="C951" t="s">
        <v>172</v>
      </c>
      <c r="D951" t="s">
        <v>31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416.43860000000001</v>
      </c>
      <c r="R951">
        <v>416.43860000000001</v>
      </c>
    </row>
    <row r="952" spans="1:18" hidden="1" x14ac:dyDescent="0.25">
      <c r="A952" t="s">
        <v>1078</v>
      </c>
      <c r="B952" t="s">
        <v>37</v>
      </c>
      <c r="C952" t="s">
        <v>172</v>
      </c>
      <c r="D952" t="s">
        <v>33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440.38720000000001</v>
      </c>
      <c r="R952">
        <v>440.38720000000001</v>
      </c>
    </row>
    <row r="953" spans="1:18" hidden="1" x14ac:dyDescent="0.25">
      <c r="A953" t="s">
        <v>1079</v>
      </c>
      <c r="B953" t="s">
        <v>37</v>
      </c>
      <c r="C953" t="s">
        <v>172</v>
      </c>
      <c r="D953" t="s">
        <v>35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696.91600000000005</v>
      </c>
      <c r="R953">
        <v>696.91600000000005</v>
      </c>
    </row>
    <row r="954" spans="1:18" hidden="1" x14ac:dyDescent="0.25">
      <c r="A954" t="s">
        <v>1080</v>
      </c>
      <c r="B954" t="s">
        <v>37</v>
      </c>
      <c r="C954" t="s">
        <v>181</v>
      </c>
      <c r="D954" t="s">
        <v>21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</row>
    <row r="955" spans="1:18" hidden="1" x14ac:dyDescent="0.25">
      <c r="A955" t="s">
        <v>1081</v>
      </c>
      <c r="B955" t="s">
        <v>37</v>
      </c>
      <c r="C955" t="s">
        <v>181</v>
      </c>
      <c r="D955" t="s">
        <v>23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209.37430000000001</v>
      </c>
      <c r="Q955">
        <v>0</v>
      </c>
      <c r="R955">
        <v>209.37440000000001</v>
      </c>
    </row>
    <row r="956" spans="1:18" hidden="1" x14ac:dyDescent="0.25">
      <c r="A956" t="s">
        <v>1082</v>
      </c>
      <c r="B956" t="s">
        <v>37</v>
      </c>
      <c r="C956" t="s">
        <v>181</v>
      </c>
      <c r="D956" t="s">
        <v>25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210.1986</v>
      </c>
      <c r="Q956">
        <v>0</v>
      </c>
      <c r="R956">
        <v>210.1986</v>
      </c>
    </row>
    <row r="957" spans="1:18" hidden="1" x14ac:dyDescent="0.25">
      <c r="A957" t="s">
        <v>1083</v>
      </c>
      <c r="B957" t="s">
        <v>37</v>
      </c>
      <c r="C957" t="s">
        <v>181</v>
      </c>
      <c r="D957" t="s">
        <v>27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325.67149999999998</v>
      </c>
      <c r="Q957">
        <v>0</v>
      </c>
      <c r="R957">
        <v>325.67149999999998</v>
      </c>
    </row>
    <row r="958" spans="1:18" hidden="1" x14ac:dyDescent="0.25">
      <c r="A958" t="s">
        <v>1084</v>
      </c>
      <c r="B958" t="s">
        <v>37</v>
      </c>
      <c r="C958" t="s">
        <v>181</v>
      </c>
      <c r="D958" t="s">
        <v>29</v>
      </c>
      <c r="E958">
        <v>0</v>
      </c>
      <c r="F958">
        <v>162.77799999999999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157.07599999999999</v>
      </c>
      <c r="Q958">
        <v>162.77799999999999</v>
      </c>
      <c r="R958">
        <v>157.07599999999999</v>
      </c>
    </row>
    <row r="959" spans="1:18" hidden="1" x14ac:dyDescent="0.25">
      <c r="A959" t="s">
        <v>1085</v>
      </c>
      <c r="B959" t="s">
        <v>37</v>
      </c>
      <c r="C959" t="s">
        <v>181</v>
      </c>
      <c r="D959" t="s">
        <v>31</v>
      </c>
      <c r="E959">
        <v>0</v>
      </c>
      <c r="F959">
        <v>194.084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191.0984</v>
      </c>
      <c r="Q959">
        <v>194.084</v>
      </c>
      <c r="R959">
        <v>191.0984</v>
      </c>
    </row>
    <row r="960" spans="1:18" hidden="1" x14ac:dyDescent="0.25">
      <c r="A960" t="s">
        <v>1086</v>
      </c>
      <c r="B960" t="s">
        <v>37</v>
      </c>
      <c r="C960" t="s">
        <v>181</v>
      </c>
      <c r="D960" t="s">
        <v>33</v>
      </c>
      <c r="E960">
        <v>0</v>
      </c>
      <c r="F960">
        <v>212.86099999999999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201.24189999999999</v>
      </c>
      <c r="Q960">
        <v>212.86099999999999</v>
      </c>
      <c r="R960">
        <v>201.24189999999999</v>
      </c>
    </row>
    <row r="961" spans="1:18" hidden="1" x14ac:dyDescent="0.25">
      <c r="A961" t="s">
        <v>1087</v>
      </c>
      <c r="B961" t="s">
        <v>37</v>
      </c>
      <c r="C961" t="s">
        <v>181</v>
      </c>
      <c r="D961" t="s">
        <v>35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328.04160000000002</v>
      </c>
      <c r="Q961">
        <v>0</v>
      </c>
      <c r="R961">
        <v>328.04160000000002</v>
      </c>
    </row>
    <row r="962" spans="1:18" hidden="1" x14ac:dyDescent="0.25">
      <c r="A962" t="s">
        <v>1088</v>
      </c>
      <c r="B962" t="s">
        <v>37</v>
      </c>
      <c r="C962" t="s">
        <v>190</v>
      </c>
      <c r="D962" t="s">
        <v>21</v>
      </c>
      <c r="E962">
        <v>180.6934</v>
      </c>
      <c r="F962">
        <v>0</v>
      </c>
      <c r="G962">
        <v>253.29329999999999</v>
      </c>
      <c r="H962">
        <v>0</v>
      </c>
      <c r="I962">
        <v>0</v>
      </c>
      <c r="J962">
        <v>0</v>
      </c>
      <c r="K962">
        <v>183.65549999999999</v>
      </c>
      <c r="L962">
        <v>0</v>
      </c>
      <c r="M962">
        <v>0</v>
      </c>
      <c r="N962">
        <v>189.49700000000001</v>
      </c>
      <c r="O962">
        <v>190.333</v>
      </c>
      <c r="P962">
        <v>0</v>
      </c>
      <c r="Q962">
        <v>0</v>
      </c>
      <c r="R962">
        <v>0</v>
      </c>
    </row>
    <row r="963" spans="1:18" hidden="1" x14ac:dyDescent="0.25">
      <c r="A963" t="s">
        <v>1089</v>
      </c>
      <c r="B963" t="s">
        <v>37</v>
      </c>
      <c r="C963" t="s">
        <v>190</v>
      </c>
      <c r="D963" t="s">
        <v>23</v>
      </c>
      <c r="E963">
        <v>254.56200000000001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266.4427</v>
      </c>
      <c r="L963">
        <v>0</v>
      </c>
      <c r="M963">
        <v>0</v>
      </c>
      <c r="N963">
        <v>262.51499999999999</v>
      </c>
      <c r="O963">
        <v>306.13</v>
      </c>
      <c r="P963">
        <v>254.7877</v>
      </c>
      <c r="Q963">
        <v>0</v>
      </c>
      <c r="R963">
        <v>254.7877</v>
      </c>
    </row>
    <row r="964" spans="1:18" hidden="1" x14ac:dyDescent="0.25">
      <c r="A964" t="s">
        <v>1090</v>
      </c>
      <c r="B964" t="s">
        <v>37</v>
      </c>
      <c r="C964" t="s">
        <v>190</v>
      </c>
      <c r="D964" t="s">
        <v>25</v>
      </c>
      <c r="E964">
        <v>289.37700000000001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288.23129999999998</v>
      </c>
      <c r="L964">
        <v>0</v>
      </c>
      <c r="M964">
        <v>0</v>
      </c>
      <c r="N964">
        <v>299.14499999999998</v>
      </c>
      <c r="O964">
        <v>415.27199999999999</v>
      </c>
      <c r="P964">
        <v>286.51589999999999</v>
      </c>
      <c r="Q964">
        <v>0</v>
      </c>
      <c r="R964">
        <v>286.51589999999999</v>
      </c>
    </row>
    <row r="965" spans="1:18" hidden="1" x14ac:dyDescent="0.25">
      <c r="A965" t="s">
        <v>1091</v>
      </c>
      <c r="B965" t="s">
        <v>37</v>
      </c>
      <c r="C965" t="s">
        <v>190</v>
      </c>
      <c r="D965" t="s">
        <v>27</v>
      </c>
      <c r="E965">
        <v>405.24</v>
      </c>
      <c r="F965">
        <v>0</v>
      </c>
      <c r="G965">
        <v>489.94</v>
      </c>
      <c r="H965">
        <v>0</v>
      </c>
      <c r="I965">
        <v>460.24</v>
      </c>
      <c r="J965">
        <v>0</v>
      </c>
      <c r="K965">
        <v>0</v>
      </c>
      <c r="L965">
        <v>0</v>
      </c>
      <c r="M965">
        <v>0</v>
      </c>
      <c r="N965">
        <v>443.52</v>
      </c>
      <c r="O965">
        <v>432.57499999999999</v>
      </c>
      <c r="P965">
        <v>421.14249999999998</v>
      </c>
      <c r="Q965">
        <v>0</v>
      </c>
      <c r="R965">
        <v>421.14240000000001</v>
      </c>
    </row>
    <row r="966" spans="1:18" hidden="1" x14ac:dyDescent="0.25">
      <c r="A966" t="s">
        <v>1092</v>
      </c>
      <c r="B966" t="s">
        <v>37</v>
      </c>
      <c r="C966" t="s">
        <v>190</v>
      </c>
      <c r="D966" t="s">
        <v>29</v>
      </c>
      <c r="E966">
        <v>203.79339999999999</v>
      </c>
      <c r="F966">
        <v>203.31299999999999</v>
      </c>
      <c r="G966">
        <v>260.99329999999998</v>
      </c>
      <c r="H966">
        <v>0</v>
      </c>
      <c r="I966">
        <v>0</v>
      </c>
      <c r="J966">
        <v>0</v>
      </c>
      <c r="K966">
        <v>200.79150000000001</v>
      </c>
      <c r="L966">
        <v>0</v>
      </c>
      <c r="M966">
        <v>0</v>
      </c>
      <c r="N966">
        <v>205.99700000000001</v>
      </c>
      <c r="O966">
        <v>232.92500000000001</v>
      </c>
      <c r="P966">
        <v>197.9314</v>
      </c>
      <c r="Q966">
        <v>203.31299999999999</v>
      </c>
      <c r="R966">
        <v>197.9314</v>
      </c>
    </row>
    <row r="967" spans="1:18" hidden="1" x14ac:dyDescent="0.25">
      <c r="A967" t="s">
        <v>1093</v>
      </c>
      <c r="B967" t="s">
        <v>37</v>
      </c>
      <c r="C967" t="s">
        <v>190</v>
      </c>
      <c r="D967" t="s">
        <v>31</v>
      </c>
      <c r="E967">
        <v>223.11660000000001</v>
      </c>
      <c r="F967">
        <v>217.20599999999999</v>
      </c>
      <c r="G967">
        <v>286.91669999999999</v>
      </c>
      <c r="H967">
        <v>0</v>
      </c>
      <c r="I967">
        <v>233.2</v>
      </c>
      <c r="J967">
        <v>0</v>
      </c>
      <c r="K967">
        <v>225.17250000000001</v>
      </c>
      <c r="L967">
        <v>0</v>
      </c>
      <c r="M967">
        <v>0</v>
      </c>
      <c r="N967">
        <v>228.613</v>
      </c>
      <c r="O967">
        <v>248.89699999999999</v>
      </c>
      <c r="P967">
        <v>214.73500000000001</v>
      </c>
      <c r="Q967">
        <v>217.20599999999999</v>
      </c>
      <c r="R967">
        <v>214.73500000000001</v>
      </c>
    </row>
    <row r="968" spans="1:18" hidden="1" x14ac:dyDescent="0.25">
      <c r="A968" t="s">
        <v>1094</v>
      </c>
      <c r="B968" t="s">
        <v>37</v>
      </c>
      <c r="C968" t="s">
        <v>190</v>
      </c>
      <c r="D968" t="s">
        <v>33</v>
      </c>
      <c r="E968">
        <v>242.91659999999999</v>
      </c>
      <c r="F968">
        <v>237.40199999999999</v>
      </c>
      <c r="G968">
        <v>300.11669999999998</v>
      </c>
      <c r="H968">
        <v>0</v>
      </c>
      <c r="I968">
        <v>233.2</v>
      </c>
      <c r="J968">
        <v>0</v>
      </c>
      <c r="K968">
        <v>232.87950000000001</v>
      </c>
      <c r="L968">
        <v>0</v>
      </c>
      <c r="M968">
        <v>0</v>
      </c>
      <c r="N968">
        <v>239.613</v>
      </c>
      <c r="O968">
        <v>262.20699999999999</v>
      </c>
      <c r="P968">
        <v>225.72</v>
      </c>
      <c r="Q968">
        <v>237.40199999999999</v>
      </c>
      <c r="R968">
        <v>225.72</v>
      </c>
    </row>
    <row r="969" spans="1:18" hidden="1" x14ac:dyDescent="0.25">
      <c r="A969" t="s">
        <v>1095</v>
      </c>
      <c r="B969" t="s">
        <v>37</v>
      </c>
      <c r="C969" t="s">
        <v>190</v>
      </c>
      <c r="D969" t="s">
        <v>35</v>
      </c>
      <c r="E969">
        <v>466.125</v>
      </c>
      <c r="F969">
        <v>0</v>
      </c>
      <c r="G969">
        <v>529.88570000000004</v>
      </c>
      <c r="H969">
        <v>0</v>
      </c>
      <c r="I969">
        <v>470.8</v>
      </c>
      <c r="J969">
        <v>0</v>
      </c>
      <c r="K969">
        <v>0</v>
      </c>
      <c r="L969">
        <v>0</v>
      </c>
      <c r="M969">
        <v>0</v>
      </c>
      <c r="N969">
        <v>468.16</v>
      </c>
      <c r="O969">
        <v>488.47699999999998</v>
      </c>
      <c r="P969">
        <v>457.69749999999999</v>
      </c>
      <c r="Q969">
        <v>0</v>
      </c>
      <c r="R969">
        <v>457.69749999999999</v>
      </c>
    </row>
    <row r="970" spans="1:18" hidden="1" x14ac:dyDescent="0.25">
      <c r="A970" t="s">
        <v>1096</v>
      </c>
      <c r="B970" t="s">
        <v>37</v>
      </c>
      <c r="C970" t="s">
        <v>199</v>
      </c>
      <c r="D970" t="s">
        <v>21</v>
      </c>
      <c r="E970">
        <v>357.75299999999999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355.93430000000001</v>
      </c>
      <c r="L970">
        <v>0</v>
      </c>
      <c r="M970">
        <v>0</v>
      </c>
      <c r="N970">
        <v>378.51</v>
      </c>
      <c r="O970">
        <v>354.04599999999999</v>
      </c>
      <c r="P970">
        <v>0</v>
      </c>
      <c r="R970">
        <v>0</v>
      </c>
    </row>
    <row r="971" spans="1:18" hidden="1" x14ac:dyDescent="0.25">
      <c r="A971" t="s">
        <v>1097</v>
      </c>
      <c r="B971" t="s">
        <v>37</v>
      </c>
      <c r="C971" t="s">
        <v>199</v>
      </c>
      <c r="D971" t="s">
        <v>23</v>
      </c>
      <c r="E971">
        <v>482.79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561.42449999999997</v>
      </c>
      <c r="L971">
        <v>0</v>
      </c>
      <c r="M971">
        <v>0</v>
      </c>
      <c r="N971">
        <v>561.66</v>
      </c>
      <c r="O971">
        <v>484.48399999999998</v>
      </c>
      <c r="P971">
        <v>459.68</v>
      </c>
      <c r="R971">
        <v>459.68</v>
      </c>
    </row>
    <row r="972" spans="1:18" hidden="1" x14ac:dyDescent="0.25">
      <c r="A972" t="s">
        <v>1098</v>
      </c>
      <c r="B972" t="s">
        <v>37</v>
      </c>
      <c r="C972" t="s">
        <v>199</v>
      </c>
      <c r="D972" t="s">
        <v>25</v>
      </c>
      <c r="E972">
        <v>506.71499999999997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642.20939999999996</v>
      </c>
      <c r="L972">
        <v>0</v>
      </c>
      <c r="M972">
        <v>0</v>
      </c>
      <c r="N972">
        <v>586.08000000000004</v>
      </c>
      <c r="O972">
        <v>572.33000000000004</v>
      </c>
      <c r="P972">
        <v>506.55329999999998</v>
      </c>
      <c r="R972">
        <v>506.55329999999998</v>
      </c>
    </row>
    <row r="973" spans="1:18" hidden="1" x14ac:dyDescent="0.25">
      <c r="A973" t="s">
        <v>1099</v>
      </c>
      <c r="B973" t="s">
        <v>37</v>
      </c>
      <c r="C973" t="s">
        <v>199</v>
      </c>
      <c r="D973" t="s">
        <v>27</v>
      </c>
      <c r="E973">
        <v>650.79300000000001</v>
      </c>
      <c r="F973">
        <v>0</v>
      </c>
      <c r="G973">
        <v>0</v>
      </c>
      <c r="H973">
        <v>0</v>
      </c>
      <c r="I973">
        <v>671.55</v>
      </c>
      <c r="J973">
        <v>0</v>
      </c>
      <c r="K973">
        <v>0</v>
      </c>
      <c r="L973">
        <v>0</v>
      </c>
      <c r="M973">
        <v>0</v>
      </c>
      <c r="N973">
        <v>641.02499999999998</v>
      </c>
      <c r="O973">
        <v>688.12699999999995</v>
      </c>
      <c r="P973">
        <v>631.61469999999997</v>
      </c>
      <c r="R973">
        <v>631.61469999999997</v>
      </c>
    </row>
    <row r="974" spans="1:18" hidden="1" x14ac:dyDescent="0.25">
      <c r="A974" t="s">
        <v>1100</v>
      </c>
      <c r="B974" t="s">
        <v>37</v>
      </c>
      <c r="C974" t="s">
        <v>199</v>
      </c>
      <c r="D974" t="s">
        <v>29</v>
      </c>
      <c r="E974">
        <v>369.96300000000002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388.584</v>
      </c>
      <c r="L974">
        <v>0</v>
      </c>
      <c r="M974">
        <v>0</v>
      </c>
      <c r="N974">
        <v>390.72</v>
      </c>
      <c r="O974">
        <v>362.03199999999998</v>
      </c>
      <c r="P974">
        <v>360.98059999999998</v>
      </c>
      <c r="R974">
        <v>360.98059999999998</v>
      </c>
    </row>
    <row r="975" spans="1:18" hidden="1" x14ac:dyDescent="0.25">
      <c r="A975" t="s">
        <v>1101</v>
      </c>
      <c r="B975" t="s">
        <v>37</v>
      </c>
      <c r="C975" t="s">
        <v>199</v>
      </c>
      <c r="D975" t="s">
        <v>31</v>
      </c>
      <c r="E975">
        <v>388.74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456.69490000000002</v>
      </c>
      <c r="L975">
        <v>0</v>
      </c>
      <c r="M975">
        <v>0</v>
      </c>
      <c r="N975">
        <v>476.19</v>
      </c>
      <c r="O975">
        <v>441.892</v>
      </c>
      <c r="P975">
        <v>392.16340000000002</v>
      </c>
      <c r="R975">
        <v>392.16340000000002</v>
      </c>
    </row>
    <row r="976" spans="1:18" hidden="1" x14ac:dyDescent="0.25">
      <c r="A976" t="s">
        <v>1102</v>
      </c>
      <c r="B976" t="s">
        <v>37</v>
      </c>
      <c r="C976" t="s">
        <v>199</v>
      </c>
      <c r="D976" t="s">
        <v>33</v>
      </c>
      <c r="E976">
        <v>469.88339999999999</v>
      </c>
      <c r="F976">
        <v>0</v>
      </c>
      <c r="G976">
        <v>429.18329999999997</v>
      </c>
      <c r="H976">
        <v>0</v>
      </c>
      <c r="I976">
        <v>482.16300000000001</v>
      </c>
      <c r="J976">
        <v>0</v>
      </c>
      <c r="K976">
        <v>485.19450000000001</v>
      </c>
      <c r="L976">
        <v>0</v>
      </c>
      <c r="M976">
        <v>0</v>
      </c>
      <c r="N976">
        <v>499.58699999999999</v>
      </c>
      <c r="O976">
        <v>449.87799999999999</v>
      </c>
      <c r="P976">
        <v>431.43060000000003</v>
      </c>
      <c r="R976">
        <v>431.43060000000003</v>
      </c>
    </row>
    <row r="977" spans="1:18" hidden="1" x14ac:dyDescent="0.25">
      <c r="A977" t="s">
        <v>1103</v>
      </c>
      <c r="B977" t="s">
        <v>37</v>
      </c>
      <c r="C977" t="s">
        <v>199</v>
      </c>
      <c r="D977" t="s">
        <v>35</v>
      </c>
      <c r="E977">
        <v>804.63900000000001</v>
      </c>
      <c r="F977">
        <v>0</v>
      </c>
      <c r="G977">
        <v>0</v>
      </c>
      <c r="H977">
        <v>0</v>
      </c>
      <c r="I977">
        <v>671.55</v>
      </c>
      <c r="J977">
        <v>0</v>
      </c>
      <c r="K977">
        <v>0</v>
      </c>
      <c r="L977">
        <v>0</v>
      </c>
      <c r="M977">
        <v>0</v>
      </c>
      <c r="N977">
        <v>671.55</v>
      </c>
      <c r="O977">
        <v>843.85400000000004</v>
      </c>
      <c r="P977">
        <v>660.90819999999997</v>
      </c>
      <c r="R977">
        <v>660.90819999999997</v>
      </c>
    </row>
    <row r="978" spans="1:18" hidden="1" x14ac:dyDescent="0.25">
      <c r="A978" t="s">
        <v>1104</v>
      </c>
      <c r="B978" t="s">
        <v>37</v>
      </c>
      <c r="C978" t="s">
        <v>208</v>
      </c>
      <c r="D978" t="s">
        <v>21</v>
      </c>
      <c r="E978">
        <v>100.3934</v>
      </c>
      <c r="F978">
        <v>0</v>
      </c>
      <c r="G978">
        <v>165.29329999999999</v>
      </c>
      <c r="H978">
        <v>0</v>
      </c>
      <c r="I978">
        <v>0</v>
      </c>
      <c r="J978">
        <v>0</v>
      </c>
      <c r="K978">
        <v>106.6695</v>
      </c>
      <c r="L978">
        <v>0</v>
      </c>
      <c r="M978">
        <v>0</v>
      </c>
      <c r="N978">
        <v>104.797</v>
      </c>
      <c r="O978">
        <v>113.13500000000001</v>
      </c>
      <c r="P978">
        <v>0</v>
      </c>
      <c r="Q978">
        <v>0</v>
      </c>
      <c r="R978">
        <v>0</v>
      </c>
    </row>
    <row r="979" spans="1:18" hidden="1" x14ac:dyDescent="0.25">
      <c r="A979" t="s">
        <v>1105</v>
      </c>
      <c r="B979" t="s">
        <v>37</v>
      </c>
      <c r="C979" t="s">
        <v>208</v>
      </c>
      <c r="D979" t="s">
        <v>23</v>
      </c>
      <c r="E979">
        <v>182.41659999999999</v>
      </c>
      <c r="F979">
        <v>0</v>
      </c>
      <c r="G979">
        <v>206.61670000000001</v>
      </c>
      <c r="H979">
        <v>0</v>
      </c>
      <c r="I979">
        <v>0</v>
      </c>
      <c r="J979">
        <v>0</v>
      </c>
      <c r="K979">
        <v>213.55950000000001</v>
      </c>
      <c r="L979">
        <v>0</v>
      </c>
      <c r="M979">
        <v>0</v>
      </c>
      <c r="N979">
        <v>221.76</v>
      </c>
      <c r="O979">
        <v>187.55</v>
      </c>
      <c r="P979">
        <v>177.41130000000001</v>
      </c>
      <c r="Q979">
        <v>0</v>
      </c>
      <c r="R979">
        <v>177.41130000000001</v>
      </c>
    </row>
    <row r="980" spans="1:18" hidden="1" x14ac:dyDescent="0.25">
      <c r="A980" t="s">
        <v>1106</v>
      </c>
      <c r="B980" t="s">
        <v>37</v>
      </c>
      <c r="C980" t="s">
        <v>208</v>
      </c>
      <c r="D980" t="s">
        <v>25</v>
      </c>
      <c r="E980">
        <v>187.44</v>
      </c>
      <c r="F980">
        <v>0</v>
      </c>
      <c r="G980">
        <v>216.04</v>
      </c>
      <c r="H980">
        <v>0</v>
      </c>
      <c r="I980">
        <v>0</v>
      </c>
      <c r="J980">
        <v>0</v>
      </c>
      <c r="K980">
        <v>224.7714</v>
      </c>
      <c r="L980">
        <v>0</v>
      </c>
      <c r="M980">
        <v>0</v>
      </c>
      <c r="N980">
        <v>246.4</v>
      </c>
      <c r="O980">
        <v>199.65</v>
      </c>
      <c r="P980">
        <v>182.64510000000001</v>
      </c>
      <c r="Q980">
        <v>0</v>
      </c>
      <c r="R980">
        <v>182.64510000000001</v>
      </c>
    </row>
    <row r="981" spans="1:18" hidden="1" x14ac:dyDescent="0.25">
      <c r="A981" t="s">
        <v>1107</v>
      </c>
      <c r="B981" t="s">
        <v>37</v>
      </c>
      <c r="C981" t="s">
        <v>208</v>
      </c>
      <c r="D981" t="s">
        <v>27</v>
      </c>
      <c r="E981">
        <v>260.04000000000002</v>
      </c>
      <c r="F981">
        <v>0</v>
      </c>
      <c r="G981">
        <v>343.64</v>
      </c>
      <c r="H981">
        <v>0</v>
      </c>
      <c r="I981">
        <v>324.94</v>
      </c>
      <c r="J981">
        <v>0</v>
      </c>
      <c r="K981">
        <v>0</v>
      </c>
      <c r="L981">
        <v>0</v>
      </c>
      <c r="M981">
        <v>0</v>
      </c>
      <c r="N981">
        <v>332.64</v>
      </c>
      <c r="O981">
        <v>272.85500000000002</v>
      </c>
      <c r="P981">
        <v>271.59120000000001</v>
      </c>
      <c r="Q981">
        <v>0</v>
      </c>
      <c r="R981">
        <v>271.59120000000001</v>
      </c>
    </row>
    <row r="982" spans="1:18" hidden="1" x14ac:dyDescent="0.25">
      <c r="A982" t="s">
        <v>1108</v>
      </c>
      <c r="B982" t="s">
        <v>37</v>
      </c>
      <c r="C982" t="s">
        <v>208</v>
      </c>
      <c r="D982" t="s">
        <v>29</v>
      </c>
      <c r="E982">
        <v>104.79340000000001</v>
      </c>
      <c r="F982">
        <v>108.416</v>
      </c>
      <c r="G982">
        <v>169.69329999999999</v>
      </c>
      <c r="H982">
        <v>0</v>
      </c>
      <c r="I982">
        <v>0</v>
      </c>
      <c r="J982">
        <v>0</v>
      </c>
      <c r="K982">
        <v>107.3835</v>
      </c>
      <c r="L982">
        <v>0</v>
      </c>
      <c r="M982">
        <v>0</v>
      </c>
      <c r="N982">
        <v>110.297</v>
      </c>
      <c r="O982">
        <v>133.1</v>
      </c>
      <c r="P982">
        <v>107.38</v>
      </c>
      <c r="Q982">
        <v>108.416</v>
      </c>
      <c r="R982">
        <v>107.38</v>
      </c>
    </row>
    <row r="983" spans="1:18" hidden="1" x14ac:dyDescent="0.25">
      <c r="A983" t="s">
        <v>1109</v>
      </c>
      <c r="B983" t="s">
        <v>37</v>
      </c>
      <c r="C983" t="s">
        <v>208</v>
      </c>
      <c r="D983" t="s">
        <v>31</v>
      </c>
      <c r="E983">
        <v>140.61660000000001</v>
      </c>
      <c r="F983">
        <v>135.52000000000001</v>
      </c>
      <c r="G983">
        <v>191.2167</v>
      </c>
      <c r="H983">
        <v>0</v>
      </c>
      <c r="I983">
        <v>156.19999999999999</v>
      </c>
      <c r="J983">
        <v>0</v>
      </c>
      <c r="K983">
        <v>149.97149999999999</v>
      </c>
      <c r="L983">
        <v>0</v>
      </c>
      <c r="M983">
        <v>0</v>
      </c>
      <c r="N983">
        <v>135.52000000000001</v>
      </c>
      <c r="O983">
        <v>142.78</v>
      </c>
      <c r="P983">
        <v>137.94</v>
      </c>
      <c r="Q983">
        <v>135.52000000000001</v>
      </c>
      <c r="R983">
        <v>137.94</v>
      </c>
    </row>
    <row r="984" spans="1:18" hidden="1" x14ac:dyDescent="0.25">
      <c r="A984" t="s">
        <v>1110</v>
      </c>
      <c r="B984" t="s">
        <v>37</v>
      </c>
      <c r="C984" t="s">
        <v>208</v>
      </c>
      <c r="D984" t="s">
        <v>33</v>
      </c>
      <c r="E984">
        <v>147.2166</v>
      </c>
      <c r="F984">
        <v>141.68</v>
      </c>
      <c r="G984">
        <v>182.41669999999999</v>
      </c>
      <c r="H984">
        <v>0</v>
      </c>
      <c r="I984">
        <v>156.19999999999999</v>
      </c>
      <c r="J984">
        <v>0</v>
      </c>
      <c r="K984">
        <v>154.17150000000001</v>
      </c>
      <c r="L984">
        <v>0</v>
      </c>
      <c r="M984">
        <v>0</v>
      </c>
      <c r="N984">
        <v>137.98400000000001</v>
      </c>
      <c r="O984">
        <v>142.78</v>
      </c>
      <c r="P984">
        <v>140.6962</v>
      </c>
      <c r="Q984">
        <v>141.68</v>
      </c>
      <c r="R984">
        <v>140.6962</v>
      </c>
    </row>
    <row r="985" spans="1:18" hidden="1" x14ac:dyDescent="0.25">
      <c r="A985" t="s">
        <v>1111</v>
      </c>
      <c r="B985" t="s">
        <v>37</v>
      </c>
      <c r="C985" t="s">
        <v>208</v>
      </c>
      <c r="D985" t="s">
        <v>35</v>
      </c>
      <c r="E985">
        <v>300.57499999999999</v>
      </c>
      <c r="F985">
        <v>0</v>
      </c>
      <c r="G985">
        <v>361.9</v>
      </c>
      <c r="H985">
        <v>0</v>
      </c>
      <c r="I985">
        <v>297.55</v>
      </c>
      <c r="J985">
        <v>0</v>
      </c>
      <c r="K985">
        <v>0</v>
      </c>
      <c r="L985">
        <v>0</v>
      </c>
      <c r="M985">
        <v>0</v>
      </c>
      <c r="N985">
        <v>344.96</v>
      </c>
      <c r="O985">
        <v>324.76400000000001</v>
      </c>
      <c r="P985">
        <v>309.26150000000001</v>
      </c>
      <c r="Q985">
        <v>0</v>
      </c>
      <c r="R985">
        <v>309.26150000000001</v>
      </c>
    </row>
    <row r="986" spans="1:18" hidden="1" x14ac:dyDescent="0.25">
      <c r="A986" t="s">
        <v>1112</v>
      </c>
      <c r="B986" t="s">
        <v>37</v>
      </c>
      <c r="C986" t="s">
        <v>217</v>
      </c>
      <c r="D986" t="s">
        <v>21</v>
      </c>
      <c r="E986">
        <v>100.122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107.8717</v>
      </c>
      <c r="L986">
        <v>0</v>
      </c>
      <c r="M986">
        <v>0</v>
      </c>
      <c r="N986">
        <v>109.89</v>
      </c>
      <c r="O986">
        <v>110.473</v>
      </c>
      <c r="P986">
        <v>0</v>
      </c>
      <c r="Q986">
        <v>0</v>
      </c>
      <c r="R986">
        <v>0</v>
      </c>
    </row>
    <row r="987" spans="1:18" hidden="1" x14ac:dyDescent="0.25">
      <c r="A987" t="s">
        <v>1113</v>
      </c>
      <c r="B987" t="s">
        <v>37</v>
      </c>
      <c r="C987" t="s">
        <v>217</v>
      </c>
      <c r="D987" t="s">
        <v>23</v>
      </c>
      <c r="E987">
        <v>180.0334</v>
      </c>
      <c r="F987">
        <v>0</v>
      </c>
      <c r="G987">
        <v>214.13329999999999</v>
      </c>
      <c r="H987">
        <v>0</v>
      </c>
      <c r="I987">
        <v>0</v>
      </c>
      <c r="J987">
        <v>0</v>
      </c>
      <c r="K987">
        <v>225.9915</v>
      </c>
      <c r="L987">
        <v>0</v>
      </c>
      <c r="M987">
        <v>0</v>
      </c>
      <c r="N987">
        <v>234.08</v>
      </c>
      <c r="O987">
        <v>190.333</v>
      </c>
      <c r="P987">
        <v>187.16229999999999</v>
      </c>
      <c r="Q987">
        <v>0</v>
      </c>
      <c r="R987">
        <v>187.16220000000001</v>
      </c>
    </row>
    <row r="988" spans="1:18" hidden="1" x14ac:dyDescent="0.25">
      <c r="A988" t="s">
        <v>1114</v>
      </c>
      <c r="B988" t="s">
        <v>37</v>
      </c>
      <c r="C988" t="s">
        <v>217</v>
      </c>
      <c r="D988" t="s">
        <v>25</v>
      </c>
      <c r="E988">
        <v>198.66</v>
      </c>
      <c r="F988">
        <v>0</v>
      </c>
      <c r="G988">
        <v>233.86</v>
      </c>
      <c r="H988">
        <v>0</v>
      </c>
      <c r="I988">
        <v>0</v>
      </c>
      <c r="J988">
        <v>0</v>
      </c>
      <c r="K988">
        <v>239.68979999999999</v>
      </c>
      <c r="L988">
        <v>0</v>
      </c>
      <c r="M988">
        <v>0</v>
      </c>
      <c r="N988">
        <v>246.4</v>
      </c>
      <c r="O988">
        <v>222.27699999999999</v>
      </c>
      <c r="P988">
        <v>203.2389</v>
      </c>
      <c r="Q988">
        <v>0</v>
      </c>
      <c r="R988">
        <v>203.2389</v>
      </c>
    </row>
    <row r="989" spans="1:18" hidden="1" x14ac:dyDescent="0.25">
      <c r="A989" t="s">
        <v>1115</v>
      </c>
      <c r="B989" t="s">
        <v>37</v>
      </c>
      <c r="C989" t="s">
        <v>217</v>
      </c>
      <c r="D989" t="s">
        <v>27</v>
      </c>
      <c r="E989">
        <v>236.06</v>
      </c>
      <c r="F989">
        <v>0</v>
      </c>
      <c r="G989">
        <v>339.46</v>
      </c>
      <c r="H989">
        <v>305.25</v>
      </c>
      <c r="I989">
        <v>299.86</v>
      </c>
      <c r="J989">
        <v>0</v>
      </c>
      <c r="K989">
        <v>0</v>
      </c>
      <c r="L989">
        <v>0</v>
      </c>
      <c r="M989">
        <v>280.26900000000001</v>
      </c>
      <c r="N989">
        <v>308</v>
      </c>
      <c r="O989">
        <v>242.24199999999999</v>
      </c>
      <c r="P989">
        <v>241.71940000000001</v>
      </c>
      <c r="Q989">
        <v>0</v>
      </c>
      <c r="R989">
        <v>241.71940000000001</v>
      </c>
    </row>
    <row r="990" spans="1:18" hidden="1" x14ac:dyDescent="0.25">
      <c r="A990" t="s">
        <v>1116</v>
      </c>
      <c r="B990" t="s">
        <v>37</v>
      </c>
      <c r="C990" t="s">
        <v>217</v>
      </c>
      <c r="D990" t="s">
        <v>29</v>
      </c>
      <c r="E990">
        <v>115.995</v>
      </c>
      <c r="F990">
        <v>145.19999999999999</v>
      </c>
      <c r="G990">
        <v>0</v>
      </c>
      <c r="H990">
        <v>0</v>
      </c>
      <c r="I990">
        <v>0</v>
      </c>
      <c r="J990">
        <v>0</v>
      </c>
      <c r="K990">
        <v>146.42779999999999</v>
      </c>
      <c r="L990">
        <v>0</v>
      </c>
      <c r="M990">
        <v>0</v>
      </c>
      <c r="N990">
        <v>146.52000000000001</v>
      </c>
      <c r="O990">
        <v>146.41</v>
      </c>
      <c r="P990">
        <v>124.1335</v>
      </c>
      <c r="Q990">
        <v>145.19999999999999</v>
      </c>
      <c r="R990">
        <v>124.1335</v>
      </c>
    </row>
    <row r="991" spans="1:18" hidden="1" x14ac:dyDescent="0.25">
      <c r="A991" t="s">
        <v>1117</v>
      </c>
      <c r="B991" t="s">
        <v>37</v>
      </c>
      <c r="C991" t="s">
        <v>217</v>
      </c>
      <c r="D991" t="s">
        <v>31</v>
      </c>
      <c r="E991">
        <v>153.63339999999999</v>
      </c>
      <c r="F991">
        <v>181.5</v>
      </c>
      <c r="G991">
        <v>191.0333</v>
      </c>
      <c r="H991">
        <v>0</v>
      </c>
      <c r="I991">
        <v>169.21299999999999</v>
      </c>
      <c r="J991">
        <v>0</v>
      </c>
      <c r="K991">
        <v>169.3545</v>
      </c>
      <c r="L991">
        <v>0</v>
      </c>
      <c r="M991">
        <v>0</v>
      </c>
      <c r="N991">
        <v>172.48</v>
      </c>
      <c r="O991">
        <v>162.38200000000001</v>
      </c>
      <c r="P991">
        <v>157.7474</v>
      </c>
      <c r="Q991">
        <v>181.5</v>
      </c>
      <c r="R991">
        <v>157.7474</v>
      </c>
    </row>
    <row r="992" spans="1:18" hidden="1" x14ac:dyDescent="0.25">
      <c r="A992" t="s">
        <v>1118</v>
      </c>
      <c r="B992" t="s">
        <v>37</v>
      </c>
      <c r="C992" t="s">
        <v>217</v>
      </c>
      <c r="D992" t="s">
        <v>33</v>
      </c>
      <c r="E992">
        <v>169.0334</v>
      </c>
      <c r="F992">
        <v>193.6</v>
      </c>
      <c r="G992">
        <v>196.5333</v>
      </c>
      <c r="H992">
        <v>0</v>
      </c>
      <c r="I992">
        <v>169.21299999999999</v>
      </c>
      <c r="J992">
        <v>0</v>
      </c>
      <c r="K992">
        <v>182.3115</v>
      </c>
      <c r="L992">
        <v>0</v>
      </c>
      <c r="M992">
        <v>0</v>
      </c>
      <c r="N992">
        <v>190.96</v>
      </c>
      <c r="O992">
        <v>174.36099999999999</v>
      </c>
      <c r="P992">
        <v>170.1267</v>
      </c>
      <c r="Q992">
        <v>193.6</v>
      </c>
      <c r="R992">
        <v>170.1266</v>
      </c>
    </row>
    <row r="993" spans="1:18" hidden="1" x14ac:dyDescent="0.25">
      <c r="A993" t="s">
        <v>1119</v>
      </c>
      <c r="B993" t="s">
        <v>37</v>
      </c>
      <c r="C993" t="s">
        <v>217</v>
      </c>
      <c r="D993" t="s">
        <v>35</v>
      </c>
      <c r="E993">
        <v>267.399</v>
      </c>
      <c r="F993">
        <v>0</v>
      </c>
      <c r="G993">
        <v>0</v>
      </c>
      <c r="H993">
        <v>305.25</v>
      </c>
      <c r="I993">
        <v>305.25</v>
      </c>
      <c r="J993">
        <v>0</v>
      </c>
      <c r="K993">
        <v>0</v>
      </c>
      <c r="L993">
        <v>0</v>
      </c>
      <c r="M993">
        <v>298.76549999999997</v>
      </c>
      <c r="N993">
        <v>317.45999999999998</v>
      </c>
      <c r="O993">
        <v>270.19299999999998</v>
      </c>
      <c r="P993">
        <v>269.39010000000002</v>
      </c>
      <c r="Q993">
        <v>0</v>
      </c>
      <c r="R993">
        <v>269.39010000000002</v>
      </c>
    </row>
    <row r="994" spans="1:18" hidden="1" x14ac:dyDescent="0.25">
      <c r="A994" t="s">
        <v>1120</v>
      </c>
      <c r="B994" t="s">
        <v>37</v>
      </c>
      <c r="C994" t="s">
        <v>1121</v>
      </c>
      <c r="D994" t="s">
        <v>21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R994">
        <v>0</v>
      </c>
    </row>
    <row r="995" spans="1:18" hidden="1" x14ac:dyDescent="0.25">
      <c r="A995" t="s">
        <v>1122</v>
      </c>
      <c r="B995" t="s">
        <v>37</v>
      </c>
      <c r="C995" t="s">
        <v>1121</v>
      </c>
      <c r="D995" t="s">
        <v>23</v>
      </c>
      <c r="E995">
        <v>328.9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R995">
        <v>0</v>
      </c>
    </row>
    <row r="996" spans="1:18" hidden="1" x14ac:dyDescent="0.25">
      <c r="A996" t="s">
        <v>1123</v>
      </c>
      <c r="B996" t="s">
        <v>37</v>
      </c>
      <c r="C996" t="s">
        <v>1121</v>
      </c>
      <c r="D996" t="s">
        <v>25</v>
      </c>
      <c r="E996">
        <v>375.1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R996">
        <v>0</v>
      </c>
    </row>
    <row r="997" spans="1:18" hidden="1" x14ac:dyDescent="0.25">
      <c r="A997" t="s">
        <v>1124</v>
      </c>
      <c r="B997" t="s">
        <v>37</v>
      </c>
      <c r="C997" t="s">
        <v>1121</v>
      </c>
      <c r="D997" t="s">
        <v>27</v>
      </c>
      <c r="E997">
        <v>390.5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R997">
        <v>0</v>
      </c>
    </row>
    <row r="998" spans="1:18" hidden="1" x14ac:dyDescent="0.25">
      <c r="A998" t="s">
        <v>1125</v>
      </c>
      <c r="B998" t="s">
        <v>37</v>
      </c>
      <c r="C998" t="s">
        <v>1121</v>
      </c>
      <c r="D998" t="s">
        <v>29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R998">
        <v>0</v>
      </c>
    </row>
    <row r="999" spans="1:18" hidden="1" x14ac:dyDescent="0.25">
      <c r="A999" t="s">
        <v>1126</v>
      </c>
      <c r="B999" t="s">
        <v>37</v>
      </c>
      <c r="C999" t="s">
        <v>1121</v>
      </c>
      <c r="D999" t="s">
        <v>31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R999">
        <v>0</v>
      </c>
    </row>
    <row r="1000" spans="1:18" hidden="1" x14ac:dyDescent="0.25">
      <c r="A1000" t="s">
        <v>1127</v>
      </c>
      <c r="B1000" t="s">
        <v>37</v>
      </c>
      <c r="C1000" t="s">
        <v>1121</v>
      </c>
      <c r="D1000" t="s">
        <v>33</v>
      </c>
      <c r="E1000">
        <v>289.3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R1000">
        <v>0</v>
      </c>
    </row>
    <row r="1001" spans="1:18" hidden="1" x14ac:dyDescent="0.25">
      <c r="A1001" t="s">
        <v>1128</v>
      </c>
      <c r="B1001" t="s">
        <v>37</v>
      </c>
      <c r="C1001" t="s">
        <v>1121</v>
      </c>
      <c r="D1001" t="s">
        <v>35</v>
      </c>
      <c r="E1001">
        <v>412.5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R1001">
        <v>0</v>
      </c>
    </row>
    <row r="1002" spans="1:18" hidden="1" x14ac:dyDescent="0.25">
      <c r="A1002" t="s">
        <v>1129</v>
      </c>
      <c r="B1002" t="s">
        <v>37</v>
      </c>
      <c r="C1002" t="s">
        <v>226</v>
      </c>
      <c r="D1002" t="s">
        <v>21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</row>
    <row r="1003" spans="1:18" hidden="1" x14ac:dyDescent="0.25">
      <c r="A1003" t="s">
        <v>1130</v>
      </c>
      <c r="B1003" t="s">
        <v>37</v>
      </c>
      <c r="C1003" t="s">
        <v>226</v>
      </c>
      <c r="D1003" t="s">
        <v>23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271.40940000000001</v>
      </c>
      <c r="Q1003">
        <v>0</v>
      </c>
      <c r="R1003">
        <v>271.40940000000001</v>
      </c>
    </row>
    <row r="1004" spans="1:18" hidden="1" x14ac:dyDescent="0.25">
      <c r="A1004" t="s">
        <v>1131</v>
      </c>
      <c r="B1004" t="s">
        <v>37</v>
      </c>
      <c r="C1004" t="s">
        <v>226</v>
      </c>
      <c r="D1004" t="s">
        <v>25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298.995</v>
      </c>
      <c r="Q1004">
        <v>0</v>
      </c>
      <c r="R1004">
        <v>298.995</v>
      </c>
    </row>
    <row r="1005" spans="1:18" hidden="1" x14ac:dyDescent="0.25">
      <c r="A1005" t="s">
        <v>1132</v>
      </c>
      <c r="B1005" t="s">
        <v>37</v>
      </c>
      <c r="C1005" t="s">
        <v>226</v>
      </c>
      <c r="D1005" t="s">
        <v>27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389.55509999999998</v>
      </c>
      <c r="N1005">
        <v>0</v>
      </c>
      <c r="O1005">
        <v>0</v>
      </c>
      <c r="P1005">
        <v>371.26940000000002</v>
      </c>
      <c r="Q1005">
        <v>0</v>
      </c>
      <c r="R1005">
        <v>371.26940000000002</v>
      </c>
    </row>
    <row r="1006" spans="1:18" hidden="1" x14ac:dyDescent="0.25">
      <c r="A1006" t="s">
        <v>1133</v>
      </c>
      <c r="B1006" t="s">
        <v>37</v>
      </c>
      <c r="C1006" t="s">
        <v>226</v>
      </c>
      <c r="D1006" t="s">
        <v>29</v>
      </c>
      <c r="E1006">
        <v>0</v>
      </c>
      <c r="F1006">
        <v>210.28700000000001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179.0874</v>
      </c>
      <c r="Q1006">
        <v>210.28700000000001</v>
      </c>
      <c r="R1006">
        <v>179.0873</v>
      </c>
    </row>
    <row r="1007" spans="1:18" hidden="1" x14ac:dyDescent="0.25">
      <c r="A1007" t="s">
        <v>1134</v>
      </c>
      <c r="B1007" t="s">
        <v>37</v>
      </c>
      <c r="C1007" t="s">
        <v>226</v>
      </c>
      <c r="D1007" t="s">
        <v>31</v>
      </c>
      <c r="E1007">
        <v>0</v>
      </c>
      <c r="F1007">
        <v>267.41000000000003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218.69049999999999</v>
      </c>
      <c r="Q1007">
        <v>267.41000000000003</v>
      </c>
      <c r="R1007">
        <v>218.69049999999999</v>
      </c>
    </row>
    <row r="1008" spans="1:18" hidden="1" x14ac:dyDescent="0.25">
      <c r="A1008" t="s">
        <v>1135</v>
      </c>
      <c r="B1008" t="s">
        <v>37</v>
      </c>
      <c r="C1008" t="s">
        <v>226</v>
      </c>
      <c r="D1008" t="s">
        <v>33</v>
      </c>
      <c r="E1008">
        <v>0</v>
      </c>
      <c r="F1008">
        <v>285.64800000000002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240.90289999999999</v>
      </c>
      <c r="Q1008">
        <v>285.64800000000002</v>
      </c>
      <c r="R1008">
        <v>240.90289999999999</v>
      </c>
    </row>
    <row r="1009" spans="1:21" hidden="1" x14ac:dyDescent="0.25">
      <c r="A1009" t="s">
        <v>1136</v>
      </c>
      <c r="B1009" t="s">
        <v>37</v>
      </c>
      <c r="C1009" t="s">
        <v>226</v>
      </c>
      <c r="D1009" t="s">
        <v>35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413.3811</v>
      </c>
      <c r="N1009">
        <v>0</v>
      </c>
      <c r="O1009">
        <v>0</v>
      </c>
      <c r="P1009">
        <v>406.79320000000001</v>
      </c>
      <c r="Q1009">
        <v>0</v>
      </c>
      <c r="R1009">
        <v>406.79320000000001</v>
      </c>
    </row>
    <row r="1010" spans="1:21" hidden="1" x14ac:dyDescent="0.25">
      <c r="A1010" t="s">
        <v>1137</v>
      </c>
      <c r="B1010" t="s">
        <v>37</v>
      </c>
      <c r="C1010" t="s">
        <v>235</v>
      </c>
      <c r="D1010" t="s">
        <v>21</v>
      </c>
      <c r="E1010">
        <v>376.2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355.93430000000001</v>
      </c>
      <c r="L1010">
        <v>0</v>
      </c>
      <c r="M1010">
        <v>0</v>
      </c>
      <c r="N1010">
        <v>366.3</v>
      </c>
      <c r="O1010">
        <v>415.27199999999999</v>
      </c>
      <c r="P1010">
        <v>0</v>
      </c>
      <c r="R1010">
        <v>0</v>
      </c>
    </row>
    <row r="1011" spans="1:21" hidden="1" x14ac:dyDescent="0.25">
      <c r="A1011" t="s">
        <v>1138</v>
      </c>
      <c r="B1011" t="s">
        <v>37</v>
      </c>
      <c r="C1011" t="s">
        <v>235</v>
      </c>
      <c r="D1011" t="s">
        <v>23</v>
      </c>
      <c r="E1011">
        <v>564.29999999999995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561.42449999999997</v>
      </c>
      <c r="L1011">
        <v>0</v>
      </c>
      <c r="M1011">
        <v>0</v>
      </c>
      <c r="N1011">
        <v>525.03</v>
      </c>
      <c r="O1011">
        <v>670.82399999999996</v>
      </c>
      <c r="P1011">
        <v>542.83150000000001</v>
      </c>
      <c r="R1011">
        <v>542.83150000000001</v>
      </c>
      <c r="T1011">
        <v>15</v>
      </c>
    </row>
    <row r="1012" spans="1:21" hidden="1" x14ac:dyDescent="0.25">
      <c r="A1012" t="s">
        <v>1139</v>
      </c>
      <c r="B1012" t="s">
        <v>37</v>
      </c>
      <c r="C1012" t="s">
        <v>235</v>
      </c>
      <c r="D1012" t="s">
        <v>25</v>
      </c>
      <c r="E1012">
        <v>619.476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642.20939999999996</v>
      </c>
      <c r="L1012">
        <v>0</v>
      </c>
      <c r="M1012">
        <v>0</v>
      </c>
      <c r="N1012">
        <v>573.87</v>
      </c>
      <c r="O1012">
        <v>807.91700000000003</v>
      </c>
      <c r="P1012">
        <v>590.32050000000004</v>
      </c>
      <c r="R1012">
        <v>590.32050000000004</v>
      </c>
      <c r="T1012" s="180">
        <f>+TABU_MASTER[[#This Row],[TRANSFREMEC]]*2</f>
        <v>1180.6410000000001</v>
      </c>
      <c r="U1012">
        <f>+T1012-I1017</f>
        <v>319.83600000000013</v>
      </c>
    </row>
    <row r="1013" spans="1:21" hidden="1" x14ac:dyDescent="0.25">
      <c r="A1013" t="s">
        <v>1140</v>
      </c>
      <c r="B1013" t="s">
        <v>37</v>
      </c>
      <c r="C1013" t="s">
        <v>235</v>
      </c>
      <c r="D1013" t="s">
        <v>27</v>
      </c>
      <c r="E1013">
        <v>767.44799999999998</v>
      </c>
      <c r="F1013">
        <v>0</v>
      </c>
      <c r="G1013">
        <v>0</v>
      </c>
      <c r="H1013">
        <v>0</v>
      </c>
      <c r="I1013">
        <v>860.80499999999995</v>
      </c>
      <c r="J1013">
        <v>0</v>
      </c>
      <c r="K1013">
        <v>0</v>
      </c>
      <c r="L1013">
        <v>0</v>
      </c>
      <c r="M1013">
        <v>0</v>
      </c>
      <c r="N1013">
        <v>769.23</v>
      </c>
      <c r="O1013">
        <v>914.39700000000005</v>
      </c>
      <c r="P1013">
        <v>771.51099999999997</v>
      </c>
      <c r="R1013">
        <v>771.51099999999997</v>
      </c>
    </row>
    <row r="1014" spans="1:21" hidden="1" x14ac:dyDescent="0.25">
      <c r="A1014" t="s">
        <v>1141</v>
      </c>
      <c r="B1014" t="s">
        <v>37</v>
      </c>
      <c r="C1014" t="s">
        <v>235</v>
      </c>
      <c r="D1014" t="s">
        <v>29</v>
      </c>
      <c r="E1014">
        <v>426.36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388.584</v>
      </c>
      <c r="L1014">
        <v>0</v>
      </c>
      <c r="M1014">
        <v>0</v>
      </c>
      <c r="N1014">
        <v>384.61500000000001</v>
      </c>
      <c r="O1014">
        <v>532.4</v>
      </c>
      <c r="P1014">
        <v>388.84030000000001</v>
      </c>
      <c r="R1014">
        <v>388.84030000000001</v>
      </c>
    </row>
    <row r="1015" spans="1:21" hidden="1" x14ac:dyDescent="0.25">
      <c r="A1015" t="s">
        <v>1142</v>
      </c>
      <c r="B1015" t="s">
        <v>37</v>
      </c>
      <c r="C1015" t="s">
        <v>235</v>
      </c>
      <c r="D1015" t="s">
        <v>31</v>
      </c>
      <c r="E1015">
        <v>485.1</v>
      </c>
      <c r="F1015">
        <v>0</v>
      </c>
      <c r="G1015">
        <v>636.9</v>
      </c>
      <c r="H1015">
        <v>0</v>
      </c>
      <c r="I1015">
        <v>503.98700000000002</v>
      </c>
      <c r="J1015">
        <v>0</v>
      </c>
      <c r="K1015">
        <v>483.65100000000001</v>
      </c>
      <c r="L1015">
        <v>0</v>
      </c>
      <c r="M1015">
        <v>0</v>
      </c>
      <c r="N1015">
        <v>477.4</v>
      </c>
      <c r="O1015">
        <v>614.92200000000003</v>
      </c>
      <c r="P1015">
        <v>451.70330000000001</v>
      </c>
      <c r="R1015">
        <v>451.70330000000001</v>
      </c>
      <c r="T1015">
        <v>10</v>
      </c>
    </row>
    <row r="1016" spans="1:21" hidden="1" x14ac:dyDescent="0.25">
      <c r="A1016" t="s">
        <v>1143</v>
      </c>
      <c r="B1016" t="s">
        <v>37</v>
      </c>
      <c r="C1016" t="s">
        <v>235</v>
      </c>
      <c r="D1016" t="s">
        <v>33</v>
      </c>
      <c r="E1016">
        <v>501.6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493.66800000000001</v>
      </c>
      <c r="L1016">
        <v>0</v>
      </c>
      <c r="M1016">
        <v>0</v>
      </c>
      <c r="N1016">
        <v>476.19</v>
      </c>
      <c r="O1016">
        <v>630.89400000000001</v>
      </c>
      <c r="P1016">
        <v>479.15339999999998</v>
      </c>
      <c r="R1016">
        <v>479.15339999999998</v>
      </c>
      <c r="T1016">
        <f>+TABU_MASTER[[#This Row],[TRANSFREMEC]]*3</f>
        <v>1437.4602</v>
      </c>
      <c r="U1016">
        <f>+T1016-I1017</f>
        <v>576.65520000000004</v>
      </c>
    </row>
    <row r="1017" spans="1:21" hidden="1" x14ac:dyDescent="0.25">
      <c r="A1017" t="s">
        <v>1144</v>
      </c>
      <c r="B1017" t="s">
        <v>37</v>
      </c>
      <c r="C1017" t="s">
        <v>235</v>
      </c>
      <c r="D1017" t="s">
        <v>35</v>
      </c>
      <c r="E1017">
        <v>792.52800000000002</v>
      </c>
      <c r="F1017">
        <v>0</v>
      </c>
      <c r="G1017">
        <v>0</v>
      </c>
      <c r="H1017">
        <v>0</v>
      </c>
      <c r="I1017">
        <v>860.80499999999995</v>
      </c>
      <c r="J1017">
        <v>0</v>
      </c>
      <c r="K1017">
        <v>0</v>
      </c>
      <c r="L1017">
        <v>0</v>
      </c>
      <c r="M1017">
        <v>0</v>
      </c>
      <c r="N1017">
        <v>793.65</v>
      </c>
      <c r="O1017">
        <v>976.95399999999995</v>
      </c>
      <c r="P1017">
        <v>796.59100000000001</v>
      </c>
      <c r="R1017">
        <v>796.59100000000001</v>
      </c>
    </row>
    <row r="1018" spans="1:21" hidden="1" x14ac:dyDescent="0.25">
      <c r="A1018" t="s">
        <v>1145</v>
      </c>
      <c r="B1018" t="s">
        <v>37</v>
      </c>
      <c r="C1018" t="s">
        <v>244</v>
      </c>
      <c r="D1018" t="s">
        <v>21</v>
      </c>
      <c r="E1018">
        <v>112.42</v>
      </c>
      <c r="F1018">
        <v>0</v>
      </c>
      <c r="G1018">
        <v>181.72</v>
      </c>
      <c r="H1018">
        <v>0</v>
      </c>
      <c r="I1018">
        <v>0</v>
      </c>
      <c r="J1018">
        <v>0</v>
      </c>
      <c r="K1018">
        <v>121.63200000000001</v>
      </c>
      <c r="L1018">
        <v>0</v>
      </c>
      <c r="M1018">
        <v>0</v>
      </c>
      <c r="N1018">
        <v>124.52</v>
      </c>
      <c r="O1018">
        <v>107.81100000000001</v>
      </c>
      <c r="P1018">
        <v>0</v>
      </c>
      <c r="Q1018">
        <v>0</v>
      </c>
      <c r="R1018">
        <v>0</v>
      </c>
    </row>
    <row r="1019" spans="1:21" hidden="1" x14ac:dyDescent="0.25">
      <c r="A1019" t="s">
        <v>1146</v>
      </c>
      <c r="B1019" t="s">
        <v>37</v>
      </c>
      <c r="C1019" t="s">
        <v>244</v>
      </c>
      <c r="D1019" t="s">
        <v>23</v>
      </c>
      <c r="E1019">
        <v>189.75</v>
      </c>
      <c r="F1019">
        <v>0</v>
      </c>
      <c r="G1019">
        <v>229.35</v>
      </c>
      <c r="H1019">
        <v>0</v>
      </c>
      <c r="I1019">
        <v>0</v>
      </c>
      <c r="J1019">
        <v>0</v>
      </c>
      <c r="K1019">
        <v>243.369</v>
      </c>
      <c r="L1019">
        <v>0</v>
      </c>
      <c r="M1019">
        <v>0</v>
      </c>
      <c r="N1019">
        <v>258.72000000000003</v>
      </c>
      <c r="O1019">
        <v>206.30500000000001</v>
      </c>
      <c r="P1019">
        <v>196.95779999999999</v>
      </c>
      <c r="Q1019">
        <v>0</v>
      </c>
      <c r="R1019">
        <v>196.95769999999999</v>
      </c>
    </row>
    <row r="1020" spans="1:21" hidden="1" x14ac:dyDescent="0.25">
      <c r="A1020" t="s">
        <v>1147</v>
      </c>
      <c r="B1020" t="s">
        <v>37</v>
      </c>
      <c r="C1020" t="s">
        <v>244</v>
      </c>
      <c r="D1020" t="s">
        <v>25</v>
      </c>
      <c r="E1020">
        <v>216.48</v>
      </c>
      <c r="F1020">
        <v>0</v>
      </c>
      <c r="G1020">
        <v>251.68</v>
      </c>
      <c r="H1020">
        <v>0</v>
      </c>
      <c r="I1020">
        <v>0</v>
      </c>
      <c r="J1020">
        <v>0</v>
      </c>
      <c r="K1020">
        <v>260.5428</v>
      </c>
      <c r="L1020">
        <v>0</v>
      </c>
      <c r="M1020">
        <v>0</v>
      </c>
      <c r="N1020">
        <v>283.36</v>
      </c>
      <c r="O1020">
        <v>248.89699999999999</v>
      </c>
      <c r="P1020">
        <v>205.8723</v>
      </c>
      <c r="Q1020">
        <v>0</v>
      </c>
      <c r="R1020">
        <v>214.489</v>
      </c>
    </row>
    <row r="1021" spans="1:21" hidden="1" x14ac:dyDescent="0.25">
      <c r="A1021" t="s">
        <v>1148</v>
      </c>
      <c r="B1021" t="s">
        <v>37</v>
      </c>
      <c r="C1021" t="s">
        <v>244</v>
      </c>
      <c r="D1021" t="s">
        <v>27</v>
      </c>
      <c r="E1021">
        <v>276.98</v>
      </c>
      <c r="F1021">
        <v>0</v>
      </c>
      <c r="G1021">
        <v>359.48</v>
      </c>
      <c r="H1021">
        <v>0</v>
      </c>
      <c r="I1021">
        <v>346.28</v>
      </c>
      <c r="J1021">
        <v>0</v>
      </c>
      <c r="K1021">
        <v>0</v>
      </c>
      <c r="L1021">
        <v>0</v>
      </c>
      <c r="M1021">
        <v>0</v>
      </c>
      <c r="N1021">
        <v>332.64</v>
      </c>
      <c r="O1021">
        <v>286.16500000000002</v>
      </c>
      <c r="P1021">
        <v>285.11009999999999</v>
      </c>
      <c r="Q1021">
        <v>0</v>
      </c>
      <c r="R1021">
        <v>285.11</v>
      </c>
    </row>
    <row r="1022" spans="1:21" hidden="1" x14ac:dyDescent="0.25">
      <c r="A1022" t="s">
        <v>1149</v>
      </c>
      <c r="B1022" t="s">
        <v>37</v>
      </c>
      <c r="C1022" t="s">
        <v>244</v>
      </c>
      <c r="D1022" t="s">
        <v>29</v>
      </c>
      <c r="E1022">
        <v>115.72</v>
      </c>
      <c r="F1022">
        <v>123.959</v>
      </c>
      <c r="G1022">
        <v>187.22</v>
      </c>
      <c r="H1022">
        <v>0</v>
      </c>
      <c r="I1022">
        <v>0</v>
      </c>
      <c r="J1022">
        <v>0</v>
      </c>
      <c r="K1022">
        <v>133.518</v>
      </c>
      <c r="L1022">
        <v>0</v>
      </c>
      <c r="M1022">
        <v>0</v>
      </c>
      <c r="N1022">
        <v>135.52000000000001</v>
      </c>
      <c r="O1022">
        <v>146.41</v>
      </c>
      <c r="P1022">
        <v>117.4747</v>
      </c>
      <c r="Q1022">
        <v>123.959</v>
      </c>
      <c r="R1022">
        <v>117.4747</v>
      </c>
    </row>
    <row r="1023" spans="1:21" hidden="1" x14ac:dyDescent="0.25">
      <c r="A1023" t="s">
        <v>1150</v>
      </c>
      <c r="B1023" t="s">
        <v>37</v>
      </c>
      <c r="C1023" t="s">
        <v>244</v>
      </c>
      <c r="D1023" t="s">
        <v>31</v>
      </c>
      <c r="E1023">
        <v>155.65</v>
      </c>
      <c r="F1023">
        <v>161.15</v>
      </c>
      <c r="G1023">
        <v>205.15</v>
      </c>
      <c r="H1023">
        <v>0</v>
      </c>
      <c r="I1023">
        <v>176.73699999999999</v>
      </c>
      <c r="J1023">
        <v>0</v>
      </c>
      <c r="K1023">
        <v>176.52600000000001</v>
      </c>
      <c r="L1023">
        <v>0</v>
      </c>
      <c r="M1023">
        <v>0</v>
      </c>
      <c r="N1023">
        <v>178.64</v>
      </c>
      <c r="O1023">
        <v>166.375</v>
      </c>
      <c r="P1023">
        <v>158.25479999999999</v>
      </c>
      <c r="Q1023">
        <v>161.15</v>
      </c>
      <c r="R1023">
        <v>158.25479999999999</v>
      </c>
    </row>
    <row r="1024" spans="1:21" hidden="1" x14ac:dyDescent="0.25">
      <c r="A1024" t="s">
        <v>1151</v>
      </c>
      <c r="B1024" t="s">
        <v>37</v>
      </c>
      <c r="C1024" t="s">
        <v>244</v>
      </c>
      <c r="D1024" t="s">
        <v>33</v>
      </c>
      <c r="E1024">
        <v>175.45</v>
      </c>
      <c r="F1024">
        <v>193.38</v>
      </c>
      <c r="G1024">
        <v>211.75</v>
      </c>
      <c r="H1024">
        <v>0</v>
      </c>
      <c r="I1024">
        <v>176.73699999999999</v>
      </c>
      <c r="J1024">
        <v>0</v>
      </c>
      <c r="K1024">
        <v>193.64099999999999</v>
      </c>
      <c r="L1024">
        <v>0</v>
      </c>
      <c r="M1024">
        <v>0</v>
      </c>
      <c r="N1024">
        <v>195.36</v>
      </c>
      <c r="O1024">
        <v>182.34700000000001</v>
      </c>
      <c r="P1024">
        <v>176.46289999999999</v>
      </c>
      <c r="Q1024">
        <v>193.38</v>
      </c>
      <c r="R1024">
        <v>176.46289999999999</v>
      </c>
    </row>
    <row r="1025" spans="1:18" hidden="1" x14ac:dyDescent="0.25">
      <c r="A1025" t="s">
        <v>1152</v>
      </c>
      <c r="B1025" t="s">
        <v>37</v>
      </c>
      <c r="C1025" t="s">
        <v>244</v>
      </c>
      <c r="D1025" t="s">
        <v>35</v>
      </c>
      <c r="E1025">
        <v>313.22500000000002</v>
      </c>
      <c r="F1025">
        <v>0</v>
      </c>
      <c r="G1025">
        <v>380.91430000000003</v>
      </c>
      <c r="H1025">
        <v>0</v>
      </c>
      <c r="I1025">
        <v>353.1</v>
      </c>
      <c r="J1025">
        <v>0</v>
      </c>
      <c r="K1025">
        <v>0</v>
      </c>
      <c r="L1025">
        <v>0</v>
      </c>
      <c r="M1025">
        <v>0</v>
      </c>
      <c r="N1025">
        <v>357.28</v>
      </c>
      <c r="O1025">
        <v>320.77100000000002</v>
      </c>
      <c r="P1025">
        <v>319.57380000000001</v>
      </c>
      <c r="Q1025">
        <v>0</v>
      </c>
      <c r="R1025">
        <v>319.57380000000001</v>
      </c>
    </row>
    <row r="1026" spans="1:18" hidden="1" x14ac:dyDescent="0.25">
      <c r="A1026" t="s">
        <v>1153</v>
      </c>
      <c r="B1026" t="s">
        <v>37</v>
      </c>
      <c r="C1026" t="s">
        <v>253</v>
      </c>
      <c r="D1026" t="s">
        <v>21</v>
      </c>
      <c r="E1026">
        <v>130.64699999999999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133.05600000000001</v>
      </c>
      <c r="L1026">
        <v>0</v>
      </c>
      <c r="M1026">
        <v>0</v>
      </c>
      <c r="N1026">
        <v>134.31</v>
      </c>
      <c r="O1026">
        <v>129.107</v>
      </c>
      <c r="P1026">
        <v>0</v>
      </c>
      <c r="Q1026">
        <v>0</v>
      </c>
      <c r="R1026">
        <v>0</v>
      </c>
    </row>
    <row r="1027" spans="1:18" hidden="1" x14ac:dyDescent="0.25">
      <c r="A1027" t="s">
        <v>1154</v>
      </c>
      <c r="B1027" t="s">
        <v>37</v>
      </c>
      <c r="C1027" t="s">
        <v>253</v>
      </c>
      <c r="D1027" t="s">
        <v>23</v>
      </c>
      <c r="E1027">
        <v>197.80199999999999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266.4427</v>
      </c>
      <c r="L1027">
        <v>0</v>
      </c>
      <c r="M1027">
        <v>0</v>
      </c>
      <c r="N1027">
        <v>262.51499999999999</v>
      </c>
      <c r="O1027">
        <v>238.249</v>
      </c>
      <c r="P1027">
        <v>203.05420000000001</v>
      </c>
      <c r="Q1027">
        <v>0</v>
      </c>
      <c r="R1027">
        <v>203.05420000000001</v>
      </c>
    </row>
    <row r="1028" spans="1:18" hidden="1" x14ac:dyDescent="0.25">
      <c r="A1028" t="s">
        <v>1155</v>
      </c>
      <c r="B1028" t="s">
        <v>37</v>
      </c>
      <c r="C1028" t="s">
        <v>253</v>
      </c>
      <c r="D1028" t="s">
        <v>25</v>
      </c>
      <c r="E1028">
        <v>249.084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288.23129999999998</v>
      </c>
      <c r="L1028">
        <v>0</v>
      </c>
      <c r="M1028">
        <v>0</v>
      </c>
      <c r="N1028">
        <v>280.83</v>
      </c>
      <c r="O1028">
        <v>319.44</v>
      </c>
      <c r="P1028">
        <v>209.4462</v>
      </c>
      <c r="Q1028">
        <v>0</v>
      </c>
      <c r="R1028">
        <v>209.4462</v>
      </c>
    </row>
    <row r="1029" spans="1:18" hidden="1" x14ac:dyDescent="0.25">
      <c r="A1029" t="s">
        <v>1156</v>
      </c>
      <c r="B1029" t="s">
        <v>37</v>
      </c>
      <c r="C1029" t="s">
        <v>253</v>
      </c>
      <c r="D1029" t="s">
        <v>27</v>
      </c>
      <c r="E1029">
        <v>367.52100000000002</v>
      </c>
      <c r="F1029">
        <v>0</v>
      </c>
      <c r="G1029">
        <v>0</v>
      </c>
      <c r="H1029">
        <v>0</v>
      </c>
      <c r="I1029">
        <v>378.51</v>
      </c>
      <c r="J1029">
        <v>0</v>
      </c>
      <c r="K1029">
        <v>0</v>
      </c>
      <c r="L1029">
        <v>0</v>
      </c>
      <c r="M1029">
        <v>0</v>
      </c>
      <c r="N1029">
        <v>366.3</v>
      </c>
      <c r="O1029">
        <v>400.63099999999997</v>
      </c>
      <c r="P1029">
        <v>360.32440000000003</v>
      </c>
      <c r="Q1029">
        <v>0</v>
      </c>
      <c r="R1029">
        <v>360.32440000000003</v>
      </c>
    </row>
    <row r="1030" spans="1:18" hidden="1" x14ac:dyDescent="0.25">
      <c r="A1030" t="s">
        <v>1157</v>
      </c>
      <c r="B1030" t="s">
        <v>37</v>
      </c>
      <c r="C1030" t="s">
        <v>253</v>
      </c>
      <c r="D1030" t="s">
        <v>29</v>
      </c>
      <c r="E1030">
        <v>131.04660000000001</v>
      </c>
      <c r="F1030">
        <v>140.41499999999999</v>
      </c>
      <c r="G1030">
        <v>171.7467</v>
      </c>
      <c r="H1030">
        <v>0</v>
      </c>
      <c r="I1030">
        <v>0</v>
      </c>
      <c r="J1030">
        <v>0</v>
      </c>
      <c r="K1030">
        <v>138.69450000000001</v>
      </c>
      <c r="L1030">
        <v>0</v>
      </c>
      <c r="M1030">
        <v>0</v>
      </c>
      <c r="N1030">
        <v>146.52000000000001</v>
      </c>
      <c r="O1030">
        <v>139.755</v>
      </c>
      <c r="P1030">
        <v>138.6336</v>
      </c>
      <c r="Q1030">
        <v>140.41499999999999</v>
      </c>
      <c r="R1030">
        <v>138.6335</v>
      </c>
    </row>
    <row r="1031" spans="1:18" hidden="1" x14ac:dyDescent="0.25">
      <c r="A1031" t="s">
        <v>1158</v>
      </c>
      <c r="B1031" t="s">
        <v>37</v>
      </c>
      <c r="C1031" t="s">
        <v>253</v>
      </c>
      <c r="D1031" t="s">
        <v>31</v>
      </c>
      <c r="E1031">
        <v>143.18340000000001</v>
      </c>
      <c r="F1031">
        <v>152.625</v>
      </c>
      <c r="G1031">
        <v>184.98330000000001</v>
      </c>
      <c r="H1031">
        <v>0</v>
      </c>
      <c r="I1031">
        <v>164.26300000000001</v>
      </c>
      <c r="J1031">
        <v>0</v>
      </c>
      <c r="K1031">
        <v>159.37950000000001</v>
      </c>
      <c r="L1031">
        <v>0</v>
      </c>
      <c r="M1031">
        <v>0</v>
      </c>
      <c r="N1031">
        <v>166.32</v>
      </c>
      <c r="O1031">
        <v>155.727</v>
      </c>
      <c r="P1031">
        <v>151.39949999999999</v>
      </c>
      <c r="Q1031">
        <v>152.625</v>
      </c>
      <c r="R1031">
        <v>151.39949999999999</v>
      </c>
    </row>
    <row r="1032" spans="1:18" hidden="1" x14ac:dyDescent="0.25">
      <c r="A1032" t="s">
        <v>1159</v>
      </c>
      <c r="B1032" t="s">
        <v>37</v>
      </c>
      <c r="C1032" t="s">
        <v>253</v>
      </c>
      <c r="D1032" t="s">
        <v>33</v>
      </c>
      <c r="E1032">
        <v>157.48339999999999</v>
      </c>
      <c r="F1032">
        <v>164.83500000000001</v>
      </c>
      <c r="G1032">
        <v>190.48330000000001</v>
      </c>
      <c r="H1032">
        <v>0</v>
      </c>
      <c r="I1032">
        <v>164.26300000000001</v>
      </c>
      <c r="J1032">
        <v>0</v>
      </c>
      <c r="K1032">
        <v>167.0865</v>
      </c>
      <c r="L1032">
        <v>0</v>
      </c>
      <c r="M1032">
        <v>0</v>
      </c>
      <c r="N1032">
        <v>177.04499999999999</v>
      </c>
      <c r="O1032">
        <v>189.00200000000001</v>
      </c>
      <c r="P1032">
        <v>167.38390000000001</v>
      </c>
      <c r="Q1032">
        <v>164.83500000000001</v>
      </c>
      <c r="R1032">
        <v>167.38390000000001</v>
      </c>
    </row>
    <row r="1033" spans="1:18" hidden="1" x14ac:dyDescent="0.25">
      <c r="A1033" t="s">
        <v>1160</v>
      </c>
      <c r="B1033" t="s">
        <v>37</v>
      </c>
      <c r="C1033" t="s">
        <v>253</v>
      </c>
      <c r="D1033" t="s">
        <v>35</v>
      </c>
      <c r="E1033">
        <v>399.267</v>
      </c>
      <c r="F1033">
        <v>0</v>
      </c>
      <c r="G1033">
        <v>0</v>
      </c>
      <c r="H1033">
        <v>0</v>
      </c>
      <c r="I1033">
        <v>378.51</v>
      </c>
      <c r="J1033">
        <v>0</v>
      </c>
      <c r="K1033">
        <v>0</v>
      </c>
      <c r="L1033">
        <v>0</v>
      </c>
      <c r="M1033">
        <v>0</v>
      </c>
      <c r="N1033">
        <v>378.51</v>
      </c>
      <c r="O1033">
        <v>417.93400000000003</v>
      </c>
      <c r="P1033">
        <v>371.38459999999998</v>
      </c>
      <c r="Q1033">
        <v>0</v>
      </c>
      <c r="R1033">
        <v>371.38459999999998</v>
      </c>
    </row>
    <row r="1034" spans="1:18" hidden="1" x14ac:dyDescent="0.25">
      <c r="A1034" t="s">
        <v>1161</v>
      </c>
      <c r="B1034" t="s">
        <v>37</v>
      </c>
      <c r="C1034" t="s">
        <v>37</v>
      </c>
      <c r="D1034" t="s">
        <v>21</v>
      </c>
      <c r="E1034">
        <v>63.58</v>
      </c>
      <c r="F1034">
        <v>0</v>
      </c>
      <c r="G1034">
        <v>97.68</v>
      </c>
      <c r="H1034">
        <v>0</v>
      </c>
      <c r="I1034">
        <v>0</v>
      </c>
      <c r="J1034">
        <v>0</v>
      </c>
      <c r="K1034">
        <v>70.98</v>
      </c>
      <c r="L1034">
        <v>0</v>
      </c>
      <c r="M1034">
        <v>0</v>
      </c>
      <c r="N1034">
        <v>73.260000000000005</v>
      </c>
      <c r="O1034">
        <v>70.543000000000006</v>
      </c>
      <c r="P1034">
        <v>0</v>
      </c>
      <c r="Q1034">
        <v>0</v>
      </c>
      <c r="R1034">
        <v>0</v>
      </c>
    </row>
    <row r="1035" spans="1:18" hidden="1" x14ac:dyDescent="0.25">
      <c r="A1035" t="s">
        <v>1162</v>
      </c>
      <c r="B1035" t="s">
        <v>37</v>
      </c>
      <c r="C1035" t="s">
        <v>37</v>
      </c>
      <c r="D1035" t="s">
        <v>23</v>
      </c>
      <c r="E1035">
        <v>91.85</v>
      </c>
      <c r="F1035">
        <v>0</v>
      </c>
      <c r="G1035">
        <v>107.25</v>
      </c>
      <c r="H1035">
        <v>0</v>
      </c>
      <c r="I1035">
        <v>0</v>
      </c>
      <c r="J1035">
        <v>0</v>
      </c>
      <c r="K1035">
        <v>112.7175</v>
      </c>
      <c r="L1035">
        <v>0</v>
      </c>
      <c r="M1035">
        <v>0</v>
      </c>
      <c r="N1035">
        <v>109.89</v>
      </c>
      <c r="O1035">
        <v>108.9</v>
      </c>
      <c r="P1035">
        <v>100.32</v>
      </c>
      <c r="Q1035">
        <v>0</v>
      </c>
      <c r="R1035">
        <v>100.32</v>
      </c>
    </row>
    <row r="1036" spans="1:18" hidden="1" x14ac:dyDescent="0.25">
      <c r="A1036" t="s">
        <v>1163</v>
      </c>
      <c r="B1036" t="s">
        <v>37</v>
      </c>
      <c r="C1036" t="s">
        <v>37</v>
      </c>
      <c r="D1036" t="s">
        <v>25</v>
      </c>
      <c r="E1036">
        <v>99.22</v>
      </c>
      <c r="F1036">
        <v>0</v>
      </c>
      <c r="G1036">
        <v>113.52</v>
      </c>
      <c r="H1036">
        <v>0</v>
      </c>
      <c r="I1036">
        <v>0</v>
      </c>
      <c r="J1036">
        <v>0</v>
      </c>
      <c r="K1036">
        <v>128.49799999999999</v>
      </c>
      <c r="L1036">
        <v>0</v>
      </c>
      <c r="M1036">
        <v>0</v>
      </c>
      <c r="N1036">
        <v>123.2</v>
      </c>
      <c r="O1036">
        <v>96.8</v>
      </c>
      <c r="P1036">
        <v>96.712000000000003</v>
      </c>
      <c r="Q1036">
        <v>0</v>
      </c>
      <c r="R1036">
        <v>99.528000000000006</v>
      </c>
    </row>
    <row r="1037" spans="1:18" hidden="1" x14ac:dyDescent="0.25">
      <c r="A1037" t="s">
        <v>1164</v>
      </c>
      <c r="B1037" t="s">
        <v>37</v>
      </c>
      <c r="C1037" t="s">
        <v>37</v>
      </c>
      <c r="D1037" t="s">
        <v>27</v>
      </c>
      <c r="E1037">
        <v>134.41999999999999</v>
      </c>
      <c r="F1037">
        <v>0</v>
      </c>
      <c r="G1037">
        <v>169.62</v>
      </c>
      <c r="H1037">
        <v>157.30000000000001</v>
      </c>
      <c r="I1037">
        <v>147.62</v>
      </c>
      <c r="J1037">
        <v>0</v>
      </c>
      <c r="K1037">
        <v>0</v>
      </c>
      <c r="L1037">
        <v>0</v>
      </c>
      <c r="M1037">
        <v>0</v>
      </c>
      <c r="N1037">
        <v>141.68</v>
      </c>
      <c r="O1037">
        <v>145.19999999999999</v>
      </c>
      <c r="P1037">
        <v>121.8921</v>
      </c>
      <c r="Q1037">
        <v>0</v>
      </c>
      <c r="R1037">
        <v>121.8921</v>
      </c>
    </row>
    <row r="1038" spans="1:18" hidden="1" x14ac:dyDescent="0.25">
      <c r="A1038" t="s">
        <v>1165</v>
      </c>
      <c r="B1038" t="s">
        <v>37</v>
      </c>
      <c r="C1038" t="s">
        <v>37</v>
      </c>
      <c r="D1038" t="s">
        <v>29</v>
      </c>
      <c r="E1038">
        <v>63.58</v>
      </c>
      <c r="F1038">
        <v>71.94</v>
      </c>
      <c r="G1038">
        <v>103.18</v>
      </c>
      <c r="H1038">
        <v>0</v>
      </c>
      <c r="I1038">
        <v>0</v>
      </c>
      <c r="J1038">
        <v>0</v>
      </c>
      <c r="K1038">
        <v>76.891499999999994</v>
      </c>
      <c r="L1038">
        <v>0</v>
      </c>
      <c r="M1038">
        <v>0</v>
      </c>
      <c r="N1038">
        <v>73.260000000000005</v>
      </c>
      <c r="O1038">
        <v>83.49</v>
      </c>
      <c r="P1038">
        <v>70.397999999999996</v>
      </c>
      <c r="Q1038">
        <v>71.94</v>
      </c>
      <c r="R1038">
        <v>70.397999999999996</v>
      </c>
    </row>
    <row r="1039" spans="1:18" hidden="1" x14ac:dyDescent="0.25">
      <c r="A1039" t="s">
        <v>1166</v>
      </c>
      <c r="B1039" t="s">
        <v>37</v>
      </c>
      <c r="C1039" t="s">
        <v>37</v>
      </c>
      <c r="D1039" t="s">
        <v>31</v>
      </c>
      <c r="E1039">
        <v>73.150000000000006</v>
      </c>
      <c r="F1039">
        <v>77.935000000000002</v>
      </c>
      <c r="G1039">
        <v>109.45</v>
      </c>
      <c r="H1039">
        <v>0</v>
      </c>
      <c r="I1039">
        <v>85.436999999999998</v>
      </c>
      <c r="J1039">
        <v>0</v>
      </c>
      <c r="K1039">
        <v>85.176000000000002</v>
      </c>
      <c r="L1039">
        <v>0</v>
      </c>
      <c r="M1039">
        <v>0</v>
      </c>
      <c r="N1039">
        <v>80.08</v>
      </c>
      <c r="O1039">
        <v>94.38</v>
      </c>
      <c r="P1039">
        <v>79.679199999999994</v>
      </c>
      <c r="Q1039">
        <v>77.935000000000002</v>
      </c>
      <c r="R1039">
        <v>79.679199999999994</v>
      </c>
    </row>
    <row r="1040" spans="1:18" hidden="1" x14ac:dyDescent="0.25">
      <c r="A1040" t="s">
        <v>1167</v>
      </c>
      <c r="B1040" t="s">
        <v>37</v>
      </c>
      <c r="C1040" t="s">
        <v>37</v>
      </c>
      <c r="D1040" t="s">
        <v>33</v>
      </c>
      <c r="E1040">
        <v>81.95</v>
      </c>
      <c r="F1040">
        <v>83.93</v>
      </c>
      <c r="G1040">
        <v>112.75</v>
      </c>
      <c r="H1040">
        <v>0</v>
      </c>
      <c r="I1040">
        <v>85.436999999999998</v>
      </c>
      <c r="J1040">
        <v>0</v>
      </c>
      <c r="K1040">
        <v>89.900999999999996</v>
      </c>
      <c r="L1040">
        <v>0</v>
      </c>
      <c r="M1040">
        <v>0</v>
      </c>
      <c r="N1040">
        <v>85.47</v>
      </c>
      <c r="O1040">
        <v>94.38</v>
      </c>
      <c r="P1040">
        <v>87.78</v>
      </c>
      <c r="Q1040">
        <v>83.93</v>
      </c>
      <c r="R1040">
        <v>87.78</v>
      </c>
    </row>
    <row r="1041" spans="1:18" hidden="1" x14ac:dyDescent="0.25">
      <c r="A1041" t="s">
        <v>1168</v>
      </c>
      <c r="B1041" t="s">
        <v>37</v>
      </c>
      <c r="C1041" t="s">
        <v>37</v>
      </c>
      <c r="D1041" t="s">
        <v>35</v>
      </c>
      <c r="E1041">
        <v>144.375</v>
      </c>
      <c r="F1041">
        <v>0</v>
      </c>
      <c r="G1041">
        <v>171.6</v>
      </c>
      <c r="H1041">
        <v>157.30000000000001</v>
      </c>
      <c r="I1041">
        <v>150.15</v>
      </c>
      <c r="J1041">
        <v>0</v>
      </c>
      <c r="K1041">
        <v>0</v>
      </c>
      <c r="L1041">
        <v>107.91</v>
      </c>
      <c r="M1041">
        <v>125.4</v>
      </c>
      <c r="N1041">
        <v>147.84</v>
      </c>
      <c r="O1041">
        <v>133.947</v>
      </c>
      <c r="P1041">
        <v>121.4408</v>
      </c>
      <c r="Q1041">
        <v>0</v>
      </c>
      <c r="R1041">
        <v>125.35599999999999</v>
      </c>
    </row>
    <row r="1042" spans="1:18" hidden="1" x14ac:dyDescent="0.25">
      <c r="A1042" t="s">
        <v>1169</v>
      </c>
      <c r="B1042" t="s">
        <v>37</v>
      </c>
      <c r="C1042" t="s">
        <v>270</v>
      </c>
      <c r="D1042" t="s">
        <v>21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R1042">
        <v>0</v>
      </c>
    </row>
    <row r="1043" spans="1:18" hidden="1" x14ac:dyDescent="0.25">
      <c r="A1043" t="s">
        <v>1170</v>
      </c>
      <c r="B1043" t="s">
        <v>37</v>
      </c>
      <c r="C1043" t="s">
        <v>270</v>
      </c>
      <c r="D1043" t="s">
        <v>23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191.2002</v>
      </c>
      <c r="R1043">
        <v>191.2003</v>
      </c>
    </row>
    <row r="1044" spans="1:18" hidden="1" x14ac:dyDescent="0.25">
      <c r="A1044" t="s">
        <v>1171</v>
      </c>
      <c r="B1044" t="s">
        <v>37</v>
      </c>
      <c r="C1044" t="s">
        <v>270</v>
      </c>
      <c r="D1044" t="s">
        <v>25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205.61699999999999</v>
      </c>
      <c r="R1044">
        <v>205.61699999999999</v>
      </c>
    </row>
    <row r="1045" spans="1:18" hidden="1" x14ac:dyDescent="0.25">
      <c r="A1045" t="s">
        <v>1172</v>
      </c>
      <c r="B1045" t="s">
        <v>37</v>
      </c>
      <c r="C1045" t="s">
        <v>270</v>
      </c>
      <c r="D1045" t="s">
        <v>27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324.47250000000003</v>
      </c>
      <c r="N1045">
        <v>0</v>
      </c>
      <c r="O1045">
        <v>0</v>
      </c>
      <c r="P1045">
        <v>254.6764</v>
      </c>
      <c r="R1045">
        <v>254.6764</v>
      </c>
    </row>
    <row r="1046" spans="1:18" hidden="1" x14ac:dyDescent="0.25">
      <c r="A1046" t="s">
        <v>1173</v>
      </c>
      <c r="B1046" t="s">
        <v>37</v>
      </c>
      <c r="C1046" t="s">
        <v>270</v>
      </c>
      <c r="D1046" t="s">
        <v>29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113.98860000000001</v>
      </c>
      <c r="R1046">
        <v>113.98860000000001</v>
      </c>
    </row>
    <row r="1047" spans="1:18" hidden="1" x14ac:dyDescent="0.25">
      <c r="A1047" t="s">
        <v>1174</v>
      </c>
      <c r="B1047" t="s">
        <v>37</v>
      </c>
      <c r="C1047" t="s">
        <v>270</v>
      </c>
      <c r="D1047" t="s">
        <v>31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126.7167</v>
      </c>
      <c r="R1047">
        <v>126.7167</v>
      </c>
    </row>
    <row r="1048" spans="1:18" hidden="1" x14ac:dyDescent="0.25">
      <c r="A1048" t="s">
        <v>1175</v>
      </c>
      <c r="B1048" t="s">
        <v>37</v>
      </c>
      <c r="C1048" t="s">
        <v>270</v>
      </c>
      <c r="D1048" t="s">
        <v>33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140.3023</v>
      </c>
      <c r="R1048">
        <v>140.3022</v>
      </c>
    </row>
    <row r="1049" spans="1:18" hidden="1" x14ac:dyDescent="0.25">
      <c r="A1049" t="s">
        <v>1176</v>
      </c>
      <c r="B1049" t="s">
        <v>37</v>
      </c>
      <c r="C1049" t="s">
        <v>270</v>
      </c>
      <c r="D1049" t="s">
        <v>35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330.74250000000001</v>
      </c>
      <c r="N1049">
        <v>0</v>
      </c>
      <c r="O1049">
        <v>0</v>
      </c>
      <c r="P1049">
        <v>278.13240000000002</v>
      </c>
      <c r="R1049">
        <v>278.13240000000002</v>
      </c>
    </row>
    <row r="1050" spans="1:18" hidden="1" x14ac:dyDescent="0.25">
      <c r="A1050" t="s">
        <v>1177</v>
      </c>
      <c r="B1050" t="s">
        <v>37</v>
      </c>
      <c r="C1050" t="s">
        <v>279</v>
      </c>
      <c r="D1050" t="s">
        <v>21</v>
      </c>
      <c r="E1050">
        <v>146.52000000000001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136.5</v>
      </c>
      <c r="L1050">
        <v>0</v>
      </c>
      <c r="M1050">
        <v>0</v>
      </c>
      <c r="N1050">
        <v>152.625</v>
      </c>
      <c r="O1050">
        <v>159.72</v>
      </c>
      <c r="P1050">
        <v>0</v>
      </c>
      <c r="Q1050">
        <v>0</v>
      </c>
      <c r="R1050">
        <v>0</v>
      </c>
    </row>
    <row r="1051" spans="1:18" hidden="1" x14ac:dyDescent="0.25">
      <c r="A1051" t="s">
        <v>1178</v>
      </c>
      <c r="B1051" t="s">
        <v>37</v>
      </c>
      <c r="C1051" t="s">
        <v>279</v>
      </c>
      <c r="D1051" t="s">
        <v>23</v>
      </c>
      <c r="E1051">
        <v>260.51659999999998</v>
      </c>
      <c r="F1051">
        <v>0</v>
      </c>
      <c r="G1051">
        <v>294.61669999999998</v>
      </c>
      <c r="H1051">
        <v>0</v>
      </c>
      <c r="I1051">
        <v>0</v>
      </c>
      <c r="J1051">
        <v>0</v>
      </c>
      <c r="K1051">
        <v>273.40949999999998</v>
      </c>
      <c r="L1051">
        <v>0</v>
      </c>
      <c r="M1051">
        <v>0</v>
      </c>
      <c r="N1051">
        <v>301.83999999999997</v>
      </c>
      <c r="O1051">
        <v>278.17899999999997</v>
      </c>
      <c r="P1051">
        <v>266.29939999999999</v>
      </c>
      <c r="Q1051">
        <v>0</v>
      </c>
      <c r="R1051">
        <v>266.29939999999999</v>
      </c>
    </row>
    <row r="1052" spans="1:18" hidden="1" x14ac:dyDescent="0.25">
      <c r="A1052" t="s">
        <v>1179</v>
      </c>
      <c r="B1052" t="s">
        <v>37</v>
      </c>
      <c r="C1052" t="s">
        <v>279</v>
      </c>
      <c r="D1052" t="s">
        <v>25</v>
      </c>
      <c r="E1052">
        <v>290.59800000000001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296.59140000000002</v>
      </c>
      <c r="L1052">
        <v>0</v>
      </c>
      <c r="M1052">
        <v>0</v>
      </c>
      <c r="N1052">
        <v>317.45999999999998</v>
      </c>
      <c r="O1052">
        <v>356.70800000000003</v>
      </c>
      <c r="P1052">
        <v>298.24259999999998</v>
      </c>
      <c r="Q1052">
        <v>0</v>
      </c>
      <c r="R1052">
        <v>298.24259999999998</v>
      </c>
    </row>
    <row r="1053" spans="1:18" hidden="1" x14ac:dyDescent="0.25">
      <c r="A1053" t="s">
        <v>1180</v>
      </c>
      <c r="B1053" t="s">
        <v>37</v>
      </c>
      <c r="C1053" t="s">
        <v>279</v>
      </c>
      <c r="D1053" t="s">
        <v>27</v>
      </c>
      <c r="E1053">
        <v>379.28</v>
      </c>
      <c r="F1053">
        <v>0</v>
      </c>
      <c r="G1053">
        <v>460.68</v>
      </c>
      <c r="H1053">
        <v>0</v>
      </c>
      <c r="I1053">
        <v>412.28</v>
      </c>
      <c r="J1053">
        <v>0</v>
      </c>
      <c r="K1053">
        <v>0</v>
      </c>
      <c r="L1053">
        <v>0</v>
      </c>
      <c r="M1053">
        <v>0</v>
      </c>
      <c r="N1053">
        <v>431.2</v>
      </c>
      <c r="O1053">
        <v>407.286</v>
      </c>
      <c r="P1053">
        <v>383.77</v>
      </c>
      <c r="Q1053">
        <v>0</v>
      </c>
      <c r="R1053">
        <v>383.76990000000001</v>
      </c>
    </row>
    <row r="1054" spans="1:18" hidden="1" x14ac:dyDescent="0.25">
      <c r="A1054" t="s">
        <v>1181</v>
      </c>
      <c r="B1054" t="s">
        <v>37</v>
      </c>
      <c r="C1054" t="s">
        <v>279</v>
      </c>
      <c r="D1054" t="s">
        <v>29</v>
      </c>
      <c r="E1054">
        <v>153.85339999999999</v>
      </c>
      <c r="F1054">
        <v>167.739</v>
      </c>
      <c r="G1054">
        <v>231.95330000000001</v>
      </c>
      <c r="H1054">
        <v>0</v>
      </c>
      <c r="I1054">
        <v>0</v>
      </c>
      <c r="J1054">
        <v>0</v>
      </c>
      <c r="K1054">
        <v>166.8135</v>
      </c>
      <c r="L1054">
        <v>0</v>
      </c>
      <c r="M1054">
        <v>0</v>
      </c>
      <c r="N1054">
        <v>164.857</v>
      </c>
      <c r="O1054">
        <v>206.30500000000001</v>
      </c>
      <c r="P1054">
        <v>153.11340000000001</v>
      </c>
      <c r="Q1054">
        <v>167.739</v>
      </c>
      <c r="R1054">
        <v>153.11340000000001</v>
      </c>
    </row>
    <row r="1055" spans="1:18" hidden="1" x14ac:dyDescent="0.25">
      <c r="A1055" t="s">
        <v>1182</v>
      </c>
      <c r="B1055" t="s">
        <v>37</v>
      </c>
      <c r="C1055" t="s">
        <v>279</v>
      </c>
      <c r="D1055" t="s">
        <v>31</v>
      </c>
      <c r="E1055">
        <v>197.81659999999999</v>
      </c>
      <c r="F1055">
        <v>203.31299999999999</v>
      </c>
      <c r="G1055">
        <v>266.01670000000001</v>
      </c>
      <c r="H1055">
        <v>0</v>
      </c>
      <c r="I1055">
        <v>218.9</v>
      </c>
      <c r="J1055">
        <v>0</v>
      </c>
      <c r="K1055">
        <v>216.77250000000001</v>
      </c>
      <c r="L1055">
        <v>0</v>
      </c>
      <c r="M1055">
        <v>0</v>
      </c>
      <c r="N1055">
        <v>214.31299999999999</v>
      </c>
      <c r="O1055">
        <v>219.61500000000001</v>
      </c>
      <c r="P1055">
        <v>195.87479999999999</v>
      </c>
      <c r="Q1055">
        <v>203.31299999999999</v>
      </c>
      <c r="R1055">
        <v>195.87479999999999</v>
      </c>
    </row>
    <row r="1056" spans="1:18" hidden="1" x14ac:dyDescent="0.25">
      <c r="A1056" t="s">
        <v>1183</v>
      </c>
      <c r="B1056" t="s">
        <v>37</v>
      </c>
      <c r="C1056" t="s">
        <v>279</v>
      </c>
      <c r="D1056" t="s">
        <v>33</v>
      </c>
      <c r="E1056">
        <v>208.81659999999999</v>
      </c>
      <c r="F1056">
        <v>222.376</v>
      </c>
      <c r="G1056">
        <v>277.01670000000001</v>
      </c>
      <c r="H1056">
        <v>0</v>
      </c>
      <c r="I1056">
        <v>218.9</v>
      </c>
      <c r="J1056">
        <v>0</v>
      </c>
      <c r="K1056">
        <v>224.4795</v>
      </c>
      <c r="L1056">
        <v>0</v>
      </c>
      <c r="M1056">
        <v>0</v>
      </c>
      <c r="N1056">
        <v>236.31299999999999</v>
      </c>
      <c r="O1056">
        <v>247.566</v>
      </c>
      <c r="P1056">
        <v>208.41480000000001</v>
      </c>
      <c r="Q1056">
        <v>222.376</v>
      </c>
      <c r="R1056">
        <v>208.41480000000001</v>
      </c>
    </row>
    <row r="1057" spans="1:18" hidden="1" x14ac:dyDescent="0.25">
      <c r="A1057" t="s">
        <v>1184</v>
      </c>
      <c r="B1057" t="s">
        <v>37</v>
      </c>
      <c r="C1057" t="s">
        <v>279</v>
      </c>
      <c r="D1057" t="s">
        <v>35</v>
      </c>
      <c r="E1057">
        <v>460.07499999999999</v>
      </c>
      <c r="F1057">
        <v>0</v>
      </c>
      <c r="G1057">
        <v>442.82859999999999</v>
      </c>
      <c r="H1057">
        <v>0</v>
      </c>
      <c r="I1057">
        <v>410.85</v>
      </c>
      <c r="J1057">
        <v>0</v>
      </c>
      <c r="K1057">
        <v>0</v>
      </c>
      <c r="L1057">
        <v>0</v>
      </c>
      <c r="M1057">
        <v>0</v>
      </c>
      <c r="N1057">
        <v>431.2</v>
      </c>
      <c r="O1057">
        <v>487.14600000000002</v>
      </c>
      <c r="P1057">
        <v>406.8854</v>
      </c>
      <c r="Q1057">
        <v>0</v>
      </c>
      <c r="R1057">
        <v>422.29</v>
      </c>
    </row>
    <row r="1058" spans="1:18" hidden="1" x14ac:dyDescent="0.25">
      <c r="A1058" t="s">
        <v>1185</v>
      </c>
      <c r="B1058" t="s">
        <v>37</v>
      </c>
      <c r="C1058" t="s">
        <v>288</v>
      </c>
      <c r="D1058" t="s">
        <v>21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R1058">
        <v>0</v>
      </c>
    </row>
    <row r="1059" spans="1:18" hidden="1" x14ac:dyDescent="0.25">
      <c r="A1059" t="s">
        <v>1186</v>
      </c>
      <c r="B1059" t="s">
        <v>37</v>
      </c>
      <c r="C1059" t="s">
        <v>288</v>
      </c>
      <c r="D1059" t="s">
        <v>23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334.31639999999999</v>
      </c>
      <c r="R1059">
        <v>334.31639999999999</v>
      </c>
    </row>
    <row r="1060" spans="1:18" hidden="1" x14ac:dyDescent="0.25">
      <c r="A1060" t="s">
        <v>1187</v>
      </c>
      <c r="B1060" t="s">
        <v>37</v>
      </c>
      <c r="C1060" t="s">
        <v>288</v>
      </c>
      <c r="D1060" t="s">
        <v>25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324.9554</v>
      </c>
      <c r="R1060">
        <v>324.9554</v>
      </c>
    </row>
    <row r="1061" spans="1:18" hidden="1" x14ac:dyDescent="0.25">
      <c r="A1061" t="s">
        <v>1188</v>
      </c>
      <c r="B1061" t="s">
        <v>37</v>
      </c>
      <c r="C1061" t="s">
        <v>288</v>
      </c>
      <c r="D1061" t="s">
        <v>27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480.34469999999999</v>
      </c>
      <c r="N1061">
        <v>0</v>
      </c>
      <c r="O1061">
        <v>0</v>
      </c>
      <c r="P1061">
        <v>463.45400000000001</v>
      </c>
      <c r="R1061">
        <v>463.45389999999998</v>
      </c>
    </row>
    <row r="1062" spans="1:18" hidden="1" x14ac:dyDescent="0.25">
      <c r="A1062" t="s">
        <v>1189</v>
      </c>
      <c r="B1062" t="s">
        <v>37</v>
      </c>
      <c r="C1062" t="s">
        <v>288</v>
      </c>
      <c r="D1062" t="s">
        <v>29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219.55029999999999</v>
      </c>
      <c r="R1062">
        <v>219.55029999999999</v>
      </c>
    </row>
    <row r="1063" spans="1:18" hidden="1" x14ac:dyDescent="0.25">
      <c r="A1063" t="s">
        <v>1190</v>
      </c>
      <c r="B1063" t="s">
        <v>37</v>
      </c>
      <c r="C1063" t="s">
        <v>288</v>
      </c>
      <c r="D1063" t="s">
        <v>31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273.69799999999998</v>
      </c>
      <c r="R1063">
        <v>273.69799999999998</v>
      </c>
    </row>
    <row r="1064" spans="1:18" hidden="1" x14ac:dyDescent="0.25">
      <c r="A1064" t="s">
        <v>1191</v>
      </c>
      <c r="B1064" t="s">
        <v>37</v>
      </c>
      <c r="C1064" t="s">
        <v>288</v>
      </c>
      <c r="D1064" t="s">
        <v>33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286.43869999999998</v>
      </c>
      <c r="R1064">
        <v>286.43869999999998</v>
      </c>
    </row>
    <row r="1065" spans="1:18" hidden="1" x14ac:dyDescent="0.25">
      <c r="A1065" t="s">
        <v>1192</v>
      </c>
      <c r="B1065" t="s">
        <v>37</v>
      </c>
      <c r="C1065" t="s">
        <v>288</v>
      </c>
      <c r="D1065" t="s">
        <v>35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489.74970000000002</v>
      </c>
      <c r="N1065">
        <v>0</v>
      </c>
      <c r="O1065">
        <v>0</v>
      </c>
      <c r="P1065">
        <v>479.29829999999998</v>
      </c>
      <c r="R1065">
        <v>479.29820000000001</v>
      </c>
    </row>
    <row r="1066" spans="1:18" hidden="1" x14ac:dyDescent="0.25">
      <c r="A1066" t="s">
        <v>1193</v>
      </c>
      <c r="B1066" t="s">
        <v>37</v>
      </c>
      <c r="C1066" t="s">
        <v>297</v>
      </c>
      <c r="D1066" t="s">
        <v>21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R1066">
        <v>0</v>
      </c>
    </row>
    <row r="1067" spans="1:18" hidden="1" x14ac:dyDescent="0.25">
      <c r="A1067" t="s">
        <v>1194</v>
      </c>
      <c r="B1067" t="s">
        <v>37</v>
      </c>
      <c r="C1067" t="s">
        <v>297</v>
      </c>
      <c r="D1067" t="s">
        <v>23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250.8502</v>
      </c>
      <c r="R1067">
        <v>250.8502</v>
      </c>
    </row>
    <row r="1068" spans="1:18" hidden="1" x14ac:dyDescent="0.25">
      <c r="A1068" t="s">
        <v>1195</v>
      </c>
      <c r="B1068" t="s">
        <v>37</v>
      </c>
      <c r="C1068" t="s">
        <v>297</v>
      </c>
      <c r="D1068" t="s">
        <v>25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297.34910000000002</v>
      </c>
      <c r="R1068">
        <v>297.34910000000002</v>
      </c>
    </row>
    <row r="1069" spans="1:18" hidden="1" x14ac:dyDescent="0.25">
      <c r="A1069" t="s">
        <v>1196</v>
      </c>
      <c r="B1069" t="s">
        <v>37</v>
      </c>
      <c r="C1069" t="s">
        <v>297</v>
      </c>
      <c r="D1069" t="s">
        <v>27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389.11619999999999</v>
      </c>
      <c r="R1069">
        <v>389.11619999999999</v>
      </c>
    </row>
    <row r="1070" spans="1:18" hidden="1" x14ac:dyDescent="0.25">
      <c r="A1070" t="s">
        <v>1197</v>
      </c>
      <c r="B1070" t="s">
        <v>37</v>
      </c>
      <c r="C1070" t="s">
        <v>297</v>
      </c>
      <c r="D1070" t="s">
        <v>29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194.4402</v>
      </c>
      <c r="R1070">
        <v>194.4402</v>
      </c>
    </row>
    <row r="1071" spans="1:18" hidden="1" x14ac:dyDescent="0.25">
      <c r="A1071" t="s">
        <v>1198</v>
      </c>
      <c r="B1071" t="s">
        <v>37</v>
      </c>
      <c r="C1071" t="s">
        <v>297</v>
      </c>
      <c r="D1071" t="s">
        <v>31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213.8297</v>
      </c>
      <c r="R1071">
        <v>213.8297</v>
      </c>
    </row>
    <row r="1072" spans="1:18" hidden="1" x14ac:dyDescent="0.25">
      <c r="A1072" t="s">
        <v>1199</v>
      </c>
      <c r="B1072" t="s">
        <v>37</v>
      </c>
      <c r="C1072" t="s">
        <v>297</v>
      </c>
      <c r="D1072" t="s">
        <v>33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226.62479999999999</v>
      </c>
      <c r="R1072">
        <v>226.62479999999999</v>
      </c>
    </row>
    <row r="1073" spans="1:18" hidden="1" x14ac:dyDescent="0.25">
      <c r="A1073" t="s">
        <v>1200</v>
      </c>
      <c r="B1073" t="s">
        <v>37</v>
      </c>
      <c r="C1073" t="s">
        <v>297</v>
      </c>
      <c r="D1073" t="s">
        <v>35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420.39100000000002</v>
      </c>
      <c r="R1073">
        <v>420.39100000000002</v>
      </c>
    </row>
    <row r="1074" spans="1:18" hidden="1" x14ac:dyDescent="0.25">
      <c r="A1074" t="s">
        <v>1201</v>
      </c>
      <c r="B1074" t="s">
        <v>37</v>
      </c>
      <c r="C1074" t="s">
        <v>306</v>
      </c>
      <c r="D1074" t="s">
        <v>21</v>
      </c>
      <c r="E1074">
        <v>171.798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180.30600000000001</v>
      </c>
      <c r="L1074">
        <v>0</v>
      </c>
      <c r="M1074">
        <v>0</v>
      </c>
      <c r="N1074">
        <v>190.476</v>
      </c>
      <c r="O1074">
        <v>165.04400000000001</v>
      </c>
      <c r="P1074">
        <v>0</v>
      </c>
      <c r="R1074">
        <v>0</v>
      </c>
    </row>
    <row r="1075" spans="1:18" hidden="1" x14ac:dyDescent="0.25">
      <c r="A1075" t="s">
        <v>1202</v>
      </c>
      <c r="B1075" t="s">
        <v>37</v>
      </c>
      <c r="C1075" t="s">
        <v>306</v>
      </c>
      <c r="D1075" t="s">
        <v>23</v>
      </c>
      <c r="E1075">
        <v>294.69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301.54950000000002</v>
      </c>
      <c r="L1075">
        <v>0</v>
      </c>
      <c r="M1075">
        <v>0</v>
      </c>
      <c r="N1075">
        <v>323.565</v>
      </c>
      <c r="O1075">
        <v>306.13</v>
      </c>
      <c r="P1075">
        <v>295.32279999999997</v>
      </c>
      <c r="R1075">
        <v>295.32279999999997</v>
      </c>
    </row>
    <row r="1076" spans="1:18" hidden="1" x14ac:dyDescent="0.25">
      <c r="A1076" t="s">
        <v>1203</v>
      </c>
      <c r="B1076" t="s">
        <v>37</v>
      </c>
      <c r="C1076" t="s">
        <v>306</v>
      </c>
      <c r="D1076" t="s">
        <v>25</v>
      </c>
      <c r="E1076">
        <v>319.90199999999999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330.35939999999999</v>
      </c>
      <c r="L1076">
        <v>0</v>
      </c>
      <c r="M1076">
        <v>0</v>
      </c>
      <c r="N1076">
        <v>341.88</v>
      </c>
      <c r="O1076">
        <v>409.94799999999998</v>
      </c>
      <c r="P1076">
        <v>300.87599999999998</v>
      </c>
      <c r="R1076">
        <v>300.87599999999998</v>
      </c>
    </row>
    <row r="1077" spans="1:18" hidden="1" x14ac:dyDescent="0.25">
      <c r="A1077" t="s">
        <v>1204</v>
      </c>
      <c r="B1077" t="s">
        <v>37</v>
      </c>
      <c r="C1077" t="s">
        <v>306</v>
      </c>
      <c r="D1077" t="s">
        <v>27</v>
      </c>
      <c r="E1077">
        <v>413.91899999999998</v>
      </c>
      <c r="F1077">
        <v>0</v>
      </c>
      <c r="G1077">
        <v>0</v>
      </c>
      <c r="H1077">
        <v>0</v>
      </c>
      <c r="I1077">
        <v>445.66500000000002</v>
      </c>
      <c r="J1077">
        <v>0</v>
      </c>
      <c r="K1077">
        <v>0</v>
      </c>
      <c r="L1077">
        <v>0</v>
      </c>
      <c r="M1077">
        <v>0</v>
      </c>
      <c r="N1077">
        <v>439.56</v>
      </c>
      <c r="O1077">
        <v>437.899</v>
      </c>
      <c r="P1077">
        <v>423.04939999999999</v>
      </c>
      <c r="R1077">
        <v>423.04939999999999</v>
      </c>
    </row>
    <row r="1078" spans="1:18" hidden="1" x14ac:dyDescent="0.25">
      <c r="A1078" t="s">
        <v>1205</v>
      </c>
      <c r="B1078" t="s">
        <v>37</v>
      </c>
      <c r="C1078" t="s">
        <v>306</v>
      </c>
      <c r="D1078" t="s">
        <v>29</v>
      </c>
      <c r="E1078">
        <v>176.81399999999999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199.584</v>
      </c>
      <c r="L1078">
        <v>0</v>
      </c>
      <c r="M1078">
        <v>0</v>
      </c>
      <c r="N1078">
        <v>207.57</v>
      </c>
      <c r="O1078">
        <v>236.91800000000001</v>
      </c>
      <c r="P1078">
        <v>180.4255</v>
      </c>
      <c r="R1078">
        <v>180.4255</v>
      </c>
    </row>
    <row r="1079" spans="1:18" hidden="1" x14ac:dyDescent="0.25">
      <c r="A1079" t="s">
        <v>1206</v>
      </c>
      <c r="B1079" t="s">
        <v>37</v>
      </c>
      <c r="C1079" t="s">
        <v>306</v>
      </c>
      <c r="D1079" t="s">
        <v>31</v>
      </c>
      <c r="E1079">
        <v>223.21199999999999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244.06989999999999</v>
      </c>
      <c r="L1079">
        <v>0</v>
      </c>
      <c r="M1079">
        <v>0</v>
      </c>
      <c r="N1079">
        <v>268.62</v>
      </c>
      <c r="O1079">
        <v>250.22800000000001</v>
      </c>
      <c r="P1079">
        <v>226.37209999999999</v>
      </c>
      <c r="R1079">
        <v>226.37209999999999</v>
      </c>
    </row>
    <row r="1080" spans="1:18" hidden="1" x14ac:dyDescent="0.25">
      <c r="A1080" t="s">
        <v>1207</v>
      </c>
      <c r="B1080" t="s">
        <v>37</v>
      </c>
      <c r="C1080" t="s">
        <v>306</v>
      </c>
      <c r="D1080" t="s">
        <v>33</v>
      </c>
      <c r="E1080">
        <v>243.27600000000001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257.41800000000001</v>
      </c>
      <c r="L1080">
        <v>0</v>
      </c>
      <c r="M1080">
        <v>0</v>
      </c>
      <c r="N1080">
        <v>280.83</v>
      </c>
      <c r="O1080">
        <v>274.18599999999998</v>
      </c>
      <c r="P1080">
        <v>239.3134</v>
      </c>
      <c r="R1080">
        <v>239.3134</v>
      </c>
    </row>
    <row r="1081" spans="1:18" hidden="1" x14ac:dyDescent="0.25">
      <c r="A1081" t="s">
        <v>1208</v>
      </c>
      <c r="B1081" t="s">
        <v>37</v>
      </c>
      <c r="C1081" t="s">
        <v>306</v>
      </c>
      <c r="D1081" t="s">
        <v>35</v>
      </c>
      <c r="E1081">
        <v>448.10700000000003</v>
      </c>
      <c r="F1081">
        <v>0</v>
      </c>
      <c r="G1081">
        <v>0</v>
      </c>
      <c r="H1081">
        <v>0</v>
      </c>
      <c r="I1081">
        <v>445.66500000000002</v>
      </c>
      <c r="J1081">
        <v>0</v>
      </c>
      <c r="K1081">
        <v>0</v>
      </c>
      <c r="L1081">
        <v>0</v>
      </c>
      <c r="M1081">
        <v>0</v>
      </c>
      <c r="N1081">
        <v>463.98</v>
      </c>
      <c r="O1081">
        <v>469.84300000000002</v>
      </c>
      <c r="P1081">
        <v>439.20100000000002</v>
      </c>
      <c r="R1081">
        <v>439.20100000000002</v>
      </c>
    </row>
    <row r="1082" spans="1:18" hidden="1" x14ac:dyDescent="0.25">
      <c r="A1082" t="s">
        <v>1209</v>
      </c>
      <c r="B1082" t="s">
        <v>37</v>
      </c>
      <c r="C1082" t="s">
        <v>315</v>
      </c>
      <c r="D1082" t="s">
        <v>21</v>
      </c>
      <c r="E1082">
        <v>810.55340000000001</v>
      </c>
      <c r="F1082">
        <v>0</v>
      </c>
      <c r="G1082">
        <v>665.35329999999999</v>
      </c>
      <c r="H1082">
        <v>0</v>
      </c>
      <c r="I1082">
        <v>0</v>
      </c>
      <c r="J1082">
        <v>0</v>
      </c>
      <c r="K1082">
        <v>434.89949999999999</v>
      </c>
      <c r="L1082">
        <v>0</v>
      </c>
      <c r="M1082">
        <v>0</v>
      </c>
      <c r="N1082">
        <v>454.15699999999998</v>
      </c>
      <c r="O1082">
        <v>415.27199999999999</v>
      </c>
      <c r="P1082">
        <v>0</v>
      </c>
      <c r="R1082">
        <v>0</v>
      </c>
    </row>
    <row r="1083" spans="1:18" hidden="1" x14ac:dyDescent="0.25">
      <c r="A1083" t="s">
        <v>1210</v>
      </c>
      <c r="B1083" t="s">
        <v>37</v>
      </c>
      <c r="C1083" t="s">
        <v>315</v>
      </c>
      <c r="D1083" t="s">
        <v>23</v>
      </c>
      <c r="E1083">
        <v>1234.0165999999999</v>
      </c>
      <c r="F1083">
        <v>0</v>
      </c>
      <c r="G1083">
        <v>841.31669999999997</v>
      </c>
      <c r="H1083">
        <v>0</v>
      </c>
      <c r="I1083">
        <v>0</v>
      </c>
      <c r="J1083">
        <v>0</v>
      </c>
      <c r="K1083">
        <v>661.6155</v>
      </c>
      <c r="L1083">
        <v>0</v>
      </c>
      <c r="M1083">
        <v>0</v>
      </c>
      <c r="N1083">
        <v>689.86500000000001</v>
      </c>
      <c r="O1083">
        <v>670.82399999999996</v>
      </c>
      <c r="P1083">
        <v>666.28660000000002</v>
      </c>
      <c r="R1083">
        <v>666.28660000000002</v>
      </c>
    </row>
    <row r="1084" spans="1:18" hidden="1" x14ac:dyDescent="0.25">
      <c r="A1084" t="s">
        <v>1211</v>
      </c>
      <c r="B1084" t="s">
        <v>37</v>
      </c>
      <c r="C1084" t="s">
        <v>315</v>
      </c>
      <c r="D1084" t="s">
        <v>25</v>
      </c>
      <c r="E1084">
        <v>1343.1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762.43859999999995</v>
      </c>
      <c r="L1084">
        <v>0</v>
      </c>
      <c r="M1084">
        <v>0</v>
      </c>
      <c r="N1084">
        <v>720.39</v>
      </c>
      <c r="O1084">
        <v>807.91700000000003</v>
      </c>
      <c r="P1084">
        <v>707.30349999999999</v>
      </c>
      <c r="R1084">
        <v>707.30349999999999</v>
      </c>
    </row>
    <row r="1085" spans="1:18" hidden="1" x14ac:dyDescent="0.25">
      <c r="A1085" t="s">
        <v>1212</v>
      </c>
      <c r="B1085" t="s">
        <v>37</v>
      </c>
      <c r="C1085" t="s">
        <v>315</v>
      </c>
      <c r="D1085" t="s">
        <v>27</v>
      </c>
      <c r="E1085">
        <v>1693.78</v>
      </c>
      <c r="F1085">
        <v>0</v>
      </c>
      <c r="G1085">
        <v>1273.58</v>
      </c>
      <c r="H1085">
        <v>0</v>
      </c>
      <c r="I1085">
        <v>925.98</v>
      </c>
      <c r="J1085">
        <v>0</v>
      </c>
      <c r="K1085">
        <v>0</v>
      </c>
      <c r="L1085">
        <v>0</v>
      </c>
      <c r="M1085">
        <v>0</v>
      </c>
      <c r="N1085">
        <v>924</v>
      </c>
      <c r="O1085">
        <v>914.39700000000005</v>
      </c>
      <c r="P1085">
        <v>889.09569999999997</v>
      </c>
      <c r="R1085">
        <v>889.09569999999997</v>
      </c>
    </row>
    <row r="1086" spans="1:18" hidden="1" x14ac:dyDescent="0.25">
      <c r="A1086" t="s">
        <v>1213</v>
      </c>
      <c r="B1086" t="s">
        <v>37</v>
      </c>
      <c r="C1086" t="s">
        <v>315</v>
      </c>
      <c r="D1086" t="s">
        <v>29</v>
      </c>
      <c r="E1086">
        <v>821.55340000000001</v>
      </c>
      <c r="F1086">
        <v>0</v>
      </c>
      <c r="G1086">
        <v>685.15329999999994</v>
      </c>
      <c r="H1086">
        <v>0</v>
      </c>
      <c r="I1086">
        <v>0</v>
      </c>
      <c r="J1086">
        <v>0</v>
      </c>
      <c r="K1086">
        <v>474.42149999999998</v>
      </c>
      <c r="L1086">
        <v>0</v>
      </c>
      <c r="M1086">
        <v>0</v>
      </c>
      <c r="N1086">
        <v>492.65699999999998</v>
      </c>
      <c r="O1086">
        <v>532.4</v>
      </c>
      <c r="P1086">
        <v>481.03440000000001</v>
      </c>
      <c r="R1086">
        <v>481.03440000000001</v>
      </c>
    </row>
    <row r="1087" spans="1:18" hidden="1" x14ac:dyDescent="0.25">
      <c r="A1087" t="s">
        <v>1214</v>
      </c>
      <c r="B1087" t="s">
        <v>37</v>
      </c>
      <c r="C1087" t="s">
        <v>315</v>
      </c>
      <c r="D1087" t="s">
        <v>31</v>
      </c>
      <c r="E1087">
        <v>1020.6165999999999</v>
      </c>
      <c r="F1087">
        <v>0</v>
      </c>
      <c r="G1087">
        <v>753.31669999999997</v>
      </c>
      <c r="H1087">
        <v>0</v>
      </c>
      <c r="I1087">
        <v>581.9</v>
      </c>
      <c r="J1087">
        <v>0</v>
      </c>
      <c r="K1087">
        <v>558.02250000000004</v>
      </c>
      <c r="L1087">
        <v>0</v>
      </c>
      <c r="M1087">
        <v>0</v>
      </c>
      <c r="N1087">
        <v>577.31299999999999</v>
      </c>
      <c r="O1087">
        <v>614.92200000000003</v>
      </c>
      <c r="P1087">
        <v>560.32479999999998</v>
      </c>
      <c r="R1087">
        <v>560.32479999999998</v>
      </c>
    </row>
    <row r="1088" spans="1:18" hidden="1" x14ac:dyDescent="0.25">
      <c r="A1088" t="s">
        <v>1215</v>
      </c>
      <c r="B1088" t="s">
        <v>37</v>
      </c>
      <c r="C1088" t="s">
        <v>315</v>
      </c>
      <c r="D1088" t="s">
        <v>33</v>
      </c>
      <c r="E1088">
        <v>1221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582.26179999999999</v>
      </c>
      <c r="L1088">
        <v>0</v>
      </c>
      <c r="M1088">
        <v>0</v>
      </c>
      <c r="N1088">
        <v>592.18499999999995</v>
      </c>
      <c r="O1088">
        <v>630.89400000000001</v>
      </c>
      <c r="P1088">
        <v>579.14739999999995</v>
      </c>
      <c r="R1088">
        <v>579.14739999999995</v>
      </c>
    </row>
    <row r="1089" spans="1:18" hidden="1" x14ac:dyDescent="0.25">
      <c r="A1089" t="s">
        <v>1216</v>
      </c>
      <c r="B1089" t="s">
        <v>37</v>
      </c>
      <c r="C1089" t="s">
        <v>315</v>
      </c>
      <c r="D1089" t="s">
        <v>35</v>
      </c>
      <c r="E1089">
        <v>1978.02</v>
      </c>
      <c r="F1089">
        <v>0</v>
      </c>
      <c r="G1089">
        <v>0</v>
      </c>
      <c r="H1089">
        <v>0</v>
      </c>
      <c r="I1089">
        <v>934.06500000000005</v>
      </c>
      <c r="J1089">
        <v>0</v>
      </c>
      <c r="K1089">
        <v>0</v>
      </c>
      <c r="L1089">
        <v>0</v>
      </c>
      <c r="M1089">
        <v>0</v>
      </c>
      <c r="N1089">
        <v>934.06500000000005</v>
      </c>
      <c r="O1089">
        <v>976.95399999999995</v>
      </c>
      <c r="P1089">
        <v>892.48149999999998</v>
      </c>
      <c r="R1089">
        <v>892.48149999999998</v>
      </c>
    </row>
    <row r="1090" spans="1:18" hidden="1" x14ac:dyDescent="0.25">
      <c r="A1090" t="s">
        <v>1217</v>
      </c>
      <c r="B1090" t="s">
        <v>37</v>
      </c>
      <c r="C1090" t="s">
        <v>324</v>
      </c>
      <c r="D1090" t="s">
        <v>21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R1090">
        <v>0</v>
      </c>
    </row>
    <row r="1091" spans="1:18" hidden="1" x14ac:dyDescent="0.25">
      <c r="A1091" t="s">
        <v>1218</v>
      </c>
      <c r="B1091" t="s">
        <v>37</v>
      </c>
      <c r="C1091" t="s">
        <v>324</v>
      </c>
      <c r="D1091" t="s">
        <v>23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483.85910000000001</v>
      </c>
      <c r="R1091">
        <v>483.85910000000001</v>
      </c>
    </row>
    <row r="1092" spans="1:18" hidden="1" x14ac:dyDescent="0.25">
      <c r="A1092" t="s">
        <v>1219</v>
      </c>
      <c r="B1092" t="s">
        <v>37</v>
      </c>
      <c r="C1092" t="s">
        <v>324</v>
      </c>
      <c r="D1092" t="s">
        <v>25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504.29610000000002</v>
      </c>
      <c r="R1092">
        <v>504.29610000000002</v>
      </c>
    </row>
    <row r="1093" spans="1:18" hidden="1" x14ac:dyDescent="0.25">
      <c r="A1093" t="s">
        <v>1220</v>
      </c>
      <c r="B1093" t="s">
        <v>37</v>
      </c>
      <c r="C1093" t="s">
        <v>324</v>
      </c>
      <c r="D1093" t="s">
        <v>27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618.56920000000002</v>
      </c>
      <c r="R1093">
        <v>618.56920000000002</v>
      </c>
    </row>
    <row r="1094" spans="1:18" hidden="1" x14ac:dyDescent="0.25">
      <c r="A1094" t="s">
        <v>1221</v>
      </c>
      <c r="B1094" t="s">
        <v>37</v>
      </c>
      <c r="C1094" t="s">
        <v>324</v>
      </c>
      <c r="D1094" t="s">
        <v>29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332.57909999999998</v>
      </c>
      <c r="R1094">
        <v>332.57900000000001</v>
      </c>
    </row>
    <row r="1095" spans="1:18" hidden="1" x14ac:dyDescent="0.25">
      <c r="A1095" t="s">
        <v>1222</v>
      </c>
      <c r="B1095" t="s">
        <v>37</v>
      </c>
      <c r="C1095" t="s">
        <v>324</v>
      </c>
      <c r="D1095" t="s">
        <v>31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417.0702</v>
      </c>
      <c r="R1095">
        <v>417.0702</v>
      </c>
    </row>
    <row r="1096" spans="1:18" hidden="1" x14ac:dyDescent="0.25">
      <c r="A1096" t="s">
        <v>1223</v>
      </c>
      <c r="B1096" t="s">
        <v>37</v>
      </c>
      <c r="C1096" t="s">
        <v>324</v>
      </c>
      <c r="D1096" t="s">
        <v>33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438.54379999999998</v>
      </c>
      <c r="R1096">
        <v>438.54390000000001</v>
      </c>
    </row>
    <row r="1097" spans="1:18" hidden="1" x14ac:dyDescent="0.25">
      <c r="A1097" t="s">
        <v>1224</v>
      </c>
      <c r="B1097" t="s">
        <v>37</v>
      </c>
      <c r="C1097" t="s">
        <v>324</v>
      </c>
      <c r="D1097" t="s">
        <v>35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706.17049999999995</v>
      </c>
      <c r="R1097">
        <v>706.17049999999995</v>
      </c>
    </row>
    <row r="1098" spans="1:18" hidden="1" x14ac:dyDescent="0.25">
      <c r="A1098" t="s">
        <v>1225</v>
      </c>
      <c r="B1098" t="s">
        <v>37</v>
      </c>
      <c r="C1098" t="s">
        <v>333</v>
      </c>
      <c r="D1098" t="s">
        <v>21</v>
      </c>
      <c r="E1098">
        <v>100.54</v>
      </c>
      <c r="F1098">
        <v>0</v>
      </c>
      <c r="G1098">
        <v>154.44</v>
      </c>
      <c r="H1098">
        <v>0</v>
      </c>
      <c r="I1098">
        <v>0</v>
      </c>
      <c r="J1098">
        <v>0</v>
      </c>
      <c r="K1098">
        <v>106.806</v>
      </c>
      <c r="L1098">
        <v>0</v>
      </c>
      <c r="M1098">
        <v>0</v>
      </c>
      <c r="N1098">
        <v>99.44</v>
      </c>
      <c r="O1098">
        <v>98.494</v>
      </c>
      <c r="P1098">
        <v>0</v>
      </c>
      <c r="Q1098">
        <v>0</v>
      </c>
      <c r="R1098">
        <v>0</v>
      </c>
    </row>
    <row r="1099" spans="1:18" hidden="1" x14ac:dyDescent="0.25">
      <c r="A1099" t="s">
        <v>1226</v>
      </c>
      <c r="B1099" t="s">
        <v>37</v>
      </c>
      <c r="C1099" t="s">
        <v>333</v>
      </c>
      <c r="D1099" t="s">
        <v>23</v>
      </c>
      <c r="E1099">
        <v>171.6</v>
      </c>
      <c r="F1099">
        <v>0</v>
      </c>
      <c r="G1099">
        <v>214.5</v>
      </c>
      <c r="H1099">
        <v>0</v>
      </c>
      <c r="I1099">
        <v>0</v>
      </c>
      <c r="J1099">
        <v>0</v>
      </c>
      <c r="K1099">
        <v>203.238</v>
      </c>
      <c r="L1099">
        <v>0</v>
      </c>
      <c r="M1099">
        <v>0</v>
      </c>
      <c r="N1099">
        <v>172.48</v>
      </c>
      <c r="O1099">
        <v>186.34</v>
      </c>
      <c r="P1099">
        <v>175.93700000000001</v>
      </c>
      <c r="Q1099">
        <v>0</v>
      </c>
      <c r="R1099">
        <v>175.93700000000001</v>
      </c>
    </row>
    <row r="1100" spans="1:18" hidden="1" x14ac:dyDescent="0.25">
      <c r="A1100" t="s">
        <v>1227</v>
      </c>
      <c r="B1100" t="s">
        <v>37</v>
      </c>
      <c r="C1100" t="s">
        <v>333</v>
      </c>
      <c r="D1100" t="s">
        <v>25</v>
      </c>
      <c r="E1100">
        <v>195.36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231.69130000000001</v>
      </c>
      <c r="L1100">
        <v>0</v>
      </c>
      <c r="M1100">
        <v>0</v>
      </c>
      <c r="N1100">
        <v>195.36</v>
      </c>
      <c r="O1100">
        <v>193.6</v>
      </c>
      <c r="P1100">
        <v>179.78219999999999</v>
      </c>
      <c r="Q1100">
        <v>0</v>
      </c>
      <c r="R1100">
        <v>179.78219999999999</v>
      </c>
    </row>
    <row r="1101" spans="1:18" hidden="1" x14ac:dyDescent="0.25">
      <c r="A1101" t="s">
        <v>1228</v>
      </c>
      <c r="B1101" t="s">
        <v>37</v>
      </c>
      <c r="C1101" t="s">
        <v>333</v>
      </c>
      <c r="D1101" t="s">
        <v>27</v>
      </c>
      <c r="E1101">
        <v>227.26</v>
      </c>
      <c r="F1101">
        <v>0</v>
      </c>
      <c r="G1101">
        <v>307.56</v>
      </c>
      <c r="H1101">
        <v>272.25</v>
      </c>
      <c r="I1101">
        <v>275.66000000000003</v>
      </c>
      <c r="J1101">
        <v>0</v>
      </c>
      <c r="K1101">
        <v>0</v>
      </c>
      <c r="L1101">
        <v>0</v>
      </c>
      <c r="M1101">
        <v>0</v>
      </c>
      <c r="N1101">
        <v>258.72000000000003</v>
      </c>
      <c r="O1101">
        <v>235.58699999999999</v>
      </c>
      <c r="P1101">
        <v>234.90180000000001</v>
      </c>
      <c r="Q1101">
        <v>0</v>
      </c>
      <c r="R1101">
        <v>234.90180000000001</v>
      </c>
    </row>
    <row r="1102" spans="1:18" hidden="1" x14ac:dyDescent="0.25">
      <c r="A1102" t="s">
        <v>1229</v>
      </c>
      <c r="B1102" t="s">
        <v>37</v>
      </c>
      <c r="C1102" t="s">
        <v>333</v>
      </c>
      <c r="D1102" t="s">
        <v>29</v>
      </c>
      <c r="E1102">
        <v>103.84</v>
      </c>
      <c r="F1102">
        <v>108.24</v>
      </c>
      <c r="G1102">
        <v>159.94</v>
      </c>
      <c r="H1102">
        <v>0</v>
      </c>
      <c r="I1102">
        <v>0</v>
      </c>
      <c r="J1102">
        <v>0</v>
      </c>
      <c r="K1102">
        <v>120.078</v>
      </c>
      <c r="L1102">
        <v>0</v>
      </c>
      <c r="M1102">
        <v>0</v>
      </c>
      <c r="N1102">
        <v>110.44</v>
      </c>
      <c r="O1102">
        <v>137.09299999999999</v>
      </c>
      <c r="P1102">
        <v>106.38939999999999</v>
      </c>
      <c r="Q1102">
        <v>108.24</v>
      </c>
      <c r="R1102">
        <v>106.38939999999999</v>
      </c>
    </row>
    <row r="1103" spans="1:18" hidden="1" x14ac:dyDescent="0.25">
      <c r="A1103" t="s">
        <v>1230</v>
      </c>
      <c r="B1103" t="s">
        <v>37</v>
      </c>
      <c r="C1103" t="s">
        <v>333</v>
      </c>
      <c r="D1103" t="s">
        <v>31</v>
      </c>
      <c r="E1103">
        <v>143</v>
      </c>
      <c r="F1103">
        <v>135.30000000000001</v>
      </c>
      <c r="G1103">
        <v>173.8</v>
      </c>
      <c r="H1103">
        <v>0</v>
      </c>
      <c r="I1103">
        <v>156.387</v>
      </c>
      <c r="J1103">
        <v>0</v>
      </c>
      <c r="K1103">
        <v>148.37549999999999</v>
      </c>
      <c r="L1103">
        <v>0</v>
      </c>
      <c r="M1103">
        <v>0</v>
      </c>
      <c r="N1103">
        <v>135.52000000000001</v>
      </c>
      <c r="O1103">
        <v>151.73400000000001</v>
      </c>
      <c r="P1103">
        <v>130.71549999999999</v>
      </c>
      <c r="Q1103">
        <v>135.30000000000001</v>
      </c>
      <c r="R1103">
        <v>130.71549999999999</v>
      </c>
    </row>
    <row r="1104" spans="1:18" hidden="1" x14ac:dyDescent="0.25">
      <c r="A1104" t="s">
        <v>1231</v>
      </c>
      <c r="B1104" t="s">
        <v>37</v>
      </c>
      <c r="C1104" t="s">
        <v>333</v>
      </c>
      <c r="D1104" t="s">
        <v>33</v>
      </c>
      <c r="E1104">
        <v>157.30000000000001</v>
      </c>
      <c r="F1104">
        <v>147.59800000000001</v>
      </c>
      <c r="G1104">
        <v>179.3</v>
      </c>
      <c r="H1104">
        <v>0</v>
      </c>
      <c r="I1104">
        <v>156.387</v>
      </c>
      <c r="J1104">
        <v>0</v>
      </c>
      <c r="K1104">
        <v>168.96600000000001</v>
      </c>
      <c r="L1104">
        <v>0</v>
      </c>
      <c r="M1104">
        <v>0</v>
      </c>
      <c r="N1104">
        <v>147.84</v>
      </c>
      <c r="O1104">
        <v>166.375</v>
      </c>
      <c r="P1104">
        <v>150.47999999999999</v>
      </c>
      <c r="Q1104">
        <v>147.59800000000001</v>
      </c>
      <c r="R1104">
        <v>150.47999999999999</v>
      </c>
    </row>
    <row r="1105" spans="1:18" hidden="1" x14ac:dyDescent="0.25">
      <c r="A1105" t="s">
        <v>1232</v>
      </c>
      <c r="B1105" t="s">
        <v>37</v>
      </c>
      <c r="C1105" t="s">
        <v>333</v>
      </c>
      <c r="D1105" t="s">
        <v>35</v>
      </c>
      <c r="E1105">
        <v>272.25</v>
      </c>
      <c r="F1105">
        <v>0</v>
      </c>
      <c r="G1105">
        <v>288.51429999999999</v>
      </c>
      <c r="H1105">
        <v>272.25</v>
      </c>
      <c r="I1105" s="107">
        <v>270.32499999999999</v>
      </c>
      <c r="J1105">
        <v>0</v>
      </c>
      <c r="K1105">
        <v>0</v>
      </c>
      <c r="L1105">
        <v>0</v>
      </c>
      <c r="M1105">
        <v>0</v>
      </c>
      <c r="N1105">
        <v>258.72000000000003</v>
      </c>
      <c r="O1105">
        <v>291.48899999999998</v>
      </c>
      <c r="P1105">
        <v>265.61680000000001</v>
      </c>
      <c r="Q1105">
        <v>0</v>
      </c>
      <c r="R1105">
        <v>265.61669999999998</v>
      </c>
    </row>
    <row r="1106" spans="1:18" hidden="1" x14ac:dyDescent="0.25">
      <c r="A1106" t="s">
        <v>1233</v>
      </c>
      <c r="B1106" t="s">
        <v>37</v>
      </c>
      <c r="C1106" t="s">
        <v>342</v>
      </c>
      <c r="D1106" t="s">
        <v>21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R1106">
        <v>0</v>
      </c>
    </row>
    <row r="1107" spans="1:18" hidden="1" x14ac:dyDescent="0.25">
      <c r="A1107" t="s">
        <v>1234</v>
      </c>
      <c r="B1107" t="s">
        <v>37</v>
      </c>
      <c r="C1107" t="s">
        <v>342</v>
      </c>
      <c r="D1107" t="s">
        <v>23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210.5215</v>
      </c>
      <c r="R1107">
        <v>210.5215</v>
      </c>
    </row>
    <row r="1108" spans="1:18" hidden="1" x14ac:dyDescent="0.25">
      <c r="A1108" t="s">
        <v>1235</v>
      </c>
      <c r="B1108" t="s">
        <v>37</v>
      </c>
      <c r="C1108" t="s">
        <v>342</v>
      </c>
      <c r="D1108" t="s">
        <v>25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209.82239999999999</v>
      </c>
      <c r="R1108">
        <v>209.82239999999999</v>
      </c>
    </row>
    <row r="1109" spans="1:18" hidden="1" x14ac:dyDescent="0.25">
      <c r="A1109" t="s">
        <v>1236</v>
      </c>
      <c r="B1109" t="s">
        <v>37</v>
      </c>
      <c r="C1109" t="s">
        <v>342</v>
      </c>
      <c r="D1109" t="s">
        <v>27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349.26409999999998</v>
      </c>
      <c r="R1109">
        <v>349.26409999999998</v>
      </c>
    </row>
    <row r="1110" spans="1:18" hidden="1" x14ac:dyDescent="0.25">
      <c r="A1110" t="s">
        <v>1237</v>
      </c>
      <c r="B1110" t="s">
        <v>37</v>
      </c>
      <c r="C1110" t="s">
        <v>342</v>
      </c>
      <c r="D1110" t="s">
        <v>29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138.84289999999999</v>
      </c>
      <c r="R1110">
        <v>138.84289999999999</v>
      </c>
    </row>
    <row r="1111" spans="1:18" hidden="1" x14ac:dyDescent="0.25">
      <c r="A1111" t="s">
        <v>1238</v>
      </c>
      <c r="B1111" t="s">
        <v>37</v>
      </c>
      <c r="C1111" t="s">
        <v>342</v>
      </c>
      <c r="D1111" t="s">
        <v>31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164.39750000000001</v>
      </c>
      <c r="R1111">
        <v>164.39760000000001</v>
      </c>
    </row>
    <row r="1112" spans="1:18" hidden="1" x14ac:dyDescent="0.25">
      <c r="A1112" t="s">
        <v>1239</v>
      </c>
      <c r="B1112" t="s">
        <v>37</v>
      </c>
      <c r="C1112" t="s">
        <v>342</v>
      </c>
      <c r="D1112" t="s">
        <v>33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181.82490000000001</v>
      </c>
      <c r="R1112">
        <v>181.82490000000001</v>
      </c>
    </row>
    <row r="1113" spans="1:18" hidden="1" x14ac:dyDescent="0.25">
      <c r="A1113" t="s">
        <v>1240</v>
      </c>
      <c r="B1113" t="s">
        <v>37</v>
      </c>
      <c r="C1113" t="s">
        <v>342</v>
      </c>
      <c r="D1113" t="s">
        <v>35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360.7758</v>
      </c>
      <c r="R1113">
        <v>360.7758</v>
      </c>
    </row>
    <row r="1114" spans="1:18" hidden="1" x14ac:dyDescent="0.25">
      <c r="A1114" t="s">
        <v>1241</v>
      </c>
      <c r="B1114" t="s">
        <v>37</v>
      </c>
      <c r="C1114" t="s">
        <v>351</v>
      </c>
      <c r="D1114" t="s">
        <v>21</v>
      </c>
      <c r="E1114">
        <v>217.8</v>
      </c>
      <c r="F1114">
        <v>0</v>
      </c>
      <c r="G1114">
        <v>304.7</v>
      </c>
      <c r="H1114">
        <v>0</v>
      </c>
      <c r="I1114">
        <v>0</v>
      </c>
      <c r="J1114">
        <v>0</v>
      </c>
      <c r="K1114">
        <v>235.87200000000001</v>
      </c>
      <c r="L1114">
        <v>0</v>
      </c>
      <c r="M1114">
        <v>0</v>
      </c>
      <c r="N1114">
        <v>244.2</v>
      </c>
      <c r="O1114">
        <v>210.298</v>
      </c>
      <c r="P1114">
        <v>0</v>
      </c>
      <c r="R1114">
        <v>0</v>
      </c>
    </row>
    <row r="1115" spans="1:18" hidden="1" x14ac:dyDescent="0.25">
      <c r="A1115" t="s">
        <v>1242</v>
      </c>
      <c r="B1115" t="s">
        <v>37</v>
      </c>
      <c r="C1115" t="s">
        <v>351</v>
      </c>
      <c r="D1115" t="s">
        <v>23</v>
      </c>
      <c r="E1115">
        <v>332.69499999999999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408.1927</v>
      </c>
      <c r="L1115">
        <v>0</v>
      </c>
      <c r="M1115">
        <v>0</v>
      </c>
      <c r="N1115">
        <v>409.03500000000003</v>
      </c>
      <c r="O1115">
        <v>336.74299999999999</v>
      </c>
      <c r="P1115">
        <v>330.50040000000001</v>
      </c>
      <c r="R1115">
        <v>330.50029999999998</v>
      </c>
    </row>
    <row r="1116" spans="1:18" hidden="1" x14ac:dyDescent="0.25">
      <c r="A1116" t="s">
        <v>1243</v>
      </c>
      <c r="B1116" t="s">
        <v>37</v>
      </c>
      <c r="C1116" t="s">
        <v>351</v>
      </c>
      <c r="D1116" t="s">
        <v>25</v>
      </c>
      <c r="E1116">
        <v>364.32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458.3313</v>
      </c>
      <c r="L1116">
        <v>0</v>
      </c>
      <c r="M1116">
        <v>0</v>
      </c>
      <c r="N1116">
        <v>427.35</v>
      </c>
      <c r="O1116">
        <v>444.55399999999997</v>
      </c>
      <c r="P1116">
        <v>369.42840000000001</v>
      </c>
      <c r="R1116">
        <v>369.42840000000001</v>
      </c>
    </row>
    <row r="1117" spans="1:18" hidden="1" x14ac:dyDescent="0.25">
      <c r="A1117" t="s">
        <v>1244</v>
      </c>
      <c r="B1117" t="s">
        <v>37</v>
      </c>
      <c r="C1117" t="s">
        <v>351</v>
      </c>
      <c r="D1117" t="s">
        <v>27</v>
      </c>
      <c r="E1117">
        <v>563.04600000000005</v>
      </c>
      <c r="F1117">
        <v>0</v>
      </c>
      <c r="G1117">
        <v>0</v>
      </c>
      <c r="H1117">
        <v>684.42</v>
      </c>
      <c r="I1117">
        <v>610.5</v>
      </c>
      <c r="J1117">
        <v>0</v>
      </c>
      <c r="K1117">
        <v>0</v>
      </c>
      <c r="L1117">
        <v>0</v>
      </c>
      <c r="M1117">
        <v>572.13750000000005</v>
      </c>
      <c r="N1117">
        <v>586.08000000000004</v>
      </c>
      <c r="O1117">
        <v>641.29999999999995</v>
      </c>
      <c r="P1117">
        <v>565.50070000000005</v>
      </c>
      <c r="R1117">
        <v>565.50070000000005</v>
      </c>
    </row>
    <row r="1118" spans="1:18" hidden="1" x14ac:dyDescent="0.25">
      <c r="A1118" t="s">
        <v>1245</v>
      </c>
      <c r="B1118" t="s">
        <v>37</v>
      </c>
      <c r="C1118" t="s">
        <v>351</v>
      </c>
      <c r="D1118" t="s">
        <v>29</v>
      </c>
      <c r="E1118">
        <v>233.2</v>
      </c>
      <c r="F1118">
        <v>0</v>
      </c>
      <c r="G1118">
        <v>312.39999999999998</v>
      </c>
      <c r="H1118">
        <v>0</v>
      </c>
      <c r="I1118">
        <v>0</v>
      </c>
      <c r="J1118">
        <v>0</v>
      </c>
      <c r="K1118">
        <v>256.17899999999997</v>
      </c>
      <c r="L1118">
        <v>0</v>
      </c>
      <c r="M1118">
        <v>0</v>
      </c>
      <c r="N1118">
        <v>266.2</v>
      </c>
      <c r="O1118">
        <v>246.23500000000001</v>
      </c>
      <c r="P1118">
        <v>229.00980000000001</v>
      </c>
      <c r="R1118">
        <v>229.00980000000001</v>
      </c>
    </row>
    <row r="1119" spans="1:18" hidden="1" x14ac:dyDescent="0.25">
      <c r="A1119" t="s">
        <v>1246</v>
      </c>
      <c r="B1119" t="s">
        <v>37</v>
      </c>
      <c r="C1119" t="s">
        <v>351</v>
      </c>
      <c r="D1119" t="s">
        <v>31</v>
      </c>
      <c r="E1119">
        <v>276.10000000000002</v>
      </c>
      <c r="F1119">
        <v>0</v>
      </c>
      <c r="G1119">
        <v>345.4</v>
      </c>
      <c r="H1119">
        <v>0</v>
      </c>
      <c r="I1119">
        <v>329.08699999999999</v>
      </c>
      <c r="J1119">
        <v>0</v>
      </c>
      <c r="K1119">
        <v>318.47550000000001</v>
      </c>
      <c r="L1119">
        <v>0</v>
      </c>
      <c r="M1119">
        <v>0</v>
      </c>
      <c r="N1119">
        <v>330</v>
      </c>
      <c r="O1119">
        <v>284.834</v>
      </c>
      <c r="P1119">
        <v>268.30070000000001</v>
      </c>
      <c r="R1119">
        <v>268.30059999999997</v>
      </c>
    </row>
    <row r="1120" spans="1:18" hidden="1" x14ac:dyDescent="0.25">
      <c r="A1120" t="s">
        <v>1247</v>
      </c>
      <c r="B1120" t="s">
        <v>37</v>
      </c>
      <c r="C1120" t="s">
        <v>351</v>
      </c>
      <c r="D1120" t="s">
        <v>33</v>
      </c>
      <c r="E1120">
        <v>312.39999999999998</v>
      </c>
      <c r="F1120">
        <v>0</v>
      </c>
      <c r="G1120">
        <v>361.9</v>
      </c>
      <c r="H1120">
        <v>0</v>
      </c>
      <c r="I1120">
        <v>329.08699999999999</v>
      </c>
      <c r="J1120">
        <v>0</v>
      </c>
      <c r="K1120">
        <v>344.31599999999997</v>
      </c>
      <c r="L1120">
        <v>0</v>
      </c>
      <c r="M1120">
        <v>0</v>
      </c>
      <c r="N1120">
        <v>352</v>
      </c>
      <c r="O1120">
        <v>307.46100000000001</v>
      </c>
      <c r="P1120">
        <v>304.94099999999997</v>
      </c>
      <c r="R1120">
        <v>304.94099999999997</v>
      </c>
    </row>
    <row r="1121" spans="1:18" hidden="1" x14ac:dyDescent="0.25">
      <c r="A1121" t="s">
        <v>1248</v>
      </c>
      <c r="B1121" t="s">
        <v>37</v>
      </c>
      <c r="C1121" t="s">
        <v>351</v>
      </c>
      <c r="D1121" t="s">
        <v>35</v>
      </c>
      <c r="E1121">
        <v>679.66800000000001</v>
      </c>
      <c r="F1121">
        <v>0</v>
      </c>
      <c r="G1121">
        <v>0</v>
      </c>
      <c r="H1121">
        <v>684.42</v>
      </c>
      <c r="I1121">
        <v>610.5</v>
      </c>
      <c r="J1121">
        <v>0</v>
      </c>
      <c r="K1121">
        <v>0</v>
      </c>
      <c r="L1121">
        <v>0</v>
      </c>
      <c r="M1121">
        <v>653.33399999999995</v>
      </c>
      <c r="N1121">
        <v>610.5</v>
      </c>
      <c r="O1121">
        <v>655.82</v>
      </c>
      <c r="P1121">
        <v>594.62170000000003</v>
      </c>
      <c r="R1121">
        <v>615.23</v>
      </c>
    </row>
    <row r="1122" spans="1:18" hidden="1" x14ac:dyDescent="0.25">
      <c r="A1122" t="s">
        <v>1249</v>
      </c>
      <c r="B1122" t="s">
        <v>37</v>
      </c>
      <c r="C1122" t="s">
        <v>360</v>
      </c>
      <c r="D1122" t="s">
        <v>21</v>
      </c>
      <c r="E1122">
        <v>209.99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227.55600000000001</v>
      </c>
      <c r="L1122">
        <v>0</v>
      </c>
      <c r="M1122">
        <v>0</v>
      </c>
      <c r="N1122">
        <v>231.99</v>
      </c>
      <c r="O1122">
        <v>210.298</v>
      </c>
      <c r="P1122">
        <v>0</v>
      </c>
      <c r="R1122">
        <v>0</v>
      </c>
    </row>
    <row r="1123" spans="1:18" hidden="1" x14ac:dyDescent="0.25">
      <c r="A1123" t="s">
        <v>1250</v>
      </c>
      <c r="B1123" t="s">
        <v>37</v>
      </c>
      <c r="C1123" t="s">
        <v>360</v>
      </c>
      <c r="D1123" t="s">
        <v>23</v>
      </c>
      <c r="E1123">
        <v>309.92500000000001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408.1927</v>
      </c>
      <c r="L1123">
        <v>0</v>
      </c>
      <c r="M1123">
        <v>0</v>
      </c>
      <c r="N1123">
        <v>409.03500000000003</v>
      </c>
      <c r="O1123">
        <v>411.4</v>
      </c>
      <c r="P1123">
        <v>308.35860000000002</v>
      </c>
      <c r="R1123">
        <v>308.35860000000002</v>
      </c>
    </row>
    <row r="1124" spans="1:18" hidden="1" x14ac:dyDescent="0.25">
      <c r="A1124" t="s">
        <v>1251</v>
      </c>
      <c r="B1124" t="s">
        <v>37</v>
      </c>
      <c r="C1124" t="s">
        <v>360</v>
      </c>
      <c r="D1124" t="s">
        <v>25</v>
      </c>
      <c r="E1124">
        <v>320.04500000000002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458.3313</v>
      </c>
      <c r="L1124">
        <v>0</v>
      </c>
      <c r="M1124">
        <v>0</v>
      </c>
      <c r="N1124">
        <v>427.35</v>
      </c>
      <c r="O1124">
        <v>435.6</v>
      </c>
      <c r="P1124">
        <v>303.40530000000001</v>
      </c>
      <c r="R1124">
        <v>351.54899999999998</v>
      </c>
    </row>
    <row r="1125" spans="1:18" hidden="1" x14ac:dyDescent="0.25">
      <c r="A1125" t="s">
        <v>1252</v>
      </c>
      <c r="B1125" t="s">
        <v>37</v>
      </c>
      <c r="C1125" t="s">
        <v>360</v>
      </c>
      <c r="D1125" t="s">
        <v>27</v>
      </c>
      <c r="E1125">
        <v>563.04600000000005</v>
      </c>
      <c r="F1125">
        <v>0</v>
      </c>
      <c r="G1125">
        <v>0</v>
      </c>
      <c r="H1125">
        <v>684.42</v>
      </c>
      <c r="I1125">
        <v>604.39499999999998</v>
      </c>
      <c r="J1125">
        <v>0</v>
      </c>
      <c r="K1125">
        <v>0</v>
      </c>
      <c r="L1125">
        <v>0</v>
      </c>
      <c r="M1125">
        <v>572.13750000000005</v>
      </c>
      <c r="N1125">
        <v>586.08000000000004</v>
      </c>
      <c r="O1125">
        <v>553.69600000000003</v>
      </c>
      <c r="P1125">
        <v>552.54600000000005</v>
      </c>
      <c r="R1125">
        <v>552.54600000000005</v>
      </c>
    </row>
    <row r="1126" spans="1:18" hidden="1" x14ac:dyDescent="0.25">
      <c r="A1126" t="s">
        <v>1253</v>
      </c>
      <c r="B1126" t="s">
        <v>37</v>
      </c>
      <c r="C1126" t="s">
        <v>360</v>
      </c>
      <c r="D1126" t="s">
        <v>29</v>
      </c>
      <c r="E1126">
        <v>232.4666</v>
      </c>
      <c r="F1126">
        <v>0</v>
      </c>
      <c r="G1126">
        <v>334.76670000000001</v>
      </c>
      <c r="H1126">
        <v>0</v>
      </c>
      <c r="I1126">
        <v>0</v>
      </c>
      <c r="J1126">
        <v>0</v>
      </c>
      <c r="K1126">
        <v>255.47550000000001</v>
      </c>
      <c r="L1126">
        <v>0</v>
      </c>
      <c r="M1126">
        <v>0</v>
      </c>
      <c r="N1126">
        <v>265.46300000000002</v>
      </c>
      <c r="O1126">
        <v>246.23500000000001</v>
      </c>
      <c r="P1126">
        <v>229.00980000000001</v>
      </c>
      <c r="R1126">
        <v>229.00980000000001</v>
      </c>
    </row>
    <row r="1127" spans="1:18" hidden="1" x14ac:dyDescent="0.25">
      <c r="A1127" t="s">
        <v>1254</v>
      </c>
      <c r="B1127" t="s">
        <v>37</v>
      </c>
      <c r="C1127" t="s">
        <v>360</v>
      </c>
      <c r="D1127" t="s">
        <v>31</v>
      </c>
      <c r="E1127">
        <v>275.18340000000001</v>
      </c>
      <c r="F1127">
        <v>0</v>
      </c>
      <c r="G1127">
        <v>362.08330000000001</v>
      </c>
      <c r="H1127">
        <v>0</v>
      </c>
      <c r="I1127">
        <v>328.16300000000001</v>
      </c>
      <c r="J1127">
        <v>0</v>
      </c>
      <c r="K1127">
        <v>265.82850000000002</v>
      </c>
      <c r="L1127">
        <v>0</v>
      </c>
      <c r="M1127">
        <v>0</v>
      </c>
      <c r="N1127">
        <v>329.08699999999999</v>
      </c>
      <c r="O1127">
        <v>248.05</v>
      </c>
      <c r="P1127">
        <v>249.74279999999999</v>
      </c>
      <c r="R1127">
        <v>249.74279999999999</v>
      </c>
    </row>
    <row r="1128" spans="1:18" hidden="1" x14ac:dyDescent="0.25">
      <c r="A1128" t="s">
        <v>1255</v>
      </c>
      <c r="B1128" t="s">
        <v>37</v>
      </c>
      <c r="C1128" t="s">
        <v>360</v>
      </c>
      <c r="D1128" t="s">
        <v>33</v>
      </c>
      <c r="E1128">
        <v>278.48340000000002</v>
      </c>
      <c r="F1128">
        <v>0</v>
      </c>
      <c r="G1128">
        <v>373.08330000000001</v>
      </c>
      <c r="H1128">
        <v>0</v>
      </c>
      <c r="I1128">
        <v>328.16300000000001</v>
      </c>
      <c r="J1128">
        <v>0</v>
      </c>
      <c r="K1128">
        <v>271.07850000000002</v>
      </c>
      <c r="L1128">
        <v>0</v>
      </c>
      <c r="M1128">
        <v>0</v>
      </c>
      <c r="N1128">
        <v>351.08699999999999</v>
      </c>
      <c r="O1128">
        <v>256.52</v>
      </c>
      <c r="P1128">
        <v>257.16329999999999</v>
      </c>
      <c r="R1128">
        <v>257.16329999999999</v>
      </c>
    </row>
    <row r="1129" spans="1:18" hidden="1" x14ac:dyDescent="0.25">
      <c r="A1129" t="s">
        <v>1256</v>
      </c>
      <c r="B1129" t="s">
        <v>37</v>
      </c>
      <c r="C1129" t="s">
        <v>360</v>
      </c>
      <c r="D1129" t="s">
        <v>35</v>
      </c>
      <c r="E1129">
        <v>688.64400000000001</v>
      </c>
      <c r="F1129">
        <v>0</v>
      </c>
      <c r="G1129">
        <v>0</v>
      </c>
      <c r="H1129">
        <v>684.42</v>
      </c>
      <c r="I1129">
        <v>604.39499999999998</v>
      </c>
      <c r="J1129">
        <v>0</v>
      </c>
      <c r="K1129">
        <v>0</v>
      </c>
      <c r="L1129">
        <v>0</v>
      </c>
      <c r="M1129">
        <v>604.11450000000002</v>
      </c>
      <c r="N1129">
        <v>610.5</v>
      </c>
      <c r="O1129">
        <v>721.40200000000004</v>
      </c>
      <c r="P1129">
        <v>597.93550000000005</v>
      </c>
      <c r="R1129">
        <v>626.428</v>
      </c>
    </row>
    <row r="1130" spans="1:18" hidden="1" x14ac:dyDescent="0.25">
      <c r="A1130" t="s">
        <v>1257</v>
      </c>
      <c r="B1130" t="s">
        <v>37</v>
      </c>
      <c r="C1130" t="s">
        <v>369</v>
      </c>
      <c r="D1130" t="s">
        <v>21</v>
      </c>
      <c r="E1130">
        <v>270.70999999999998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381.11849999999998</v>
      </c>
      <c r="L1130">
        <v>0</v>
      </c>
      <c r="M1130">
        <v>0</v>
      </c>
      <c r="N1130">
        <v>390.72</v>
      </c>
      <c r="O1130">
        <v>259.54500000000002</v>
      </c>
      <c r="P1130">
        <v>0</v>
      </c>
      <c r="R1130">
        <v>0</v>
      </c>
    </row>
    <row r="1131" spans="1:18" hidden="1" x14ac:dyDescent="0.25">
      <c r="A1131" t="s">
        <v>1258</v>
      </c>
      <c r="B1131" t="s">
        <v>37</v>
      </c>
      <c r="C1131" t="s">
        <v>369</v>
      </c>
      <c r="D1131" t="s">
        <v>23</v>
      </c>
      <c r="E1131">
        <v>474.012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608.67449999999997</v>
      </c>
      <c r="L1131">
        <v>0</v>
      </c>
      <c r="M1131">
        <v>0</v>
      </c>
      <c r="N1131">
        <v>622.71</v>
      </c>
      <c r="O1131">
        <v>487.14600000000002</v>
      </c>
      <c r="P1131">
        <v>475.57900000000001</v>
      </c>
      <c r="R1131">
        <v>475.57900000000001</v>
      </c>
    </row>
    <row r="1132" spans="1:18" hidden="1" x14ac:dyDescent="0.25">
      <c r="A1132" t="s">
        <v>1259</v>
      </c>
      <c r="B1132" t="s">
        <v>37</v>
      </c>
      <c r="C1132" t="s">
        <v>369</v>
      </c>
      <c r="D1132" t="s">
        <v>25</v>
      </c>
      <c r="E1132">
        <v>522.91800000000001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698.90940000000001</v>
      </c>
      <c r="L1132">
        <v>0</v>
      </c>
      <c r="M1132">
        <v>0</v>
      </c>
      <c r="N1132">
        <v>647.13</v>
      </c>
      <c r="O1132">
        <v>559.02</v>
      </c>
      <c r="P1132">
        <v>527.57100000000003</v>
      </c>
      <c r="R1132">
        <v>527.57100000000003</v>
      </c>
    </row>
    <row r="1133" spans="1:18" hidden="1" x14ac:dyDescent="0.25">
      <c r="A1133" t="s">
        <v>1260</v>
      </c>
      <c r="B1133" t="s">
        <v>37</v>
      </c>
      <c r="C1133" t="s">
        <v>369</v>
      </c>
      <c r="D1133" t="s">
        <v>27</v>
      </c>
      <c r="E1133">
        <v>620.73</v>
      </c>
      <c r="F1133">
        <v>0</v>
      </c>
      <c r="G1133">
        <v>0</v>
      </c>
      <c r="H1133">
        <v>0</v>
      </c>
      <c r="I1133">
        <v>775.33500000000004</v>
      </c>
      <c r="J1133">
        <v>0</v>
      </c>
      <c r="K1133">
        <v>0</v>
      </c>
      <c r="L1133">
        <v>0</v>
      </c>
      <c r="M1133">
        <v>0</v>
      </c>
      <c r="N1133">
        <v>769.23</v>
      </c>
      <c r="O1133">
        <v>609.59799999999996</v>
      </c>
      <c r="P1133">
        <v>607.05740000000003</v>
      </c>
      <c r="R1133">
        <v>607.0575</v>
      </c>
    </row>
    <row r="1134" spans="1:18" hidden="1" x14ac:dyDescent="0.25">
      <c r="A1134" t="s">
        <v>1261</v>
      </c>
      <c r="B1134" t="s">
        <v>37</v>
      </c>
      <c r="C1134" t="s">
        <v>369</v>
      </c>
      <c r="D1134" t="s">
        <v>29</v>
      </c>
      <c r="E1134">
        <v>297.29340000000002</v>
      </c>
      <c r="F1134">
        <v>0</v>
      </c>
      <c r="G1134">
        <v>512.89329999999995</v>
      </c>
      <c r="H1134">
        <v>0</v>
      </c>
      <c r="I1134">
        <v>0</v>
      </c>
      <c r="J1134">
        <v>0</v>
      </c>
      <c r="K1134">
        <v>411.8415</v>
      </c>
      <c r="L1134">
        <v>0</v>
      </c>
      <c r="M1134">
        <v>0</v>
      </c>
      <c r="N1134">
        <v>427.09699999999998</v>
      </c>
      <c r="O1134">
        <v>335.41199999999998</v>
      </c>
      <c r="P1134">
        <v>288.10340000000002</v>
      </c>
      <c r="R1134">
        <v>288.1035</v>
      </c>
    </row>
    <row r="1135" spans="1:18" hidden="1" x14ac:dyDescent="0.25">
      <c r="A1135" t="s">
        <v>1262</v>
      </c>
      <c r="B1135" t="s">
        <v>37</v>
      </c>
      <c r="C1135" t="s">
        <v>369</v>
      </c>
      <c r="D1135" t="s">
        <v>31</v>
      </c>
      <c r="E1135">
        <v>382.06659999999999</v>
      </c>
      <c r="F1135">
        <v>0</v>
      </c>
      <c r="G1135">
        <v>566.86670000000004</v>
      </c>
      <c r="H1135">
        <v>0</v>
      </c>
      <c r="I1135">
        <v>532.95000000000005</v>
      </c>
      <c r="J1135">
        <v>0</v>
      </c>
      <c r="K1135">
        <v>513.072</v>
      </c>
      <c r="L1135">
        <v>0</v>
      </c>
      <c r="M1135">
        <v>0</v>
      </c>
      <c r="N1135">
        <v>533.86300000000006</v>
      </c>
      <c r="O1135">
        <v>417.93400000000003</v>
      </c>
      <c r="P1135">
        <v>371.28769999999997</v>
      </c>
      <c r="R1135">
        <v>371.28769999999997</v>
      </c>
    </row>
    <row r="1136" spans="1:18" hidden="1" x14ac:dyDescent="0.25">
      <c r="A1136" t="s">
        <v>1263</v>
      </c>
      <c r="B1136" t="s">
        <v>37</v>
      </c>
      <c r="C1136" t="s">
        <v>369</v>
      </c>
      <c r="D1136" t="s">
        <v>33</v>
      </c>
      <c r="E1136">
        <v>448.93200000000002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529.10550000000001</v>
      </c>
      <c r="L1136">
        <v>0</v>
      </c>
      <c r="M1136">
        <v>0</v>
      </c>
      <c r="N1136">
        <v>537.24</v>
      </c>
      <c r="O1136">
        <v>441.79300000000001</v>
      </c>
      <c r="P1136">
        <v>440.12389999999999</v>
      </c>
      <c r="R1136">
        <v>440.12389999999999</v>
      </c>
    </row>
    <row r="1137" spans="1:18" hidden="1" x14ac:dyDescent="0.25">
      <c r="A1137" t="s">
        <v>1264</v>
      </c>
      <c r="B1137" t="s">
        <v>37</v>
      </c>
      <c r="C1137" t="s">
        <v>369</v>
      </c>
      <c r="D1137" t="s">
        <v>35</v>
      </c>
      <c r="E1137">
        <v>743.62199999999996</v>
      </c>
      <c r="F1137">
        <v>0</v>
      </c>
      <c r="G1137">
        <v>0</v>
      </c>
      <c r="H1137">
        <v>0</v>
      </c>
      <c r="I1137">
        <v>775.33500000000004</v>
      </c>
      <c r="J1137">
        <v>0</v>
      </c>
      <c r="K1137">
        <v>0</v>
      </c>
      <c r="L1137">
        <v>0</v>
      </c>
      <c r="M1137">
        <v>0</v>
      </c>
      <c r="N1137">
        <v>781.44</v>
      </c>
      <c r="O1137">
        <v>730.71900000000005</v>
      </c>
      <c r="P1137">
        <v>727.59429999999998</v>
      </c>
      <c r="R1137">
        <v>727.59439999999995</v>
      </c>
    </row>
    <row r="1138" spans="1:18" hidden="1" x14ac:dyDescent="0.25">
      <c r="A1138" t="s">
        <v>1265</v>
      </c>
      <c r="B1138" t="s">
        <v>37</v>
      </c>
      <c r="C1138" t="s">
        <v>378</v>
      </c>
      <c r="D1138" t="s">
        <v>21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R1138">
        <v>0</v>
      </c>
    </row>
    <row r="1139" spans="1:18" hidden="1" x14ac:dyDescent="0.25">
      <c r="A1139" t="s">
        <v>1266</v>
      </c>
      <c r="B1139" t="s">
        <v>37</v>
      </c>
      <c r="C1139" t="s">
        <v>378</v>
      </c>
      <c r="D1139" t="s">
        <v>23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305.84769999999997</v>
      </c>
      <c r="R1139">
        <v>305.84769999999997</v>
      </c>
    </row>
    <row r="1140" spans="1:18" hidden="1" x14ac:dyDescent="0.25">
      <c r="A1140" t="s">
        <v>1267</v>
      </c>
      <c r="B1140" t="s">
        <v>37</v>
      </c>
      <c r="C1140" t="s">
        <v>378</v>
      </c>
      <c r="D1140" t="s">
        <v>25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324.9554</v>
      </c>
      <c r="R1140">
        <v>324.9554</v>
      </c>
    </row>
    <row r="1141" spans="1:18" hidden="1" x14ac:dyDescent="0.25">
      <c r="A1141" t="s">
        <v>1268</v>
      </c>
      <c r="B1141" t="s">
        <v>37</v>
      </c>
      <c r="C1141" t="s">
        <v>378</v>
      </c>
      <c r="D1141" t="s">
        <v>27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453.11279999999999</v>
      </c>
      <c r="R1141">
        <v>453.11279999999999</v>
      </c>
    </row>
    <row r="1142" spans="1:18" hidden="1" x14ac:dyDescent="0.25">
      <c r="A1142" t="s">
        <v>1269</v>
      </c>
      <c r="B1142" t="s">
        <v>37</v>
      </c>
      <c r="C1142" t="s">
        <v>378</v>
      </c>
      <c r="D1142" t="s">
        <v>29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215.8323</v>
      </c>
      <c r="R1142">
        <v>215.8323</v>
      </c>
    </row>
    <row r="1143" spans="1:18" hidden="1" x14ac:dyDescent="0.25">
      <c r="A1143" t="s">
        <v>1270</v>
      </c>
      <c r="B1143" t="s">
        <v>37</v>
      </c>
      <c r="C1143" t="s">
        <v>378</v>
      </c>
      <c r="D1143" t="s">
        <v>31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230.38589999999999</v>
      </c>
      <c r="R1143">
        <v>230.38589999999999</v>
      </c>
    </row>
    <row r="1144" spans="1:18" hidden="1" x14ac:dyDescent="0.25">
      <c r="A1144" t="s">
        <v>1271</v>
      </c>
      <c r="B1144" t="s">
        <v>37</v>
      </c>
      <c r="C1144" t="s">
        <v>378</v>
      </c>
      <c r="D1144" t="s">
        <v>33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259.2577</v>
      </c>
      <c r="R1144">
        <v>259.2577</v>
      </c>
    </row>
    <row r="1145" spans="1:18" hidden="1" x14ac:dyDescent="0.25">
      <c r="A1145" t="s">
        <v>1272</v>
      </c>
      <c r="B1145" t="s">
        <v>37</v>
      </c>
      <c r="C1145" t="s">
        <v>378</v>
      </c>
      <c r="D1145" t="s">
        <v>35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465.6909</v>
      </c>
      <c r="R1145">
        <v>465.6909</v>
      </c>
    </row>
    <row r="1146" spans="1:18" hidden="1" x14ac:dyDescent="0.25">
      <c r="A1146" t="s">
        <v>1273</v>
      </c>
      <c r="B1146" t="s">
        <v>37</v>
      </c>
      <c r="C1146" t="s">
        <v>387</v>
      </c>
      <c r="D1146" t="s">
        <v>21</v>
      </c>
      <c r="E1146">
        <v>115.995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112.2821</v>
      </c>
      <c r="L1146">
        <v>0</v>
      </c>
      <c r="M1146">
        <v>0</v>
      </c>
      <c r="N1146">
        <v>115.995</v>
      </c>
      <c r="O1146">
        <v>110.473</v>
      </c>
      <c r="P1146">
        <v>0</v>
      </c>
      <c r="R1146">
        <v>0</v>
      </c>
    </row>
    <row r="1147" spans="1:18" hidden="1" x14ac:dyDescent="0.25">
      <c r="A1147" t="s">
        <v>1274</v>
      </c>
      <c r="B1147" t="s">
        <v>37</v>
      </c>
      <c r="C1147" t="s">
        <v>387</v>
      </c>
      <c r="D1147" t="s">
        <v>23</v>
      </c>
      <c r="E1147">
        <v>206.34899999999999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230.31399999999999</v>
      </c>
      <c r="L1147">
        <v>0</v>
      </c>
      <c r="M1147">
        <v>0</v>
      </c>
      <c r="N1147">
        <v>238.095</v>
      </c>
      <c r="O1147">
        <v>190.333</v>
      </c>
      <c r="P1147">
        <v>192.12370000000001</v>
      </c>
      <c r="R1147">
        <v>192.12370000000001</v>
      </c>
    </row>
    <row r="1148" spans="1:18" hidden="1" x14ac:dyDescent="0.25">
      <c r="A1148" t="s">
        <v>1275</v>
      </c>
      <c r="B1148" t="s">
        <v>37</v>
      </c>
      <c r="C1148" t="s">
        <v>387</v>
      </c>
      <c r="D1148" t="s">
        <v>25</v>
      </c>
      <c r="E1148">
        <v>219.78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244.8768</v>
      </c>
      <c r="L1148">
        <v>0</v>
      </c>
      <c r="M1148">
        <v>0</v>
      </c>
      <c r="N1148">
        <v>256.41000000000003</v>
      </c>
      <c r="O1148">
        <v>222.27699999999999</v>
      </c>
      <c r="P1148">
        <v>211.01</v>
      </c>
      <c r="R1148">
        <v>211.01009999999999</v>
      </c>
    </row>
    <row r="1149" spans="1:18" hidden="1" x14ac:dyDescent="0.25">
      <c r="A1149" t="s">
        <v>1276</v>
      </c>
      <c r="B1149" t="s">
        <v>37</v>
      </c>
      <c r="C1149" t="s">
        <v>387</v>
      </c>
      <c r="D1149" t="s">
        <v>27</v>
      </c>
      <c r="E1149">
        <v>324.786</v>
      </c>
      <c r="F1149">
        <v>0</v>
      </c>
      <c r="G1149">
        <v>0</v>
      </c>
      <c r="H1149">
        <v>0</v>
      </c>
      <c r="I1149">
        <v>329.67</v>
      </c>
      <c r="J1149">
        <v>0</v>
      </c>
      <c r="K1149">
        <v>0</v>
      </c>
      <c r="L1149">
        <v>0</v>
      </c>
      <c r="M1149">
        <v>0</v>
      </c>
      <c r="N1149">
        <v>317.45999999999998</v>
      </c>
      <c r="O1149">
        <v>242.24199999999999</v>
      </c>
      <c r="P1149">
        <v>251.65170000000001</v>
      </c>
      <c r="R1149">
        <v>251.65170000000001</v>
      </c>
    </row>
    <row r="1150" spans="1:18" hidden="1" x14ac:dyDescent="0.25">
      <c r="A1150" t="s">
        <v>1277</v>
      </c>
      <c r="B1150" t="s">
        <v>37</v>
      </c>
      <c r="C1150" t="s">
        <v>387</v>
      </c>
      <c r="D1150" t="s">
        <v>29</v>
      </c>
      <c r="E1150">
        <v>133.0266</v>
      </c>
      <c r="F1150">
        <v>0</v>
      </c>
      <c r="G1150">
        <v>158.32669999999999</v>
      </c>
      <c r="H1150">
        <v>0</v>
      </c>
      <c r="I1150">
        <v>0</v>
      </c>
      <c r="J1150">
        <v>0</v>
      </c>
      <c r="K1150">
        <v>125.29649999999999</v>
      </c>
      <c r="L1150">
        <v>0</v>
      </c>
      <c r="M1150">
        <v>0</v>
      </c>
      <c r="N1150">
        <v>128.20500000000001</v>
      </c>
      <c r="O1150">
        <v>146.41</v>
      </c>
      <c r="P1150">
        <v>125.9462</v>
      </c>
      <c r="R1150">
        <v>125.9461</v>
      </c>
    </row>
    <row r="1151" spans="1:18" hidden="1" x14ac:dyDescent="0.25">
      <c r="A1151" t="s">
        <v>1278</v>
      </c>
      <c r="B1151" t="s">
        <v>37</v>
      </c>
      <c r="C1151" t="s">
        <v>387</v>
      </c>
      <c r="D1151" t="s">
        <v>31</v>
      </c>
      <c r="E1151">
        <v>147.0334</v>
      </c>
      <c r="F1151">
        <v>0</v>
      </c>
      <c r="G1151">
        <v>171.23330000000001</v>
      </c>
      <c r="H1151">
        <v>0</v>
      </c>
      <c r="I1151">
        <v>168.113</v>
      </c>
      <c r="J1151">
        <v>0</v>
      </c>
      <c r="K1151">
        <v>168.5985</v>
      </c>
      <c r="L1151">
        <v>0</v>
      </c>
      <c r="M1151">
        <v>0</v>
      </c>
      <c r="N1151">
        <v>170.94</v>
      </c>
      <c r="O1151">
        <v>162.38200000000001</v>
      </c>
      <c r="P1151">
        <v>157.62270000000001</v>
      </c>
      <c r="R1151">
        <v>157.62270000000001</v>
      </c>
    </row>
    <row r="1152" spans="1:18" hidden="1" x14ac:dyDescent="0.25">
      <c r="A1152" t="s">
        <v>1279</v>
      </c>
      <c r="B1152" t="s">
        <v>37</v>
      </c>
      <c r="C1152" t="s">
        <v>387</v>
      </c>
      <c r="D1152" t="s">
        <v>33</v>
      </c>
      <c r="E1152">
        <v>159.13339999999999</v>
      </c>
      <c r="F1152">
        <v>0</v>
      </c>
      <c r="G1152">
        <v>174.5333</v>
      </c>
      <c r="H1152">
        <v>0</v>
      </c>
      <c r="I1152">
        <v>168.113</v>
      </c>
      <c r="J1152">
        <v>0</v>
      </c>
      <c r="K1152">
        <v>176.97749999999999</v>
      </c>
      <c r="L1152">
        <v>0</v>
      </c>
      <c r="M1152">
        <v>0</v>
      </c>
      <c r="N1152">
        <v>183.15</v>
      </c>
      <c r="O1152">
        <v>174.36099999999999</v>
      </c>
      <c r="P1152">
        <v>171.0127</v>
      </c>
      <c r="R1152">
        <v>171.0127</v>
      </c>
    </row>
    <row r="1153" spans="1:18" hidden="1" x14ac:dyDescent="0.25">
      <c r="A1153" t="s">
        <v>1280</v>
      </c>
      <c r="B1153" t="s">
        <v>37</v>
      </c>
      <c r="C1153" t="s">
        <v>387</v>
      </c>
      <c r="D1153" t="s">
        <v>35</v>
      </c>
      <c r="E1153">
        <v>354.09</v>
      </c>
      <c r="F1153">
        <v>0</v>
      </c>
      <c r="G1153">
        <v>0</v>
      </c>
      <c r="H1153">
        <v>0</v>
      </c>
      <c r="I1153">
        <v>329.67</v>
      </c>
      <c r="J1153">
        <v>0</v>
      </c>
      <c r="K1153">
        <v>0</v>
      </c>
      <c r="L1153">
        <v>0</v>
      </c>
      <c r="M1153">
        <v>0</v>
      </c>
      <c r="N1153">
        <v>329.67</v>
      </c>
      <c r="O1153">
        <v>270.19299999999998</v>
      </c>
      <c r="P1153">
        <v>274.36320000000001</v>
      </c>
      <c r="R1153">
        <v>274.36320000000001</v>
      </c>
    </row>
    <row r="1154" spans="1:18" hidden="1" x14ac:dyDescent="0.25">
      <c r="A1154" t="s">
        <v>1281</v>
      </c>
      <c r="B1154" t="s">
        <v>37</v>
      </c>
      <c r="C1154" t="s">
        <v>396</v>
      </c>
      <c r="D1154" t="s">
        <v>21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R1154">
        <v>0</v>
      </c>
    </row>
    <row r="1155" spans="1:18" hidden="1" x14ac:dyDescent="0.25">
      <c r="A1155" t="s">
        <v>1282</v>
      </c>
      <c r="B1155" t="s">
        <v>37</v>
      </c>
      <c r="C1155" t="s">
        <v>396</v>
      </c>
      <c r="D1155" t="s">
        <v>23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338.94659999999999</v>
      </c>
      <c r="R1155">
        <v>338.94659999999999</v>
      </c>
    </row>
    <row r="1156" spans="1:18" hidden="1" x14ac:dyDescent="0.25">
      <c r="A1156" t="s">
        <v>1283</v>
      </c>
      <c r="B1156" t="s">
        <v>37</v>
      </c>
      <c r="C1156" t="s">
        <v>396</v>
      </c>
      <c r="D1156" t="s">
        <v>25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344.14420000000001</v>
      </c>
      <c r="R1156">
        <v>344.14420000000001</v>
      </c>
    </row>
    <row r="1157" spans="1:18" hidden="1" x14ac:dyDescent="0.25">
      <c r="A1157" t="s">
        <v>1284</v>
      </c>
      <c r="B1157" t="s">
        <v>37</v>
      </c>
      <c r="C1157" t="s">
        <v>396</v>
      </c>
      <c r="D1157" t="s">
        <v>27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501.66269999999997</v>
      </c>
      <c r="N1157">
        <v>0</v>
      </c>
      <c r="O1157">
        <v>0</v>
      </c>
      <c r="P1157">
        <v>477.23059999999998</v>
      </c>
      <c r="R1157">
        <v>477.23059999999998</v>
      </c>
    </row>
    <row r="1158" spans="1:18" hidden="1" x14ac:dyDescent="0.25">
      <c r="A1158" t="s">
        <v>1285</v>
      </c>
      <c r="B1158" t="s">
        <v>37</v>
      </c>
      <c r="C1158" t="s">
        <v>396</v>
      </c>
      <c r="D1158" t="s">
        <v>29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227.97720000000001</v>
      </c>
      <c r="R1158">
        <v>227.97720000000001</v>
      </c>
    </row>
    <row r="1159" spans="1:18" hidden="1" x14ac:dyDescent="0.25">
      <c r="A1159" t="s">
        <v>1286</v>
      </c>
      <c r="B1159" t="s">
        <v>37</v>
      </c>
      <c r="C1159" t="s">
        <v>396</v>
      </c>
      <c r="D1159" t="s">
        <v>31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258.22730000000001</v>
      </c>
      <c r="R1159">
        <v>258.22730000000001</v>
      </c>
    </row>
    <row r="1160" spans="1:18" hidden="1" x14ac:dyDescent="0.25">
      <c r="A1160" t="s">
        <v>1287</v>
      </c>
      <c r="B1160" t="s">
        <v>37</v>
      </c>
      <c r="C1160" t="s">
        <v>396</v>
      </c>
      <c r="D1160" t="s">
        <v>33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290.52670000000001</v>
      </c>
      <c r="R1160">
        <v>290.52670000000001</v>
      </c>
    </row>
    <row r="1161" spans="1:18" hidden="1" x14ac:dyDescent="0.25">
      <c r="A1161" t="s">
        <v>1288</v>
      </c>
      <c r="B1161" t="s">
        <v>37</v>
      </c>
      <c r="C1161" t="s">
        <v>396</v>
      </c>
      <c r="D1161" t="s">
        <v>35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533.63969999999995</v>
      </c>
      <c r="N1161">
        <v>0</v>
      </c>
      <c r="O1161">
        <v>0</v>
      </c>
      <c r="P1161">
        <v>484.9051</v>
      </c>
      <c r="R1161">
        <v>484.9051</v>
      </c>
    </row>
    <row r="1162" spans="1:18" hidden="1" x14ac:dyDescent="0.25">
      <c r="A1162" t="s">
        <v>1289</v>
      </c>
      <c r="B1162" t="s">
        <v>37</v>
      </c>
      <c r="C1162" t="s">
        <v>405</v>
      </c>
      <c r="D1162" t="s">
        <v>21</v>
      </c>
      <c r="E1162">
        <v>68.053399999999996</v>
      </c>
      <c r="F1162">
        <v>0</v>
      </c>
      <c r="G1162">
        <v>125.2533</v>
      </c>
      <c r="H1162">
        <v>0</v>
      </c>
      <c r="I1162">
        <v>0</v>
      </c>
      <c r="J1162">
        <v>0</v>
      </c>
      <c r="K1162">
        <v>88.168499999999995</v>
      </c>
      <c r="L1162">
        <v>0</v>
      </c>
      <c r="M1162">
        <v>0</v>
      </c>
      <c r="N1162">
        <v>79.364999999999995</v>
      </c>
      <c r="O1162">
        <v>98.494</v>
      </c>
      <c r="P1162">
        <v>0</v>
      </c>
      <c r="Q1162">
        <v>0</v>
      </c>
      <c r="R1162">
        <v>0</v>
      </c>
    </row>
    <row r="1163" spans="1:18" hidden="1" x14ac:dyDescent="0.25">
      <c r="A1163" t="s">
        <v>1290</v>
      </c>
      <c r="B1163" t="s">
        <v>37</v>
      </c>
      <c r="C1163" t="s">
        <v>405</v>
      </c>
      <c r="D1163" t="s">
        <v>23</v>
      </c>
      <c r="E1163">
        <v>103.2166</v>
      </c>
      <c r="F1163">
        <v>0</v>
      </c>
      <c r="G1163">
        <v>158.2167</v>
      </c>
      <c r="H1163">
        <v>0</v>
      </c>
      <c r="I1163">
        <v>0</v>
      </c>
      <c r="J1163">
        <v>0</v>
      </c>
      <c r="K1163">
        <v>166.03649999999999</v>
      </c>
      <c r="L1163">
        <v>0</v>
      </c>
      <c r="M1163">
        <v>0</v>
      </c>
      <c r="N1163">
        <v>146.52000000000001</v>
      </c>
      <c r="O1163">
        <v>186.34</v>
      </c>
      <c r="P1163">
        <v>111.60599999999999</v>
      </c>
      <c r="Q1163">
        <v>0</v>
      </c>
      <c r="R1163">
        <v>125.0889</v>
      </c>
    </row>
    <row r="1164" spans="1:18" hidden="1" x14ac:dyDescent="0.25">
      <c r="A1164" t="s">
        <v>1291</v>
      </c>
      <c r="B1164" t="s">
        <v>37</v>
      </c>
      <c r="C1164" t="s">
        <v>405</v>
      </c>
      <c r="D1164" t="s">
        <v>25</v>
      </c>
      <c r="E1164">
        <v>114.18</v>
      </c>
      <c r="F1164">
        <v>0</v>
      </c>
      <c r="G1164">
        <v>169.18</v>
      </c>
      <c r="H1164">
        <v>0</v>
      </c>
      <c r="I1164">
        <v>0</v>
      </c>
      <c r="J1164">
        <v>0</v>
      </c>
      <c r="K1164">
        <v>189.2816</v>
      </c>
      <c r="L1164">
        <v>0</v>
      </c>
      <c r="M1164">
        <v>0</v>
      </c>
      <c r="N1164">
        <v>160.16</v>
      </c>
      <c r="O1164">
        <v>152.46</v>
      </c>
      <c r="P1164">
        <v>122.892</v>
      </c>
      <c r="Q1164">
        <v>0</v>
      </c>
      <c r="R1164">
        <v>137.2492</v>
      </c>
    </row>
    <row r="1165" spans="1:18" hidden="1" x14ac:dyDescent="0.25">
      <c r="A1165" t="s">
        <v>1292</v>
      </c>
      <c r="B1165" t="s">
        <v>37</v>
      </c>
      <c r="C1165" t="s">
        <v>405</v>
      </c>
      <c r="D1165" t="s">
        <v>27</v>
      </c>
      <c r="E1165">
        <v>142.78</v>
      </c>
      <c r="F1165">
        <v>0</v>
      </c>
      <c r="G1165">
        <v>193.38</v>
      </c>
      <c r="H1165">
        <v>193.6</v>
      </c>
      <c r="I1165">
        <v>220.88</v>
      </c>
      <c r="J1165">
        <v>0</v>
      </c>
      <c r="K1165">
        <v>0</v>
      </c>
      <c r="L1165">
        <v>0</v>
      </c>
      <c r="M1165">
        <v>0</v>
      </c>
      <c r="N1165">
        <v>197.12</v>
      </c>
      <c r="O1165">
        <v>163.35</v>
      </c>
      <c r="P1165">
        <v>148.67599999999999</v>
      </c>
      <c r="Q1165">
        <v>0</v>
      </c>
      <c r="R1165">
        <v>164.51599999999999</v>
      </c>
    </row>
    <row r="1166" spans="1:18" hidden="1" x14ac:dyDescent="0.25">
      <c r="A1166" t="s">
        <v>1293</v>
      </c>
      <c r="B1166" t="s">
        <v>37</v>
      </c>
      <c r="C1166" t="s">
        <v>405</v>
      </c>
      <c r="D1166" t="s">
        <v>29</v>
      </c>
      <c r="E1166">
        <v>70.253399999999999</v>
      </c>
      <c r="F1166">
        <v>89.924999999999997</v>
      </c>
      <c r="G1166">
        <v>129.6533</v>
      </c>
      <c r="H1166">
        <v>0</v>
      </c>
      <c r="I1166">
        <v>0</v>
      </c>
      <c r="J1166">
        <v>0</v>
      </c>
      <c r="K1166">
        <v>99.172499999999999</v>
      </c>
      <c r="L1166">
        <v>0</v>
      </c>
      <c r="M1166">
        <v>0</v>
      </c>
      <c r="N1166">
        <v>85.47</v>
      </c>
      <c r="O1166">
        <v>137.09299999999999</v>
      </c>
      <c r="P1166">
        <v>77.497200000000007</v>
      </c>
      <c r="Q1166">
        <v>89.924999999999997</v>
      </c>
      <c r="R1166">
        <v>77.497200000000007</v>
      </c>
    </row>
    <row r="1167" spans="1:18" hidden="1" x14ac:dyDescent="0.25">
      <c r="A1167" t="s">
        <v>1294</v>
      </c>
      <c r="B1167" t="s">
        <v>37</v>
      </c>
      <c r="C1167" t="s">
        <v>405</v>
      </c>
      <c r="D1167" t="s">
        <v>31</v>
      </c>
      <c r="E1167">
        <v>84.516599999999997</v>
      </c>
      <c r="F1167">
        <v>143.88</v>
      </c>
      <c r="G1167">
        <v>139.51669999999999</v>
      </c>
      <c r="H1167">
        <v>0</v>
      </c>
      <c r="I1167">
        <v>114.4</v>
      </c>
      <c r="J1167">
        <v>0</v>
      </c>
      <c r="K1167">
        <v>120.036</v>
      </c>
      <c r="L1167">
        <v>0</v>
      </c>
      <c r="M1167">
        <v>0</v>
      </c>
      <c r="N1167">
        <v>103.785</v>
      </c>
      <c r="O1167">
        <v>151.73400000000001</v>
      </c>
      <c r="P1167">
        <v>90.432100000000005</v>
      </c>
      <c r="Q1167">
        <v>143.88</v>
      </c>
      <c r="R1167">
        <v>93.730999999999995</v>
      </c>
    </row>
    <row r="1168" spans="1:18" hidden="1" x14ac:dyDescent="0.25">
      <c r="A1168" t="s">
        <v>1295</v>
      </c>
      <c r="B1168" t="s">
        <v>37</v>
      </c>
      <c r="C1168" t="s">
        <v>405</v>
      </c>
      <c r="D1168" t="s">
        <v>33</v>
      </c>
      <c r="E1168">
        <v>94.416600000000003</v>
      </c>
      <c r="F1168">
        <v>149.875</v>
      </c>
      <c r="G1168">
        <v>140.61670000000001</v>
      </c>
      <c r="H1168">
        <v>0</v>
      </c>
      <c r="I1168">
        <v>114.4</v>
      </c>
      <c r="J1168">
        <v>0</v>
      </c>
      <c r="K1168">
        <v>127.48050000000001</v>
      </c>
      <c r="L1168">
        <v>0</v>
      </c>
      <c r="M1168">
        <v>0</v>
      </c>
      <c r="N1168">
        <v>109.89</v>
      </c>
      <c r="O1168" s="107">
        <v>166.375</v>
      </c>
      <c r="P1168">
        <v>102.8944</v>
      </c>
      <c r="Q1168">
        <v>149.875</v>
      </c>
      <c r="R1168">
        <v>113.179</v>
      </c>
    </row>
    <row r="1169" spans="1:18" hidden="1" x14ac:dyDescent="0.25">
      <c r="A1169" t="s">
        <v>1296</v>
      </c>
      <c r="B1169" t="s">
        <v>37</v>
      </c>
      <c r="C1169" t="s">
        <v>405</v>
      </c>
      <c r="D1169" t="s">
        <v>35</v>
      </c>
      <c r="E1169">
        <v>156.47499999999999</v>
      </c>
      <c r="F1169">
        <v>0</v>
      </c>
      <c r="G1169">
        <v>207.11429999999999</v>
      </c>
      <c r="H1169">
        <v>193.6</v>
      </c>
      <c r="I1169">
        <v>223.85</v>
      </c>
      <c r="J1169">
        <v>0</v>
      </c>
      <c r="K1169">
        <v>0</v>
      </c>
      <c r="L1169">
        <v>146.88300000000001</v>
      </c>
      <c r="M1169">
        <v>0</v>
      </c>
      <c r="N1169">
        <v>184.8</v>
      </c>
      <c r="O1169">
        <v>177.87</v>
      </c>
      <c r="P1169">
        <v>154</v>
      </c>
      <c r="Q1169">
        <v>0</v>
      </c>
      <c r="R1169">
        <v>174.42699999999999</v>
      </c>
    </row>
    <row r="1170" spans="1:18" hidden="1" x14ac:dyDescent="0.25">
      <c r="A1170" t="s">
        <v>1297</v>
      </c>
      <c r="B1170" t="s">
        <v>37</v>
      </c>
      <c r="C1170" t="s">
        <v>414</v>
      </c>
      <c r="D1170" t="s">
        <v>21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R1170">
        <v>0</v>
      </c>
    </row>
    <row r="1171" spans="1:18" hidden="1" x14ac:dyDescent="0.25">
      <c r="A1171" t="s">
        <v>1298</v>
      </c>
      <c r="B1171" t="s">
        <v>37</v>
      </c>
      <c r="C1171" t="s">
        <v>414</v>
      </c>
      <c r="D1171" t="s">
        <v>23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201.76859999999999</v>
      </c>
      <c r="R1171">
        <v>201.76859999999999</v>
      </c>
    </row>
    <row r="1172" spans="1:18" hidden="1" x14ac:dyDescent="0.25">
      <c r="A1172" t="s">
        <v>1299</v>
      </c>
      <c r="B1172" t="s">
        <v>37</v>
      </c>
      <c r="C1172" t="s">
        <v>414</v>
      </c>
      <c r="D1172" t="s">
        <v>25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211.64150000000001</v>
      </c>
      <c r="R1172">
        <v>211.64150000000001</v>
      </c>
    </row>
    <row r="1173" spans="1:18" hidden="1" x14ac:dyDescent="0.25">
      <c r="A1173" t="s">
        <v>1300</v>
      </c>
      <c r="B1173" t="s">
        <v>37</v>
      </c>
      <c r="C1173" t="s">
        <v>414</v>
      </c>
      <c r="D1173" t="s">
        <v>27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305.48419999999999</v>
      </c>
      <c r="R1173">
        <v>305.48419999999999</v>
      </c>
    </row>
    <row r="1174" spans="1:18" hidden="1" x14ac:dyDescent="0.25">
      <c r="A1174" t="s">
        <v>1301</v>
      </c>
      <c r="B1174" t="s">
        <v>37</v>
      </c>
      <c r="C1174" t="s">
        <v>414</v>
      </c>
      <c r="D1174" t="s">
        <v>29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113.98860000000001</v>
      </c>
      <c r="R1174">
        <v>113.98860000000001</v>
      </c>
    </row>
    <row r="1175" spans="1:18" hidden="1" x14ac:dyDescent="0.25">
      <c r="A1175" t="s">
        <v>1302</v>
      </c>
      <c r="B1175" t="s">
        <v>37</v>
      </c>
      <c r="C1175" t="s">
        <v>414</v>
      </c>
      <c r="D1175" t="s">
        <v>31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126.0371</v>
      </c>
      <c r="R1175">
        <v>126.0372</v>
      </c>
    </row>
    <row r="1176" spans="1:18" hidden="1" x14ac:dyDescent="0.25">
      <c r="A1176" t="s">
        <v>1303</v>
      </c>
      <c r="B1176" t="s">
        <v>37</v>
      </c>
      <c r="C1176" t="s">
        <v>414</v>
      </c>
      <c r="D1176" t="s">
        <v>33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135.99709999999999</v>
      </c>
      <c r="R1176">
        <v>135.99709999999999</v>
      </c>
    </row>
    <row r="1177" spans="1:18" hidden="1" x14ac:dyDescent="0.25">
      <c r="A1177" t="s">
        <v>1304</v>
      </c>
      <c r="B1177" t="s">
        <v>37</v>
      </c>
      <c r="C1177" t="s">
        <v>414</v>
      </c>
      <c r="D1177" t="s">
        <v>35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307.51569999999998</v>
      </c>
      <c r="R1177">
        <v>307.51560000000001</v>
      </c>
    </row>
    <row r="1178" spans="1:18" hidden="1" x14ac:dyDescent="0.25">
      <c r="A1178" t="s">
        <v>1305</v>
      </c>
      <c r="B1178" t="s">
        <v>37</v>
      </c>
      <c r="C1178" t="s">
        <v>423</v>
      </c>
      <c r="D1178" t="s">
        <v>21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R1178">
        <v>0</v>
      </c>
    </row>
    <row r="1179" spans="1:18" hidden="1" x14ac:dyDescent="0.25">
      <c r="A1179" t="s">
        <v>1306</v>
      </c>
      <c r="B1179" t="s">
        <v>37</v>
      </c>
      <c r="C1179" t="s">
        <v>423</v>
      </c>
      <c r="D1179" t="s">
        <v>23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330.50040000000001</v>
      </c>
      <c r="R1179">
        <v>330.50029999999998</v>
      </c>
    </row>
    <row r="1180" spans="1:18" hidden="1" x14ac:dyDescent="0.25">
      <c r="A1180" t="s">
        <v>1307</v>
      </c>
      <c r="B1180" t="s">
        <v>37</v>
      </c>
      <c r="C1180" t="s">
        <v>423</v>
      </c>
      <c r="D1180" t="s">
        <v>25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369.42840000000001</v>
      </c>
      <c r="R1180">
        <v>369.42840000000001</v>
      </c>
    </row>
    <row r="1181" spans="1:18" hidden="1" x14ac:dyDescent="0.25">
      <c r="A1181" t="s">
        <v>1308</v>
      </c>
      <c r="B1181" t="s">
        <v>37</v>
      </c>
      <c r="C1181" t="s">
        <v>423</v>
      </c>
      <c r="D1181" t="s">
        <v>27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572.13750000000005</v>
      </c>
      <c r="N1181">
        <v>0</v>
      </c>
      <c r="O1181">
        <v>0</v>
      </c>
      <c r="P1181">
        <v>552.11440000000005</v>
      </c>
      <c r="R1181">
        <v>552.11450000000002</v>
      </c>
    </row>
    <row r="1182" spans="1:18" hidden="1" x14ac:dyDescent="0.25">
      <c r="A1182" t="s">
        <v>1309</v>
      </c>
      <c r="B1182" t="s">
        <v>37</v>
      </c>
      <c r="C1182" t="s">
        <v>423</v>
      </c>
      <c r="D1182" t="s">
        <v>29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229.00980000000001</v>
      </c>
      <c r="R1182">
        <v>229.00980000000001</v>
      </c>
    </row>
    <row r="1183" spans="1:18" hidden="1" x14ac:dyDescent="0.25">
      <c r="A1183" t="s">
        <v>1310</v>
      </c>
      <c r="B1183" t="s">
        <v>37</v>
      </c>
      <c r="C1183" t="s">
        <v>423</v>
      </c>
      <c r="D1183" t="s">
        <v>31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268.30070000000001</v>
      </c>
      <c r="R1183">
        <v>268.30059999999997</v>
      </c>
    </row>
    <row r="1184" spans="1:18" hidden="1" x14ac:dyDescent="0.25">
      <c r="A1184" t="s">
        <v>1311</v>
      </c>
      <c r="B1184" t="s">
        <v>37</v>
      </c>
      <c r="C1184" t="s">
        <v>423</v>
      </c>
      <c r="D1184" t="s">
        <v>33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304.94099999999997</v>
      </c>
      <c r="R1184">
        <v>304.94099999999997</v>
      </c>
    </row>
    <row r="1185" spans="1:18" hidden="1" x14ac:dyDescent="0.25">
      <c r="A1185" t="s">
        <v>1312</v>
      </c>
      <c r="B1185" t="s">
        <v>37</v>
      </c>
      <c r="C1185" t="s">
        <v>423</v>
      </c>
      <c r="D1185" t="s">
        <v>35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604.11450000000002</v>
      </c>
      <c r="N1185">
        <v>0</v>
      </c>
      <c r="O1185">
        <v>0</v>
      </c>
      <c r="P1185">
        <v>597.68150000000003</v>
      </c>
      <c r="R1185">
        <v>597.68150000000003</v>
      </c>
    </row>
    <row r="1186" spans="1:18" hidden="1" x14ac:dyDescent="0.25">
      <c r="A1186" t="s">
        <v>1313</v>
      </c>
      <c r="B1186" t="s">
        <v>37</v>
      </c>
      <c r="C1186" t="s">
        <v>432</v>
      </c>
      <c r="D1186" t="s">
        <v>21</v>
      </c>
      <c r="E1186">
        <v>110.44</v>
      </c>
      <c r="F1186">
        <v>0</v>
      </c>
      <c r="G1186">
        <v>163.24</v>
      </c>
      <c r="H1186">
        <v>0</v>
      </c>
      <c r="I1186">
        <v>0</v>
      </c>
      <c r="J1186">
        <v>0</v>
      </c>
      <c r="K1186">
        <v>141.309</v>
      </c>
      <c r="L1186">
        <v>0</v>
      </c>
      <c r="M1186">
        <v>0</v>
      </c>
      <c r="N1186">
        <v>113.74</v>
      </c>
      <c r="O1186">
        <v>123.783</v>
      </c>
      <c r="P1186">
        <v>0</v>
      </c>
      <c r="Q1186">
        <v>0</v>
      </c>
      <c r="R1186">
        <v>0</v>
      </c>
    </row>
    <row r="1187" spans="1:18" hidden="1" x14ac:dyDescent="0.25">
      <c r="A1187" t="s">
        <v>1314</v>
      </c>
      <c r="B1187" t="s">
        <v>37</v>
      </c>
      <c r="C1187" t="s">
        <v>432</v>
      </c>
      <c r="D1187" t="s">
        <v>23</v>
      </c>
      <c r="E1187">
        <v>185.59200000000001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240.61179999999999</v>
      </c>
      <c r="L1187">
        <v>0</v>
      </c>
      <c r="M1187">
        <v>0</v>
      </c>
      <c r="N1187">
        <v>244.2</v>
      </c>
      <c r="O1187">
        <v>199.65</v>
      </c>
      <c r="P1187">
        <v>191.90889999999999</v>
      </c>
      <c r="Q1187">
        <v>0</v>
      </c>
      <c r="R1187">
        <v>191.90889999999999</v>
      </c>
    </row>
    <row r="1188" spans="1:18" hidden="1" x14ac:dyDescent="0.25">
      <c r="A1188" t="s">
        <v>1315</v>
      </c>
      <c r="B1188" t="s">
        <v>37</v>
      </c>
      <c r="C1188" t="s">
        <v>432</v>
      </c>
      <c r="D1188" t="s">
        <v>25</v>
      </c>
      <c r="E1188">
        <v>208.791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257.23410000000001</v>
      </c>
      <c r="L1188">
        <v>0</v>
      </c>
      <c r="M1188">
        <v>0</v>
      </c>
      <c r="N1188">
        <v>256.41000000000003</v>
      </c>
      <c r="O1188">
        <v>228.93199999999999</v>
      </c>
      <c r="P1188">
        <v>210.13669999999999</v>
      </c>
      <c r="Q1188">
        <v>0</v>
      </c>
      <c r="R1188">
        <v>210.13669999999999</v>
      </c>
    </row>
    <row r="1189" spans="1:18" hidden="1" x14ac:dyDescent="0.25">
      <c r="A1189" t="s">
        <v>1316</v>
      </c>
      <c r="B1189" t="s">
        <v>37</v>
      </c>
      <c r="C1189" t="s">
        <v>432</v>
      </c>
      <c r="D1189" t="s">
        <v>27</v>
      </c>
      <c r="E1189">
        <v>249.084</v>
      </c>
      <c r="F1189">
        <v>0</v>
      </c>
      <c r="G1189">
        <v>0</v>
      </c>
      <c r="H1189">
        <v>0</v>
      </c>
      <c r="I1189">
        <v>323.565</v>
      </c>
      <c r="J1189">
        <v>0</v>
      </c>
      <c r="K1189">
        <v>0</v>
      </c>
      <c r="L1189">
        <v>0</v>
      </c>
      <c r="M1189">
        <v>0</v>
      </c>
      <c r="N1189">
        <v>311.35500000000002</v>
      </c>
      <c r="O1189">
        <v>251.559</v>
      </c>
      <c r="P1189">
        <v>250.45</v>
      </c>
      <c r="Q1189">
        <v>0</v>
      </c>
      <c r="R1189">
        <v>250.45</v>
      </c>
    </row>
    <row r="1190" spans="1:18" hidden="1" x14ac:dyDescent="0.25">
      <c r="A1190" t="s">
        <v>1317</v>
      </c>
      <c r="B1190" t="s">
        <v>37</v>
      </c>
      <c r="C1190" t="s">
        <v>432</v>
      </c>
      <c r="D1190" t="s">
        <v>29</v>
      </c>
      <c r="E1190">
        <v>115.94</v>
      </c>
      <c r="F1190">
        <v>115.995</v>
      </c>
      <c r="G1190">
        <v>168.74</v>
      </c>
      <c r="H1190">
        <v>0</v>
      </c>
      <c r="I1190">
        <v>0</v>
      </c>
      <c r="J1190">
        <v>0</v>
      </c>
      <c r="K1190">
        <v>128.92949999999999</v>
      </c>
      <c r="L1190">
        <v>0</v>
      </c>
      <c r="M1190">
        <v>0</v>
      </c>
      <c r="N1190">
        <v>115.995</v>
      </c>
      <c r="O1190">
        <v>149.072</v>
      </c>
      <c r="P1190">
        <v>119.13</v>
      </c>
      <c r="Q1190">
        <v>115.995</v>
      </c>
      <c r="R1190">
        <v>119.13</v>
      </c>
    </row>
    <row r="1191" spans="1:18" hidden="1" x14ac:dyDescent="0.25">
      <c r="A1191" t="s">
        <v>1318</v>
      </c>
      <c r="B1191" t="s">
        <v>37</v>
      </c>
      <c r="C1191" t="s">
        <v>432</v>
      </c>
      <c r="D1191" t="s">
        <v>31</v>
      </c>
      <c r="E1191">
        <v>156.28800000000001</v>
      </c>
      <c r="F1191">
        <v>148.96199999999999</v>
      </c>
      <c r="G1191">
        <v>0</v>
      </c>
      <c r="H1191">
        <v>0</v>
      </c>
      <c r="I1191">
        <v>0</v>
      </c>
      <c r="J1191">
        <v>0</v>
      </c>
      <c r="K1191">
        <v>197.27869999999999</v>
      </c>
      <c r="L1191">
        <v>0</v>
      </c>
      <c r="M1191">
        <v>0</v>
      </c>
      <c r="N1191">
        <v>146.52000000000001</v>
      </c>
      <c r="O1191">
        <v>161.05099999999999</v>
      </c>
      <c r="P1191">
        <v>151.08189999999999</v>
      </c>
      <c r="Q1191">
        <v>148.96199999999999</v>
      </c>
      <c r="R1191">
        <v>151.08189999999999</v>
      </c>
    </row>
    <row r="1192" spans="1:18" hidden="1" x14ac:dyDescent="0.25">
      <c r="A1192" t="s">
        <v>1319</v>
      </c>
      <c r="B1192" t="s">
        <v>37</v>
      </c>
      <c r="C1192" t="s">
        <v>432</v>
      </c>
      <c r="D1192" t="s">
        <v>33</v>
      </c>
      <c r="E1192">
        <v>166.1</v>
      </c>
      <c r="F1192">
        <v>166.05600000000001</v>
      </c>
      <c r="G1192">
        <v>196.9</v>
      </c>
      <c r="H1192">
        <v>0</v>
      </c>
      <c r="I1192">
        <v>200.387</v>
      </c>
      <c r="J1192">
        <v>0</v>
      </c>
      <c r="K1192">
        <v>196.791</v>
      </c>
      <c r="L1192">
        <v>0</v>
      </c>
      <c r="M1192">
        <v>0</v>
      </c>
      <c r="N1192">
        <v>170.94</v>
      </c>
      <c r="O1192">
        <v>177.023</v>
      </c>
      <c r="P1192">
        <v>171.14590000000001</v>
      </c>
      <c r="Q1192">
        <v>166.05600000000001</v>
      </c>
      <c r="R1192">
        <v>171.14590000000001</v>
      </c>
    </row>
    <row r="1193" spans="1:18" hidden="1" x14ac:dyDescent="0.25">
      <c r="A1193" t="s">
        <v>1320</v>
      </c>
      <c r="B1193" t="s">
        <v>37</v>
      </c>
      <c r="C1193" t="s">
        <v>432</v>
      </c>
      <c r="D1193" t="s">
        <v>35</v>
      </c>
      <c r="E1193">
        <v>294.26100000000002</v>
      </c>
      <c r="F1193">
        <v>0</v>
      </c>
      <c r="G1193">
        <v>0</v>
      </c>
      <c r="H1193">
        <v>0</v>
      </c>
      <c r="I1193">
        <v>323.565</v>
      </c>
      <c r="J1193">
        <v>0</v>
      </c>
      <c r="K1193">
        <v>0</v>
      </c>
      <c r="L1193">
        <v>0</v>
      </c>
      <c r="M1193">
        <v>0</v>
      </c>
      <c r="N1193">
        <v>329.67</v>
      </c>
      <c r="O1193">
        <v>296.81299999999999</v>
      </c>
      <c r="P1193">
        <v>295.57249999999999</v>
      </c>
      <c r="Q1193">
        <v>0</v>
      </c>
      <c r="R1193">
        <v>295.57260000000002</v>
      </c>
    </row>
    <row r="1194" spans="1:18" hidden="1" x14ac:dyDescent="0.25">
      <c r="A1194" t="s">
        <v>1321</v>
      </c>
      <c r="B1194" t="s">
        <v>37</v>
      </c>
      <c r="C1194" t="s">
        <v>441</v>
      </c>
      <c r="D1194" t="s">
        <v>21</v>
      </c>
      <c r="E1194">
        <v>181.79339999999999</v>
      </c>
      <c r="F1194">
        <v>0</v>
      </c>
      <c r="G1194">
        <v>258.79329999999999</v>
      </c>
      <c r="H1194">
        <v>0</v>
      </c>
      <c r="I1194">
        <v>0</v>
      </c>
      <c r="J1194">
        <v>0</v>
      </c>
      <c r="K1194">
        <v>180.30600000000001</v>
      </c>
      <c r="L1194">
        <v>0</v>
      </c>
      <c r="M1194">
        <v>0</v>
      </c>
      <c r="N1194">
        <v>191.697</v>
      </c>
      <c r="O1194">
        <v>190.333</v>
      </c>
      <c r="P1194">
        <v>0</v>
      </c>
      <c r="R1194">
        <v>0</v>
      </c>
    </row>
    <row r="1195" spans="1:18" hidden="1" x14ac:dyDescent="0.25">
      <c r="A1195" t="s">
        <v>1322</v>
      </c>
      <c r="B1195" t="s">
        <v>37</v>
      </c>
      <c r="C1195" t="s">
        <v>441</v>
      </c>
      <c r="D1195" t="s">
        <v>23</v>
      </c>
      <c r="E1195">
        <v>310.13400000000001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313.36200000000002</v>
      </c>
      <c r="L1195">
        <v>0</v>
      </c>
      <c r="M1195">
        <v>0</v>
      </c>
      <c r="N1195">
        <v>317.45999999999998</v>
      </c>
      <c r="O1195">
        <v>348.72199999999998</v>
      </c>
      <c r="P1195">
        <v>311.31799999999998</v>
      </c>
      <c r="R1195">
        <v>311.31799999999998</v>
      </c>
    </row>
    <row r="1196" spans="1:18" hidden="1" x14ac:dyDescent="0.25">
      <c r="A1196" t="s">
        <v>1323</v>
      </c>
      <c r="B1196" t="s">
        <v>37</v>
      </c>
      <c r="C1196" t="s">
        <v>441</v>
      </c>
      <c r="D1196" t="s">
        <v>25</v>
      </c>
      <c r="E1196">
        <v>329.67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344.53440000000001</v>
      </c>
      <c r="L1196">
        <v>0</v>
      </c>
      <c r="M1196">
        <v>0</v>
      </c>
      <c r="N1196">
        <v>329.67</v>
      </c>
      <c r="O1196">
        <v>435.23700000000002</v>
      </c>
      <c r="P1196">
        <v>290.84219999999999</v>
      </c>
      <c r="R1196">
        <v>290.84219999999999</v>
      </c>
    </row>
    <row r="1197" spans="1:18" hidden="1" x14ac:dyDescent="0.25">
      <c r="A1197" t="s">
        <v>1324</v>
      </c>
      <c r="B1197" t="s">
        <v>37</v>
      </c>
      <c r="C1197" t="s">
        <v>441</v>
      </c>
      <c r="D1197" t="s">
        <v>27</v>
      </c>
      <c r="E1197">
        <v>446.88600000000002</v>
      </c>
      <c r="F1197">
        <v>0</v>
      </c>
      <c r="G1197">
        <v>0</v>
      </c>
      <c r="H1197">
        <v>0</v>
      </c>
      <c r="I1197">
        <v>451.77</v>
      </c>
      <c r="J1197">
        <v>0</v>
      </c>
      <c r="K1197">
        <v>0</v>
      </c>
      <c r="L1197">
        <v>0</v>
      </c>
      <c r="M1197">
        <v>0</v>
      </c>
      <c r="N1197">
        <v>439.56</v>
      </c>
      <c r="O1197">
        <v>472.505</v>
      </c>
      <c r="P1197">
        <v>432.93099999999998</v>
      </c>
      <c r="R1197">
        <v>432.93099999999998</v>
      </c>
    </row>
    <row r="1198" spans="1:18" hidden="1" x14ac:dyDescent="0.25">
      <c r="A1198" t="s">
        <v>1325</v>
      </c>
      <c r="B1198" t="s">
        <v>37</v>
      </c>
      <c r="C1198" t="s">
        <v>441</v>
      </c>
      <c r="D1198" t="s">
        <v>29</v>
      </c>
      <c r="E1198">
        <v>184.33799999999999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193.67779999999999</v>
      </c>
      <c r="L1198">
        <v>0</v>
      </c>
      <c r="M1198">
        <v>0</v>
      </c>
      <c r="N1198">
        <v>195.36</v>
      </c>
      <c r="O1198">
        <v>239.58</v>
      </c>
      <c r="P1198">
        <v>185.4666</v>
      </c>
      <c r="R1198">
        <v>185.4666</v>
      </c>
    </row>
    <row r="1199" spans="1:18" hidden="1" x14ac:dyDescent="0.25">
      <c r="A1199" t="s">
        <v>1326</v>
      </c>
      <c r="B1199" t="s">
        <v>37</v>
      </c>
      <c r="C1199" t="s">
        <v>441</v>
      </c>
      <c r="D1199" t="s">
        <v>31</v>
      </c>
      <c r="E1199">
        <v>244.2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255.88239999999999</v>
      </c>
      <c r="L1199">
        <v>0</v>
      </c>
      <c r="M1199">
        <v>0</v>
      </c>
      <c r="N1199">
        <v>256.41000000000003</v>
      </c>
      <c r="O1199">
        <v>256.88299999999998</v>
      </c>
      <c r="P1199">
        <v>250.8</v>
      </c>
      <c r="R1199">
        <v>250.8</v>
      </c>
    </row>
    <row r="1200" spans="1:18" hidden="1" x14ac:dyDescent="0.25">
      <c r="A1200" t="s">
        <v>1327</v>
      </c>
      <c r="B1200" t="s">
        <v>37</v>
      </c>
      <c r="C1200" t="s">
        <v>441</v>
      </c>
      <c r="D1200" t="s">
        <v>33</v>
      </c>
      <c r="E1200">
        <v>250.30500000000001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269.23050000000001</v>
      </c>
      <c r="L1200">
        <v>0</v>
      </c>
      <c r="M1200">
        <v>0</v>
      </c>
      <c r="N1200">
        <v>268.62</v>
      </c>
      <c r="O1200">
        <v>296.81299999999999</v>
      </c>
      <c r="P1200">
        <v>258.1234</v>
      </c>
      <c r="R1200">
        <v>258.1234</v>
      </c>
    </row>
    <row r="1201" spans="1:18" hidden="1" x14ac:dyDescent="0.25">
      <c r="A1201" t="s">
        <v>1328</v>
      </c>
      <c r="B1201" t="s">
        <v>37</v>
      </c>
      <c r="C1201" t="s">
        <v>441</v>
      </c>
      <c r="D1201" t="s">
        <v>35</v>
      </c>
      <c r="E1201">
        <v>578.75400000000002</v>
      </c>
      <c r="F1201">
        <v>0</v>
      </c>
      <c r="G1201">
        <v>0</v>
      </c>
      <c r="H1201">
        <v>0</v>
      </c>
      <c r="I1201">
        <v>451.77</v>
      </c>
      <c r="J1201">
        <v>0</v>
      </c>
      <c r="K1201">
        <v>0</v>
      </c>
      <c r="L1201">
        <v>0</v>
      </c>
      <c r="M1201">
        <v>0</v>
      </c>
      <c r="N1201">
        <v>451.77</v>
      </c>
      <c r="O1201">
        <v>606.93600000000004</v>
      </c>
      <c r="P1201">
        <v>445.471</v>
      </c>
      <c r="R1201">
        <v>445.471</v>
      </c>
    </row>
    <row r="1202" spans="1:18" hidden="1" x14ac:dyDescent="0.25">
      <c r="A1202" t="s">
        <v>1329</v>
      </c>
      <c r="B1202" t="s">
        <v>37</v>
      </c>
      <c r="C1202" t="s">
        <v>450</v>
      </c>
      <c r="D1202" t="s">
        <v>21</v>
      </c>
      <c r="E1202">
        <v>188.0266</v>
      </c>
      <c r="F1202">
        <v>0</v>
      </c>
      <c r="G1202">
        <v>255.1267</v>
      </c>
      <c r="H1202">
        <v>0</v>
      </c>
      <c r="I1202">
        <v>0</v>
      </c>
      <c r="J1202">
        <v>0</v>
      </c>
      <c r="K1202">
        <v>230.21250000000001</v>
      </c>
      <c r="L1202">
        <v>0</v>
      </c>
      <c r="M1202">
        <v>0</v>
      </c>
      <c r="N1202">
        <v>212.22300000000001</v>
      </c>
      <c r="O1202">
        <v>181.01599999999999</v>
      </c>
      <c r="P1202">
        <v>0</v>
      </c>
      <c r="R1202">
        <v>0</v>
      </c>
    </row>
    <row r="1203" spans="1:18" hidden="1" x14ac:dyDescent="0.25">
      <c r="A1203" t="s">
        <v>1330</v>
      </c>
      <c r="B1203" t="s">
        <v>37</v>
      </c>
      <c r="C1203" t="s">
        <v>450</v>
      </c>
      <c r="D1203" t="s">
        <v>23</v>
      </c>
      <c r="E1203">
        <v>283.43340000000001</v>
      </c>
      <c r="F1203">
        <v>0</v>
      </c>
      <c r="G1203">
        <v>318.63330000000002</v>
      </c>
      <c r="H1203">
        <v>0</v>
      </c>
      <c r="I1203">
        <v>0</v>
      </c>
      <c r="J1203">
        <v>0</v>
      </c>
      <c r="K1203">
        <v>403.14749999999998</v>
      </c>
      <c r="L1203">
        <v>0</v>
      </c>
      <c r="M1203">
        <v>0</v>
      </c>
      <c r="N1203">
        <v>273.53699999999998</v>
      </c>
      <c r="O1203">
        <v>294.15100000000001</v>
      </c>
      <c r="P1203">
        <v>277.91149999999999</v>
      </c>
      <c r="R1203">
        <v>277.91149999999999</v>
      </c>
    </row>
    <row r="1204" spans="1:18" hidden="1" x14ac:dyDescent="0.25">
      <c r="A1204" t="s">
        <v>1331</v>
      </c>
      <c r="B1204" t="s">
        <v>37</v>
      </c>
      <c r="C1204" t="s">
        <v>450</v>
      </c>
      <c r="D1204" t="s">
        <v>25</v>
      </c>
      <c r="E1204">
        <v>315.04000000000002</v>
      </c>
      <c r="F1204">
        <v>0</v>
      </c>
      <c r="G1204">
        <v>359.04</v>
      </c>
      <c r="H1204">
        <v>0</v>
      </c>
      <c r="I1204">
        <v>0</v>
      </c>
      <c r="J1204">
        <v>0</v>
      </c>
      <c r="K1204">
        <v>452.27699999999999</v>
      </c>
      <c r="L1204">
        <v>0</v>
      </c>
      <c r="M1204">
        <v>0</v>
      </c>
      <c r="N1204">
        <v>301.83999999999997</v>
      </c>
      <c r="O1204">
        <v>323.07</v>
      </c>
      <c r="P1204">
        <v>303.21719999999999</v>
      </c>
      <c r="R1204">
        <v>303.21719999999999</v>
      </c>
    </row>
    <row r="1205" spans="1:18" hidden="1" x14ac:dyDescent="0.25">
      <c r="A1205" t="s">
        <v>1332</v>
      </c>
      <c r="B1205" t="s">
        <v>37</v>
      </c>
      <c r="C1205" t="s">
        <v>450</v>
      </c>
      <c r="D1205" t="s">
        <v>27</v>
      </c>
      <c r="E1205">
        <v>428.34</v>
      </c>
      <c r="F1205">
        <v>0</v>
      </c>
      <c r="G1205">
        <v>499.84</v>
      </c>
      <c r="H1205">
        <v>644.16</v>
      </c>
      <c r="I1205">
        <v>527.34</v>
      </c>
      <c r="J1205">
        <v>0</v>
      </c>
      <c r="K1205">
        <v>0</v>
      </c>
      <c r="L1205">
        <v>0</v>
      </c>
      <c r="M1205">
        <v>461.53469999999999</v>
      </c>
      <c r="N1205">
        <v>529.76</v>
      </c>
      <c r="O1205">
        <v>437.899</v>
      </c>
      <c r="P1205">
        <v>436.95609999999999</v>
      </c>
      <c r="R1205">
        <v>436.95609999999999</v>
      </c>
    </row>
    <row r="1206" spans="1:18" hidden="1" x14ac:dyDescent="0.25">
      <c r="A1206" t="s">
        <v>1333</v>
      </c>
      <c r="B1206" t="s">
        <v>37</v>
      </c>
      <c r="C1206" t="s">
        <v>450</v>
      </c>
      <c r="D1206" t="s">
        <v>29</v>
      </c>
      <c r="E1206">
        <v>195.72659999999999</v>
      </c>
      <c r="F1206">
        <v>0</v>
      </c>
      <c r="G1206">
        <v>261.72669999999999</v>
      </c>
      <c r="H1206">
        <v>0</v>
      </c>
      <c r="I1206">
        <v>0</v>
      </c>
      <c r="J1206">
        <v>0</v>
      </c>
      <c r="K1206">
        <v>238.2345</v>
      </c>
      <c r="L1206">
        <v>0</v>
      </c>
      <c r="M1206">
        <v>0</v>
      </c>
      <c r="N1206">
        <v>223.22300000000001</v>
      </c>
      <c r="O1206">
        <v>230.26300000000001</v>
      </c>
      <c r="P1206">
        <v>200.01300000000001</v>
      </c>
      <c r="R1206">
        <v>200.01300000000001</v>
      </c>
    </row>
    <row r="1207" spans="1:18" hidden="1" x14ac:dyDescent="0.25">
      <c r="A1207" t="s">
        <v>1334</v>
      </c>
      <c r="B1207" t="s">
        <v>37</v>
      </c>
      <c r="C1207" t="s">
        <v>450</v>
      </c>
      <c r="D1207" t="s">
        <v>31</v>
      </c>
      <c r="E1207">
        <v>248.23339999999999</v>
      </c>
      <c r="F1207">
        <v>0</v>
      </c>
      <c r="G1207">
        <v>287.83330000000001</v>
      </c>
      <c r="H1207">
        <v>0</v>
      </c>
      <c r="I1207">
        <v>333.113</v>
      </c>
      <c r="J1207">
        <v>0</v>
      </c>
      <c r="K1207">
        <v>325.80450000000002</v>
      </c>
      <c r="L1207">
        <v>0</v>
      </c>
      <c r="M1207">
        <v>0</v>
      </c>
      <c r="N1207">
        <v>240.53700000000001</v>
      </c>
      <c r="O1207">
        <v>239.58</v>
      </c>
      <c r="P1207">
        <v>237.5822</v>
      </c>
      <c r="R1207">
        <v>237.5822</v>
      </c>
    </row>
    <row r="1208" spans="1:18" hidden="1" x14ac:dyDescent="0.25">
      <c r="A1208" t="s">
        <v>1335</v>
      </c>
      <c r="B1208" t="s">
        <v>37</v>
      </c>
      <c r="C1208" t="s">
        <v>450</v>
      </c>
      <c r="D1208" t="s">
        <v>33</v>
      </c>
      <c r="E1208">
        <v>257.03339999999997</v>
      </c>
      <c r="F1208">
        <v>0</v>
      </c>
      <c r="G1208">
        <v>299.93329999999997</v>
      </c>
      <c r="H1208">
        <v>0</v>
      </c>
      <c r="I1208">
        <v>333.113</v>
      </c>
      <c r="J1208">
        <v>0</v>
      </c>
      <c r="K1208">
        <v>337.66950000000003</v>
      </c>
      <c r="L1208">
        <v>0</v>
      </c>
      <c r="M1208">
        <v>0</v>
      </c>
      <c r="N1208">
        <v>257.03699999999998</v>
      </c>
      <c r="O1208">
        <v>267.53100000000001</v>
      </c>
      <c r="P1208">
        <v>257.07</v>
      </c>
      <c r="R1208">
        <v>257.07</v>
      </c>
    </row>
    <row r="1209" spans="1:18" hidden="1" x14ac:dyDescent="0.25">
      <c r="A1209" t="s">
        <v>1336</v>
      </c>
      <c r="B1209" t="s">
        <v>37</v>
      </c>
      <c r="C1209" t="s">
        <v>450</v>
      </c>
      <c r="D1209" t="s">
        <v>35</v>
      </c>
      <c r="E1209">
        <v>498.3</v>
      </c>
      <c r="F1209">
        <v>0</v>
      </c>
      <c r="G1209">
        <v>539.15710000000001</v>
      </c>
      <c r="H1209">
        <v>644.16</v>
      </c>
      <c r="I1209">
        <v>538.17499999999995</v>
      </c>
      <c r="J1209">
        <v>0</v>
      </c>
      <c r="K1209">
        <v>0</v>
      </c>
      <c r="L1209">
        <v>0</v>
      </c>
      <c r="M1209">
        <v>496.0197</v>
      </c>
      <c r="N1209">
        <v>554.4</v>
      </c>
      <c r="O1209">
        <v>524.41399999999999</v>
      </c>
      <c r="P1209">
        <v>500.91219999999998</v>
      </c>
      <c r="R1209">
        <v>500.91219999999998</v>
      </c>
    </row>
    <row r="1210" spans="1:18" hidden="1" x14ac:dyDescent="0.25">
      <c r="A1210" t="s">
        <v>1337</v>
      </c>
      <c r="B1210" t="s">
        <v>37</v>
      </c>
      <c r="C1210" t="s">
        <v>459</v>
      </c>
      <c r="D1210" t="s">
        <v>21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</row>
    <row r="1211" spans="1:18" hidden="1" x14ac:dyDescent="0.25">
      <c r="A1211" t="s">
        <v>1338</v>
      </c>
      <c r="B1211" t="s">
        <v>37</v>
      </c>
      <c r="C1211" t="s">
        <v>459</v>
      </c>
      <c r="D1211" t="s">
        <v>23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315.62959999999998</v>
      </c>
      <c r="Q1211">
        <v>0</v>
      </c>
      <c r="R1211">
        <v>315.62959999999998</v>
      </c>
    </row>
    <row r="1212" spans="1:18" hidden="1" x14ac:dyDescent="0.25">
      <c r="A1212" t="s">
        <v>1339</v>
      </c>
      <c r="B1212" t="s">
        <v>37</v>
      </c>
      <c r="C1212" t="s">
        <v>459</v>
      </c>
      <c r="D1212" t="s">
        <v>25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360.04719999999998</v>
      </c>
      <c r="Q1212">
        <v>0</v>
      </c>
      <c r="R1212">
        <v>360.04719999999998</v>
      </c>
    </row>
    <row r="1213" spans="1:18" hidden="1" x14ac:dyDescent="0.25">
      <c r="A1213" t="s">
        <v>1340</v>
      </c>
      <c r="B1213" t="s">
        <v>37</v>
      </c>
      <c r="C1213" t="s">
        <v>459</v>
      </c>
      <c r="D1213" t="s">
        <v>27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454.47019999999998</v>
      </c>
      <c r="Q1213">
        <v>0</v>
      </c>
      <c r="R1213">
        <v>454.47019999999998</v>
      </c>
    </row>
    <row r="1214" spans="1:18" hidden="1" x14ac:dyDescent="0.25">
      <c r="A1214" t="s">
        <v>1341</v>
      </c>
      <c r="B1214" t="s">
        <v>37</v>
      </c>
      <c r="C1214" t="s">
        <v>459</v>
      </c>
      <c r="D1214" t="s">
        <v>29</v>
      </c>
      <c r="E1214">
        <v>0</v>
      </c>
      <c r="F1214">
        <v>248.6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222.46369999999999</v>
      </c>
      <c r="Q1214">
        <v>248.6</v>
      </c>
      <c r="R1214">
        <v>222.46369999999999</v>
      </c>
    </row>
    <row r="1215" spans="1:18" hidden="1" x14ac:dyDescent="0.25">
      <c r="A1215" t="s">
        <v>1342</v>
      </c>
      <c r="B1215" t="s">
        <v>37</v>
      </c>
      <c r="C1215" t="s">
        <v>459</v>
      </c>
      <c r="D1215" t="s">
        <v>31</v>
      </c>
      <c r="E1215">
        <v>0</v>
      </c>
      <c r="F1215">
        <v>341.82499999999999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262.87349999999998</v>
      </c>
      <c r="Q1215">
        <v>341.82499999999999</v>
      </c>
      <c r="R1215">
        <v>262.87349999999998</v>
      </c>
    </row>
    <row r="1216" spans="1:18" hidden="1" x14ac:dyDescent="0.25">
      <c r="A1216" t="s">
        <v>1343</v>
      </c>
      <c r="B1216" t="s">
        <v>37</v>
      </c>
      <c r="C1216" t="s">
        <v>459</v>
      </c>
      <c r="D1216" t="s">
        <v>33</v>
      </c>
      <c r="E1216">
        <v>0</v>
      </c>
      <c r="F1216">
        <v>366.685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284.39190000000002</v>
      </c>
      <c r="Q1216">
        <v>366.685</v>
      </c>
      <c r="R1216">
        <v>284.39190000000002</v>
      </c>
    </row>
    <row r="1217" spans="1:18" hidden="1" x14ac:dyDescent="0.25">
      <c r="A1217" t="s">
        <v>1344</v>
      </c>
      <c r="B1217" t="s">
        <v>37</v>
      </c>
      <c r="C1217" t="s">
        <v>459</v>
      </c>
      <c r="D1217" t="s">
        <v>35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526.20349999999996</v>
      </c>
      <c r="Q1217">
        <v>0</v>
      </c>
      <c r="R1217">
        <v>526.20349999999996</v>
      </c>
    </row>
    <row r="1218" spans="1:18" hidden="1" x14ac:dyDescent="0.25">
      <c r="A1218" t="s">
        <v>1345</v>
      </c>
      <c r="B1218" t="s">
        <v>37</v>
      </c>
      <c r="C1218" t="s">
        <v>468</v>
      </c>
      <c r="D1218" t="s">
        <v>21</v>
      </c>
      <c r="E1218">
        <v>246.67500000000001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249.6217</v>
      </c>
      <c r="L1218">
        <v>0</v>
      </c>
      <c r="M1218">
        <v>0</v>
      </c>
      <c r="N1218">
        <v>256.41000000000003</v>
      </c>
      <c r="O1218">
        <v>231.59399999999999</v>
      </c>
      <c r="P1218">
        <v>0</v>
      </c>
      <c r="R1218">
        <v>0</v>
      </c>
    </row>
    <row r="1219" spans="1:18" hidden="1" x14ac:dyDescent="0.25">
      <c r="A1219" t="s">
        <v>1346</v>
      </c>
      <c r="B1219" t="s">
        <v>37</v>
      </c>
      <c r="C1219" t="s">
        <v>468</v>
      </c>
      <c r="D1219" t="s">
        <v>23</v>
      </c>
      <c r="E1219">
        <v>376.97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402.28649999999999</v>
      </c>
      <c r="L1219">
        <v>0</v>
      </c>
      <c r="M1219">
        <v>0</v>
      </c>
      <c r="N1219">
        <v>402.93</v>
      </c>
      <c r="O1219">
        <v>366.02499999999998</v>
      </c>
      <c r="P1219">
        <v>363.65159999999997</v>
      </c>
      <c r="R1219">
        <v>363.65170000000001</v>
      </c>
    </row>
    <row r="1220" spans="1:18" hidden="1" x14ac:dyDescent="0.25">
      <c r="A1220" t="s">
        <v>1347</v>
      </c>
      <c r="B1220" t="s">
        <v>37</v>
      </c>
      <c r="C1220" t="s">
        <v>468</v>
      </c>
      <c r="D1220" t="s">
        <v>25</v>
      </c>
      <c r="E1220">
        <v>393.75599999999997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451.24380000000002</v>
      </c>
      <c r="L1220">
        <v>0</v>
      </c>
      <c r="M1220">
        <v>0</v>
      </c>
      <c r="N1220">
        <v>427.35</v>
      </c>
      <c r="O1220">
        <v>463.18799999999999</v>
      </c>
      <c r="P1220">
        <v>371.86200000000002</v>
      </c>
      <c r="R1220">
        <v>371.86200000000002</v>
      </c>
    </row>
    <row r="1221" spans="1:18" hidden="1" x14ac:dyDescent="0.25">
      <c r="A1221" t="s">
        <v>1348</v>
      </c>
      <c r="B1221" t="s">
        <v>37</v>
      </c>
      <c r="C1221" t="s">
        <v>468</v>
      </c>
      <c r="D1221" t="s">
        <v>27</v>
      </c>
      <c r="E1221">
        <v>550.50599999999997</v>
      </c>
      <c r="F1221">
        <v>0</v>
      </c>
      <c r="G1221">
        <v>0</v>
      </c>
      <c r="H1221">
        <v>0</v>
      </c>
      <c r="I1221">
        <v>586.08000000000004</v>
      </c>
      <c r="J1221">
        <v>0</v>
      </c>
      <c r="K1221">
        <v>0</v>
      </c>
      <c r="L1221">
        <v>0</v>
      </c>
      <c r="M1221">
        <v>0</v>
      </c>
      <c r="N1221">
        <v>561.66</v>
      </c>
      <c r="O1221">
        <v>567.00599999999997</v>
      </c>
      <c r="P1221">
        <v>548.44939999999997</v>
      </c>
      <c r="R1221">
        <v>548.44939999999997</v>
      </c>
    </row>
    <row r="1222" spans="1:18" hidden="1" x14ac:dyDescent="0.25">
      <c r="A1222" t="s">
        <v>1349</v>
      </c>
      <c r="B1222" t="s">
        <v>37</v>
      </c>
      <c r="C1222" t="s">
        <v>468</v>
      </c>
      <c r="D1222" t="s">
        <v>29</v>
      </c>
      <c r="E1222">
        <v>250.47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256.30759999999998</v>
      </c>
      <c r="L1222">
        <v>0</v>
      </c>
      <c r="M1222">
        <v>0</v>
      </c>
      <c r="N1222">
        <v>262.51499999999999</v>
      </c>
      <c r="O1222">
        <v>308.79199999999997</v>
      </c>
      <c r="P1222">
        <v>249.6463</v>
      </c>
      <c r="R1222">
        <v>249.6463</v>
      </c>
    </row>
    <row r="1223" spans="1:18" hidden="1" x14ac:dyDescent="0.25">
      <c r="A1223" t="s">
        <v>1350</v>
      </c>
      <c r="B1223" t="s">
        <v>37</v>
      </c>
      <c r="C1223" t="s">
        <v>468</v>
      </c>
      <c r="D1223" t="s">
        <v>31</v>
      </c>
      <c r="E1223">
        <v>326.04000000000002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409.44490000000002</v>
      </c>
      <c r="L1223">
        <v>0</v>
      </c>
      <c r="M1223">
        <v>0</v>
      </c>
      <c r="N1223">
        <v>415.14</v>
      </c>
      <c r="O1223">
        <v>335.41199999999998</v>
      </c>
      <c r="P1223">
        <v>327.36779999999999</v>
      </c>
      <c r="R1223">
        <v>327.36779999999999</v>
      </c>
    </row>
    <row r="1224" spans="1:18" hidden="1" x14ac:dyDescent="0.25">
      <c r="A1224" t="s">
        <v>1351</v>
      </c>
      <c r="B1224" t="s">
        <v>37</v>
      </c>
      <c r="C1224" t="s">
        <v>468</v>
      </c>
      <c r="D1224" t="s">
        <v>33</v>
      </c>
      <c r="E1224">
        <v>331.05599999999998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316.48050000000001</v>
      </c>
      <c r="L1224">
        <v>0</v>
      </c>
      <c r="M1224">
        <v>0</v>
      </c>
      <c r="N1224">
        <v>317.45999999999998</v>
      </c>
      <c r="O1224">
        <v>347.39100000000002</v>
      </c>
      <c r="P1224">
        <v>313.16140000000001</v>
      </c>
      <c r="R1224">
        <v>313.16140000000001</v>
      </c>
    </row>
    <row r="1225" spans="1:18" hidden="1" x14ac:dyDescent="0.25">
      <c r="A1225" t="s">
        <v>1352</v>
      </c>
      <c r="B1225" t="s">
        <v>37</v>
      </c>
      <c r="C1225" t="s">
        <v>468</v>
      </c>
      <c r="D1225" t="s">
        <v>35</v>
      </c>
      <c r="E1225">
        <v>649.572</v>
      </c>
      <c r="F1225">
        <v>0</v>
      </c>
      <c r="G1225">
        <v>0</v>
      </c>
      <c r="H1225">
        <v>0</v>
      </c>
      <c r="I1225">
        <v>586.08000000000004</v>
      </c>
      <c r="J1225">
        <v>0</v>
      </c>
      <c r="K1225">
        <v>0</v>
      </c>
      <c r="L1225">
        <v>0</v>
      </c>
      <c r="M1225">
        <v>0</v>
      </c>
      <c r="N1225">
        <v>586.08000000000004</v>
      </c>
      <c r="O1225">
        <v>681.47199999999998</v>
      </c>
      <c r="P1225">
        <v>577.24130000000002</v>
      </c>
      <c r="R1225">
        <v>577.24130000000002</v>
      </c>
    </row>
    <row r="1226" spans="1:18" hidden="1" x14ac:dyDescent="0.25">
      <c r="A1226" t="s">
        <v>1353</v>
      </c>
      <c r="B1226" t="s">
        <v>37</v>
      </c>
      <c r="C1226" t="s">
        <v>477</v>
      </c>
      <c r="D1226" t="s">
        <v>21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</row>
    <row r="1227" spans="1:18" hidden="1" x14ac:dyDescent="0.25">
      <c r="A1227" t="s">
        <v>1354</v>
      </c>
      <c r="B1227" t="s">
        <v>37</v>
      </c>
      <c r="C1227" t="s">
        <v>477</v>
      </c>
      <c r="D1227" t="s">
        <v>23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302.61669999999998</v>
      </c>
      <c r="Q1227">
        <v>0</v>
      </c>
      <c r="R1227">
        <v>302.61669999999998</v>
      </c>
    </row>
    <row r="1228" spans="1:18" hidden="1" x14ac:dyDescent="0.25">
      <c r="A1228" t="s">
        <v>1355</v>
      </c>
      <c r="B1228" t="s">
        <v>37</v>
      </c>
      <c r="C1228" t="s">
        <v>477</v>
      </c>
      <c r="D1228" t="s">
        <v>25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319.68860000000001</v>
      </c>
      <c r="Q1228">
        <v>0</v>
      </c>
      <c r="R1228">
        <v>319.68860000000001</v>
      </c>
    </row>
    <row r="1229" spans="1:18" hidden="1" x14ac:dyDescent="0.25">
      <c r="A1229" t="s">
        <v>1356</v>
      </c>
      <c r="B1229" t="s">
        <v>37</v>
      </c>
      <c r="C1229" t="s">
        <v>477</v>
      </c>
      <c r="D1229" t="s">
        <v>27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443.21379999999999</v>
      </c>
      <c r="Q1229">
        <v>0</v>
      </c>
      <c r="R1229">
        <v>443.21379999999999</v>
      </c>
    </row>
    <row r="1230" spans="1:18" hidden="1" x14ac:dyDescent="0.25">
      <c r="A1230" t="s">
        <v>1357</v>
      </c>
      <c r="B1230" t="s">
        <v>37</v>
      </c>
      <c r="C1230" t="s">
        <v>477</v>
      </c>
      <c r="D1230" t="s">
        <v>29</v>
      </c>
      <c r="E1230">
        <v>0</v>
      </c>
      <c r="F1230">
        <v>208.82400000000001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203.6747</v>
      </c>
      <c r="Q1230">
        <v>208.82400000000001</v>
      </c>
      <c r="R1230">
        <v>203.6747</v>
      </c>
    </row>
    <row r="1231" spans="1:18" hidden="1" x14ac:dyDescent="0.25">
      <c r="A1231" t="s">
        <v>1358</v>
      </c>
      <c r="B1231" t="s">
        <v>37</v>
      </c>
      <c r="C1231" t="s">
        <v>477</v>
      </c>
      <c r="D1231" t="s">
        <v>31</v>
      </c>
      <c r="E1231">
        <v>0</v>
      </c>
      <c r="F1231">
        <v>248.6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250.6412</v>
      </c>
      <c r="Q1231">
        <v>248.6</v>
      </c>
      <c r="R1231">
        <v>250.6412</v>
      </c>
    </row>
    <row r="1232" spans="1:18" hidden="1" x14ac:dyDescent="0.25">
      <c r="A1232" t="s">
        <v>1359</v>
      </c>
      <c r="B1232" t="s">
        <v>37</v>
      </c>
      <c r="C1232" t="s">
        <v>477</v>
      </c>
      <c r="D1232" t="s">
        <v>33</v>
      </c>
      <c r="E1232">
        <v>0</v>
      </c>
      <c r="F1232">
        <v>273.45999999999998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262.387</v>
      </c>
      <c r="Q1232">
        <v>273.45999999999998</v>
      </c>
      <c r="R1232">
        <v>262.387</v>
      </c>
    </row>
    <row r="1233" spans="1:18" hidden="1" x14ac:dyDescent="0.25">
      <c r="A1233" t="s">
        <v>1360</v>
      </c>
      <c r="B1233" t="s">
        <v>37</v>
      </c>
      <c r="C1233" t="s">
        <v>477</v>
      </c>
      <c r="D1233" t="s">
        <v>35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466.23719999999997</v>
      </c>
      <c r="Q1233">
        <v>0</v>
      </c>
      <c r="R1233">
        <v>466.23719999999997</v>
      </c>
    </row>
    <row r="1234" spans="1:18" hidden="1" x14ac:dyDescent="0.25">
      <c r="A1234" t="s">
        <v>1361</v>
      </c>
      <c r="B1234" t="s">
        <v>37</v>
      </c>
      <c r="C1234" t="s">
        <v>486</v>
      </c>
      <c r="D1234" t="s">
        <v>21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R1234">
        <v>0</v>
      </c>
    </row>
    <row r="1235" spans="1:18" hidden="1" x14ac:dyDescent="0.25">
      <c r="A1235" t="s">
        <v>1362</v>
      </c>
      <c r="B1235" t="s">
        <v>37</v>
      </c>
      <c r="C1235" t="s">
        <v>486</v>
      </c>
      <c r="D1235" t="s">
        <v>23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203.5994</v>
      </c>
      <c r="R1235">
        <v>203.5994</v>
      </c>
    </row>
    <row r="1236" spans="1:18" hidden="1" x14ac:dyDescent="0.25">
      <c r="A1236" t="s">
        <v>1363</v>
      </c>
      <c r="B1236" t="s">
        <v>37</v>
      </c>
      <c r="C1236" t="s">
        <v>486</v>
      </c>
      <c r="D1236" t="s">
        <v>25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210.13669999999999</v>
      </c>
      <c r="R1236">
        <v>210.13669999999999</v>
      </c>
    </row>
    <row r="1237" spans="1:18" hidden="1" x14ac:dyDescent="0.25">
      <c r="A1237" t="s">
        <v>1364</v>
      </c>
      <c r="B1237" t="s">
        <v>37</v>
      </c>
      <c r="C1237" t="s">
        <v>486</v>
      </c>
      <c r="D1237" t="s">
        <v>27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276.0806</v>
      </c>
      <c r="R1237">
        <v>276.0806</v>
      </c>
    </row>
    <row r="1238" spans="1:18" hidden="1" x14ac:dyDescent="0.25">
      <c r="A1238" t="s">
        <v>1365</v>
      </c>
      <c r="B1238" t="s">
        <v>37</v>
      </c>
      <c r="C1238" t="s">
        <v>486</v>
      </c>
      <c r="D1238" t="s">
        <v>29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128.79089999999999</v>
      </c>
      <c r="R1238">
        <v>128.79089999999999</v>
      </c>
    </row>
    <row r="1239" spans="1:18" hidden="1" x14ac:dyDescent="0.25">
      <c r="A1239" t="s">
        <v>1366</v>
      </c>
      <c r="B1239" t="s">
        <v>37</v>
      </c>
      <c r="C1239" t="s">
        <v>486</v>
      </c>
      <c r="D1239" t="s">
        <v>31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150.73070000000001</v>
      </c>
      <c r="R1239">
        <v>150.73060000000001</v>
      </c>
    </row>
    <row r="1240" spans="1:18" hidden="1" x14ac:dyDescent="0.25">
      <c r="A1240" t="s">
        <v>1367</v>
      </c>
      <c r="B1240" t="s">
        <v>37</v>
      </c>
      <c r="C1240" t="s">
        <v>486</v>
      </c>
      <c r="D1240" t="s">
        <v>33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166.64410000000001</v>
      </c>
      <c r="R1240">
        <v>166.64410000000001</v>
      </c>
    </row>
    <row r="1241" spans="1:18" hidden="1" x14ac:dyDescent="0.25">
      <c r="A1241" t="s">
        <v>1368</v>
      </c>
      <c r="B1241" t="s">
        <v>37</v>
      </c>
      <c r="C1241" t="s">
        <v>486</v>
      </c>
      <c r="D1241" t="s">
        <v>35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288.62060000000002</v>
      </c>
      <c r="R1241">
        <v>288.62060000000002</v>
      </c>
    </row>
    <row r="1242" spans="1:18" hidden="1" x14ac:dyDescent="0.25">
      <c r="A1242" t="s">
        <v>1369</v>
      </c>
      <c r="B1242" t="s">
        <v>37</v>
      </c>
      <c r="C1242" t="s">
        <v>495</v>
      </c>
      <c r="D1242" t="s">
        <v>21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R1242">
        <v>0</v>
      </c>
    </row>
    <row r="1243" spans="1:18" hidden="1" x14ac:dyDescent="0.25">
      <c r="A1243" t="s">
        <v>1370</v>
      </c>
      <c r="B1243" t="s">
        <v>37</v>
      </c>
      <c r="C1243" t="s">
        <v>495</v>
      </c>
      <c r="D1243" t="s">
        <v>23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317.5994</v>
      </c>
      <c r="R1243">
        <v>317.5994</v>
      </c>
    </row>
    <row r="1244" spans="1:18" hidden="1" x14ac:dyDescent="0.25">
      <c r="A1244" t="s">
        <v>1371</v>
      </c>
      <c r="B1244" t="s">
        <v>37</v>
      </c>
      <c r="C1244" t="s">
        <v>495</v>
      </c>
      <c r="D1244" t="s">
        <v>25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340.57029999999997</v>
      </c>
      <c r="R1244">
        <v>340.57029999999997</v>
      </c>
    </row>
    <row r="1245" spans="1:18" hidden="1" x14ac:dyDescent="0.25">
      <c r="A1245" t="s">
        <v>1372</v>
      </c>
      <c r="B1245" t="s">
        <v>37</v>
      </c>
      <c r="C1245" t="s">
        <v>495</v>
      </c>
      <c r="D1245" t="s">
        <v>27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501.47460000000001</v>
      </c>
      <c r="R1245">
        <v>501.47460000000001</v>
      </c>
    </row>
    <row r="1246" spans="1:18" hidden="1" x14ac:dyDescent="0.25">
      <c r="A1246" t="s">
        <v>1373</v>
      </c>
      <c r="B1246" t="s">
        <v>37</v>
      </c>
      <c r="C1246" t="s">
        <v>495</v>
      </c>
      <c r="D1246" t="s">
        <v>29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221.97049999999999</v>
      </c>
      <c r="R1246">
        <v>221.97049999999999</v>
      </c>
    </row>
    <row r="1247" spans="1:18" hidden="1" x14ac:dyDescent="0.25">
      <c r="A1247" t="s">
        <v>1374</v>
      </c>
      <c r="B1247" t="s">
        <v>37</v>
      </c>
      <c r="C1247" t="s">
        <v>495</v>
      </c>
      <c r="D1247" t="s">
        <v>31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265.53100000000001</v>
      </c>
      <c r="R1247">
        <v>265.53100000000001</v>
      </c>
    </row>
    <row r="1248" spans="1:18" hidden="1" x14ac:dyDescent="0.25">
      <c r="A1248" t="s">
        <v>1375</v>
      </c>
      <c r="B1248" t="s">
        <v>37</v>
      </c>
      <c r="C1248" t="s">
        <v>495</v>
      </c>
      <c r="D1248" t="s">
        <v>33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286.52670000000001</v>
      </c>
      <c r="R1248">
        <v>286.52670000000001</v>
      </c>
    </row>
    <row r="1249" spans="1:18" hidden="1" x14ac:dyDescent="0.25">
      <c r="A1249" t="s">
        <v>1376</v>
      </c>
      <c r="B1249" t="s">
        <v>37</v>
      </c>
      <c r="C1249" t="s">
        <v>495</v>
      </c>
      <c r="D1249" t="s">
        <v>35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535.40779999999995</v>
      </c>
      <c r="R1249">
        <v>535.40779999999995</v>
      </c>
    </row>
    <row r="1250" spans="1:18" hidden="1" x14ac:dyDescent="0.25">
      <c r="A1250" t="s">
        <v>1377</v>
      </c>
      <c r="B1250" t="s">
        <v>37</v>
      </c>
      <c r="C1250" t="s">
        <v>504</v>
      </c>
      <c r="D1250" t="s">
        <v>21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R1250">
        <v>0</v>
      </c>
    </row>
    <row r="1251" spans="1:18" hidden="1" x14ac:dyDescent="0.25">
      <c r="A1251" t="s">
        <v>1378</v>
      </c>
      <c r="B1251" t="s">
        <v>37</v>
      </c>
      <c r="C1251" t="s">
        <v>504</v>
      </c>
      <c r="D1251" t="s">
        <v>23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314.17320000000001</v>
      </c>
      <c r="R1251">
        <v>314.17320000000001</v>
      </c>
    </row>
    <row r="1252" spans="1:18" hidden="1" x14ac:dyDescent="0.25">
      <c r="A1252" t="s">
        <v>1379</v>
      </c>
      <c r="B1252" t="s">
        <v>37</v>
      </c>
      <c r="C1252" t="s">
        <v>504</v>
      </c>
      <c r="D1252" t="s">
        <v>25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323.26249999999999</v>
      </c>
      <c r="R1252">
        <v>323.26249999999999</v>
      </c>
    </row>
    <row r="1253" spans="1:18" hidden="1" x14ac:dyDescent="0.25">
      <c r="A1253" t="s">
        <v>1380</v>
      </c>
      <c r="B1253" t="s">
        <v>37</v>
      </c>
      <c r="C1253" t="s">
        <v>504</v>
      </c>
      <c r="D1253" t="s">
        <v>27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439.20100000000002</v>
      </c>
      <c r="R1253">
        <v>439.20100000000002</v>
      </c>
    </row>
    <row r="1254" spans="1:18" hidden="1" x14ac:dyDescent="0.25">
      <c r="A1254" t="s">
        <v>1381</v>
      </c>
      <c r="B1254" t="s">
        <v>37</v>
      </c>
      <c r="C1254" t="s">
        <v>504</v>
      </c>
      <c r="D1254" t="s">
        <v>29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209.51830000000001</v>
      </c>
      <c r="R1254">
        <v>209.51830000000001</v>
      </c>
    </row>
    <row r="1255" spans="1:18" hidden="1" x14ac:dyDescent="0.25">
      <c r="A1255" t="s">
        <v>1382</v>
      </c>
      <c r="B1255" t="s">
        <v>37</v>
      </c>
      <c r="C1255" t="s">
        <v>504</v>
      </c>
      <c r="D1255" t="s">
        <v>31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265.53100000000001</v>
      </c>
      <c r="R1255">
        <v>265.53100000000001</v>
      </c>
    </row>
    <row r="1256" spans="1:18" hidden="1" x14ac:dyDescent="0.25">
      <c r="A1256" t="s">
        <v>1383</v>
      </c>
      <c r="B1256" t="s">
        <v>37</v>
      </c>
      <c r="C1256" t="s">
        <v>504</v>
      </c>
      <c r="D1256" t="s">
        <v>33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285.91199999999998</v>
      </c>
      <c r="R1256">
        <v>285.91199999999998</v>
      </c>
    </row>
    <row r="1257" spans="1:18" hidden="1" x14ac:dyDescent="0.25">
      <c r="A1257" t="s">
        <v>1384</v>
      </c>
      <c r="B1257" t="s">
        <v>37</v>
      </c>
      <c r="C1257" t="s">
        <v>504</v>
      </c>
      <c r="D1257" t="s">
        <v>35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450.71269999999998</v>
      </c>
      <c r="R1257">
        <v>450.71269999999998</v>
      </c>
    </row>
    <row r="1258" spans="1:18" hidden="1" x14ac:dyDescent="0.25">
      <c r="A1258" t="s">
        <v>1385</v>
      </c>
      <c r="B1258" t="s">
        <v>37</v>
      </c>
      <c r="C1258" t="s">
        <v>513</v>
      </c>
      <c r="D1258" t="s">
        <v>21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R1258">
        <v>0</v>
      </c>
    </row>
    <row r="1259" spans="1:18" hidden="1" x14ac:dyDescent="0.25">
      <c r="A1259" t="s">
        <v>1386</v>
      </c>
      <c r="B1259" t="s">
        <v>37</v>
      </c>
      <c r="C1259" t="s">
        <v>513</v>
      </c>
      <c r="D1259" t="s">
        <v>23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601.29300000000001</v>
      </c>
      <c r="R1259">
        <v>601.29300000000001</v>
      </c>
    </row>
    <row r="1260" spans="1:18" hidden="1" x14ac:dyDescent="0.25">
      <c r="A1260" t="s">
        <v>1387</v>
      </c>
      <c r="B1260" t="s">
        <v>37</v>
      </c>
      <c r="C1260" t="s">
        <v>513</v>
      </c>
      <c r="D1260" t="s">
        <v>25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624.36659999999995</v>
      </c>
      <c r="R1260">
        <v>624.36659999999995</v>
      </c>
    </row>
    <row r="1261" spans="1:18" hidden="1" x14ac:dyDescent="0.25">
      <c r="A1261" t="s">
        <v>1388</v>
      </c>
      <c r="B1261" t="s">
        <v>37</v>
      </c>
      <c r="C1261" t="s">
        <v>513</v>
      </c>
      <c r="D1261" t="s">
        <v>27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841.81020000000001</v>
      </c>
      <c r="R1261">
        <v>841.81020000000001</v>
      </c>
    </row>
    <row r="1262" spans="1:18" hidden="1" x14ac:dyDescent="0.25">
      <c r="A1262" t="s">
        <v>1389</v>
      </c>
      <c r="B1262" t="s">
        <v>37</v>
      </c>
      <c r="C1262" t="s">
        <v>513</v>
      </c>
      <c r="D1262" t="s">
        <v>29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420.39100000000002</v>
      </c>
      <c r="R1262">
        <v>420.39100000000002</v>
      </c>
    </row>
    <row r="1263" spans="1:18" hidden="1" x14ac:dyDescent="0.25">
      <c r="A1263" t="s">
        <v>1390</v>
      </c>
      <c r="B1263" t="s">
        <v>37</v>
      </c>
      <c r="C1263" t="s">
        <v>513</v>
      </c>
      <c r="D1263" t="s">
        <v>31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481.78680000000003</v>
      </c>
      <c r="R1263">
        <v>481.78680000000003</v>
      </c>
    </row>
    <row r="1264" spans="1:18" hidden="1" x14ac:dyDescent="0.25">
      <c r="A1264" t="s">
        <v>1391</v>
      </c>
      <c r="B1264" t="s">
        <v>37</v>
      </c>
      <c r="C1264" t="s">
        <v>513</v>
      </c>
      <c r="D1264" t="s">
        <v>33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503.70670000000001</v>
      </c>
      <c r="R1264">
        <v>503.70670000000001</v>
      </c>
    </row>
    <row r="1265" spans="1:18" hidden="1" x14ac:dyDescent="0.25">
      <c r="A1265" t="s">
        <v>1392</v>
      </c>
      <c r="B1265" t="s">
        <v>37</v>
      </c>
      <c r="C1265" t="s">
        <v>513</v>
      </c>
      <c r="D1265" t="s">
        <v>35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863.23249999999996</v>
      </c>
      <c r="R1265">
        <v>863.23249999999996</v>
      </c>
    </row>
    <row r="1266" spans="1:18" hidden="1" x14ac:dyDescent="0.25">
      <c r="A1266" t="s">
        <v>1393</v>
      </c>
      <c r="B1266" t="s">
        <v>37</v>
      </c>
      <c r="C1266" t="s">
        <v>522</v>
      </c>
      <c r="D1266" t="s">
        <v>21</v>
      </c>
      <c r="E1266">
        <v>123.71339999999999</v>
      </c>
      <c r="F1266">
        <v>0</v>
      </c>
      <c r="G1266">
        <v>182.01329999999999</v>
      </c>
      <c r="H1266">
        <v>0</v>
      </c>
      <c r="I1266">
        <v>0</v>
      </c>
      <c r="J1266">
        <v>0</v>
      </c>
      <c r="K1266">
        <v>132.41550000000001</v>
      </c>
      <c r="L1266">
        <v>0</v>
      </c>
      <c r="M1266">
        <v>0</v>
      </c>
      <c r="N1266">
        <v>124.81699999999999</v>
      </c>
      <c r="O1266">
        <v>131.76900000000001</v>
      </c>
      <c r="P1266">
        <v>0</v>
      </c>
      <c r="Q1266">
        <v>0</v>
      </c>
      <c r="R1266">
        <v>0</v>
      </c>
    </row>
    <row r="1267" spans="1:18" hidden="1" x14ac:dyDescent="0.25">
      <c r="A1267" t="s">
        <v>1394</v>
      </c>
      <c r="B1267" t="s">
        <v>37</v>
      </c>
      <c r="C1267" t="s">
        <v>522</v>
      </c>
      <c r="D1267" t="s">
        <v>23</v>
      </c>
      <c r="E1267">
        <v>204.41659999999999</v>
      </c>
      <c r="F1267">
        <v>0</v>
      </c>
      <c r="G1267">
        <v>227.51669999999999</v>
      </c>
      <c r="H1267">
        <v>0</v>
      </c>
      <c r="I1267">
        <v>0</v>
      </c>
      <c r="J1267">
        <v>0</v>
      </c>
      <c r="K1267">
        <v>238.46549999999999</v>
      </c>
      <c r="L1267">
        <v>0</v>
      </c>
      <c r="M1267">
        <v>0</v>
      </c>
      <c r="N1267">
        <v>246.4</v>
      </c>
      <c r="O1267">
        <v>223.608</v>
      </c>
      <c r="P1267">
        <v>213.66290000000001</v>
      </c>
      <c r="Q1267">
        <v>0</v>
      </c>
      <c r="R1267">
        <v>213.66290000000001</v>
      </c>
    </row>
    <row r="1268" spans="1:18" hidden="1" x14ac:dyDescent="0.25">
      <c r="A1268" t="s">
        <v>1395</v>
      </c>
      <c r="B1268" t="s">
        <v>37</v>
      </c>
      <c r="C1268" t="s">
        <v>522</v>
      </c>
      <c r="D1268" t="s">
        <v>25</v>
      </c>
      <c r="E1268">
        <v>233.42</v>
      </c>
      <c r="F1268">
        <v>0</v>
      </c>
      <c r="G1268">
        <v>252.12</v>
      </c>
      <c r="H1268">
        <v>0</v>
      </c>
      <c r="I1268">
        <v>0</v>
      </c>
      <c r="J1268">
        <v>0</v>
      </c>
      <c r="K1268">
        <v>254.65860000000001</v>
      </c>
      <c r="L1268">
        <v>0</v>
      </c>
      <c r="M1268">
        <v>0</v>
      </c>
      <c r="N1268">
        <v>283.36</v>
      </c>
      <c r="O1268">
        <v>266.2</v>
      </c>
      <c r="P1268">
        <v>241.76990000000001</v>
      </c>
      <c r="Q1268">
        <v>0</v>
      </c>
      <c r="R1268">
        <v>241.76990000000001</v>
      </c>
    </row>
    <row r="1269" spans="1:18" hidden="1" x14ac:dyDescent="0.25">
      <c r="A1269" t="s">
        <v>1396</v>
      </c>
      <c r="B1269" t="s">
        <v>37</v>
      </c>
      <c r="C1269" t="s">
        <v>522</v>
      </c>
      <c r="D1269" t="s">
        <v>27</v>
      </c>
      <c r="E1269">
        <v>277.42</v>
      </c>
      <c r="F1269">
        <v>0</v>
      </c>
      <c r="G1269">
        <v>366.52</v>
      </c>
      <c r="H1269">
        <v>0</v>
      </c>
      <c r="I1269">
        <v>335.72</v>
      </c>
      <c r="J1269">
        <v>0</v>
      </c>
      <c r="K1269">
        <v>0</v>
      </c>
      <c r="L1269">
        <v>0</v>
      </c>
      <c r="M1269">
        <v>308.48399999999998</v>
      </c>
      <c r="N1269">
        <v>320.32</v>
      </c>
      <c r="O1269">
        <v>286.16500000000002</v>
      </c>
      <c r="P1269">
        <v>285.33100000000002</v>
      </c>
      <c r="Q1269">
        <v>0</v>
      </c>
      <c r="R1269">
        <v>285.33100000000002</v>
      </c>
    </row>
    <row r="1270" spans="1:18" hidden="1" x14ac:dyDescent="0.25">
      <c r="A1270" t="s">
        <v>1397</v>
      </c>
      <c r="B1270" t="s">
        <v>37</v>
      </c>
      <c r="C1270" t="s">
        <v>522</v>
      </c>
      <c r="D1270" t="s">
        <v>29</v>
      </c>
      <c r="E1270">
        <v>139.11340000000001</v>
      </c>
      <c r="F1270">
        <v>152.625</v>
      </c>
      <c r="G1270">
        <v>187.51329999999999</v>
      </c>
      <c r="H1270">
        <v>0</v>
      </c>
      <c r="I1270">
        <v>0</v>
      </c>
      <c r="J1270">
        <v>0</v>
      </c>
      <c r="K1270">
        <v>144.3015</v>
      </c>
      <c r="L1270">
        <v>0</v>
      </c>
      <c r="M1270">
        <v>0</v>
      </c>
      <c r="N1270">
        <v>141.68</v>
      </c>
      <c r="O1270">
        <v>166.375</v>
      </c>
      <c r="P1270">
        <v>141.96530000000001</v>
      </c>
      <c r="Q1270">
        <v>152.625</v>
      </c>
      <c r="R1270">
        <v>141.96530000000001</v>
      </c>
    </row>
    <row r="1271" spans="1:18" hidden="1" x14ac:dyDescent="0.25">
      <c r="A1271" t="s">
        <v>1398</v>
      </c>
      <c r="B1271" t="s">
        <v>37</v>
      </c>
      <c r="C1271" t="s">
        <v>522</v>
      </c>
      <c r="D1271" t="s">
        <v>31</v>
      </c>
      <c r="E1271">
        <v>175.81659999999999</v>
      </c>
      <c r="F1271">
        <v>201.465</v>
      </c>
      <c r="G1271">
        <v>204.41669999999999</v>
      </c>
      <c r="H1271">
        <v>0</v>
      </c>
      <c r="I1271">
        <v>182.6</v>
      </c>
      <c r="J1271">
        <v>0</v>
      </c>
      <c r="K1271">
        <v>182.1225</v>
      </c>
      <c r="L1271">
        <v>0</v>
      </c>
      <c r="M1271">
        <v>0</v>
      </c>
      <c r="N1271">
        <v>184.8</v>
      </c>
      <c r="O1271">
        <v>179.685</v>
      </c>
      <c r="P1271">
        <v>178.05549999999999</v>
      </c>
      <c r="Q1271">
        <v>201.465</v>
      </c>
      <c r="R1271">
        <v>178.05549999999999</v>
      </c>
    </row>
    <row r="1272" spans="1:18" hidden="1" x14ac:dyDescent="0.25">
      <c r="A1272" t="s">
        <v>1399</v>
      </c>
      <c r="B1272" t="s">
        <v>37</v>
      </c>
      <c r="C1272" t="s">
        <v>522</v>
      </c>
      <c r="D1272" t="s">
        <v>33</v>
      </c>
      <c r="E1272">
        <v>187.91659999999999</v>
      </c>
      <c r="F1272">
        <v>207.57</v>
      </c>
      <c r="G1272">
        <v>209.91669999999999</v>
      </c>
      <c r="H1272">
        <v>0</v>
      </c>
      <c r="I1272">
        <v>182.6</v>
      </c>
      <c r="J1272">
        <v>0</v>
      </c>
      <c r="K1272">
        <v>193.98750000000001</v>
      </c>
      <c r="L1272">
        <v>0</v>
      </c>
      <c r="M1272">
        <v>0</v>
      </c>
      <c r="N1272">
        <v>197.12</v>
      </c>
      <c r="O1272">
        <v>196.988</v>
      </c>
      <c r="P1272">
        <v>183.9367</v>
      </c>
      <c r="Q1272">
        <v>207.57</v>
      </c>
      <c r="R1272">
        <v>183.9367</v>
      </c>
    </row>
    <row r="1273" spans="1:18" hidden="1" x14ac:dyDescent="0.25">
      <c r="A1273" t="s">
        <v>1400</v>
      </c>
      <c r="B1273" t="s">
        <v>37</v>
      </c>
      <c r="C1273" t="s">
        <v>522</v>
      </c>
      <c r="D1273" t="s">
        <v>35</v>
      </c>
      <c r="E1273">
        <v>321.47500000000002</v>
      </c>
      <c r="F1273">
        <v>0</v>
      </c>
      <c r="G1273">
        <v>387.04289999999997</v>
      </c>
      <c r="H1273">
        <v>0</v>
      </c>
      <c r="I1273">
        <v>342.65</v>
      </c>
      <c r="J1273">
        <v>0</v>
      </c>
      <c r="K1273">
        <v>0</v>
      </c>
      <c r="L1273">
        <v>0</v>
      </c>
      <c r="M1273">
        <v>342.96899999999999</v>
      </c>
      <c r="N1273">
        <v>344.96</v>
      </c>
      <c r="O1273">
        <v>342.06700000000001</v>
      </c>
      <c r="P1273">
        <v>327.54480000000001</v>
      </c>
      <c r="Q1273">
        <v>0</v>
      </c>
      <c r="R1273" s="178">
        <v>327.54480000000001</v>
      </c>
    </row>
    <row r="1274" spans="1:18" hidden="1" x14ac:dyDescent="0.25">
      <c r="A1274" t="s">
        <v>1401</v>
      </c>
      <c r="B1274" t="s">
        <v>37</v>
      </c>
      <c r="C1274" t="s">
        <v>531</v>
      </c>
      <c r="D1274" t="s">
        <v>21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R1274">
        <v>0</v>
      </c>
    </row>
    <row r="1275" spans="1:18" hidden="1" x14ac:dyDescent="0.25">
      <c r="A1275" t="s">
        <v>1402</v>
      </c>
      <c r="B1275" t="s">
        <v>37</v>
      </c>
      <c r="C1275" t="s">
        <v>531</v>
      </c>
      <c r="D1275" t="s">
        <v>23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207.35429999999999</v>
      </c>
      <c r="R1275">
        <v>207.35429999999999</v>
      </c>
    </row>
    <row r="1276" spans="1:18" hidden="1" x14ac:dyDescent="0.25">
      <c r="A1276" t="s">
        <v>1403</v>
      </c>
      <c r="B1276" t="s">
        <v>37</v>
      </c>
      <c r="C1276" t="s">
        <v>531</v>
      </c>
      <c r="D1276" t="s">
        <v>25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215.77969999999999</v>
      </c>
      <c r="R1276">
        <v>215.77969999999999</v>
      </c>
    </row>
    <row r="1277" spans="1:18" hidden="1" x14ac:dyDescent="0.25">
      <c r="A1277" t="s">
        <v>1404</v>
      </c>
      <c r="B1277" t="s">
        <v>37</v>
      </c>
      <c r="C1277" t="s">
        <v>531</v>
      </c>
      <c r="D1277" t="s">
        <v>27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312.67239999999998</v>
      </c>
      <c r="R1277">
        <v>312.67239999999998</v>
      </c>
    </row>
    <row r="1278" spans="1:18" hidden="1" x14ac:dyDescent="0.25">
      <c r="A1278" t="s">
        <v>1405</v>
      </c>
      <c r="B1278" t="s">
        <v>37</v>
      </c>
      <c r="C1278" t="s">
        <v>531</v>
      </c>
      <c r="D1278" t="s">
        <v>29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129.9195</v>
      </c>
      <c r="R1278">
        <v>129.9195</v>
      </c>
    </row>
    <row r="1279" spans="1:18" hidden="1" x14ac:dyDescent="0.25">
      <c r="A1279" t="s">
        <v>1406</v>
      </c>
      <c r="B1279" t="s">
        <v>37</v>
      </c>
      <c r="C1279" t="s">
        <v>531</v>
      </c>
      <c r="D1279" t="s">
        <v>31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151.28450000000001</v>
      </c>
      <c r="R1279">
        <v>151.28460000000001</v>
      </c>
    </row>
    <row r="1280" spans="1:18" hidden="1" x14ac:dyDescent="0.25">
      <c r="A1280" t="s">
        <v>1407</v>
      </c>
      <c r="B1280" t="s">
        <v>37</v>
      </c>
      <c r="C1280" t="s">
        <v>531</v>
      </c>
      <c r="D1280" t="s">
        <v>33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171.91829999999999</v>
      </c>
      <c r="R1280">
        <v>171.91829999999999</v>
      </c>
    </row>
    <row r="1281" spans="1:18" hidden="1" x14ac:dyDescent="0.25">
      <c r="A1281" t="s">
        <v>1408</v>
      </c>
      <c r="B1281" t="s">
        <v>37</v>
      </c>
      <c r="C1281" t="s">
        <v>531</v>
      </c>
      <c r="D1281" t="s">
        <v>35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324.1841</v>
      </c>
      <c r="R1281">
        <v>324.1841</v>
      </c>
    </row>
    <row r="1282" spans="1:18" hidden="1" x14ac:dyDescent="0.25">
      <c r="A1282" t="s">
        <v>1409</v>
      </c>
      <c r="B1282" t="s">
        <v>37</v>
      </c>
      <c r="C1282" t="s">
        <v>540</v>
      </c>
      <c r="D1282" t="s">
        <v>21</v>
      </c>
      <c r="E1282">
        <v>166.98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166.9342</v>
      </c>
      <c r="L1282">
        <v>0</v>
      </c>
      <c r="M1282">
        <v>0</v>
      </c>
      <c r="N1282">
        <v>170.94</v>
      </c>
      <c r="O1282">
        <v>181.01599999999999</v>
      </c>
      <c r="P1282">
        <v>0</v>
      </c>
      <c r="R1282">
        <v>0</v>
      </c>
    </row>
    <row r="1283" spans="1:18" hidden="1" x14ac:dyDescent="0.25">
      <c r="A1283" t="s">
        <v>1410</v>
      </c>
      <c r="B1283" t="s">
        <v>37</v>
      </c>
      <c r="C1283" t="s">
        <v>540</v>
      </c>
      <c r="D1283" t="s">
        <v>23</v>
      </c>
      <c r="E1283">
        <v>293.43599999999998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337.3177</v>
      </c>
      <c r="L1283">
        <v>0</v>
      </c>
      <c r="M1283">
        <v>0</v>
      </c>
      <c r="N1283">
        <v>335.77499999999998</v>
      </c>
      <c r="O1283">
        <v>294.15100000000001</v>
      </c>
      <c r="P1283">
        <v>291.02679999999998</v>
      </c>
      <c r="R1283">
        <v>291.02679999999998</v>
      </c>
    </row>
    <row r="1284" spans="1:18" hidden="1" x14ac:dyDescent="0.25">
      <c r="A1284" t="s">
        <v>1411</v>
      </c>
      <c r="B1284" t="s">
        <v>37</v>
      </c>
      <c r="C1284" t="s">
        <v>540</v>
      </c>
      <c r="D1284" t="s">
        <v>25</v>
      </c>
      <c r="E1284">
        <v>316.00799999999998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373.28129999999999</v>
      </c>
      <c r="L1284">
        <v>0</v>
      </c>
      <c r="M1284">
        <v>0</v>
      </c>
      <c r="N1284">
        <v>354.09</v>
      </c>
      <c r="O1284">
        <v>400.63099999999997</v>
      </c>
      <c r="P1284">
        <v>290.08980000000003</v>
      </c>
      <c r="R1284">
        <v>290.08980000000003</v>
      </c>
    </row>
    <row r="1285" spans="1:18" hidden="1" x14ac:dyDescent="0.25">
      <c r="A1285" t="s">
        <v>1412</v>
      </c>
      <c r="B1285" t="s">
        <v>37</v>
      </c>
      <c r="C1285" t="s">
        <v>540</v>
      </c>
      <c r="D1285" t="s">
        <v>27</v>
      </c>
      <c r="E1285">
        <v>408.80399999999997</v>
      </c>
      <c r="F1285">
        <v>0</v>
      </c>
      <c r="G1285">
        <v>0</v>
      </c>
      <c r="H1285">
        <v>0</v>
      </c>
      <c r="I1285">
        <v>439.56</v>
      </c>
      <c r="J1285">
        <v>0</v>
      </c>
      <c r="K1285">
        <v>0</v>
      </c>
      <c r="L1285">
        <v>0</v>
      </c>
      <c r="M1285">
        <v>420.7484</v>
      </c>
      <c r="N1285">
        <v>427.35</v>
      </c>
      <c r="O1285">
        <v>433.90600000000001</v>
      </c>
      <c r="P1285">
        <v>410.38400000000001</v>
      </c>
      <c r="R1285">
        <v>410.38400000000001</v>
      </c>
    </row>
    <row r="1286" spans="1:18" hidden="1" x14ac:dyDescent="0.25">
      <c r="A1286" t="s">
        <v>1413</v>
      </c>
      <c r="B1286" t="s">
        <v>37</v>
      </c>
      <c r="C1286" t="s">
        <v>540</v>
      </c>
      <c r="D1286" t="s">
        <v>29</v>
      </c>
      <c r="E1286">
        <v>175.56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185.43260000000001</v>
      </c>
      <c r="L1286">
        <v>0</v>
      </c>
      <c r="M1286">
        <v>0</v>
      </c>
      <c r="N1286">
        <v>189.255</v>
      </c>
      <c r="O1286">
        <v>231.59399999999999</v>
      </c>
      <c r="P1286">
        <v>177.14</v>
      </c>
      <c r="R1286">
        <v>177.14</v>
      </c>
    </row>
    <row r="1287" spans="1:18" hidden="1" x14ac:dyDescent="0.25">
      <c r="A1287" t="s">
        <v>1414</v>
      </c>
      <c r="B1287" t="s">
        <v>37</v>
      </c>
      <c r="C1287" t="s">
        <v>540</v>
      </c>
      <c r="D1287" t="s">
        <v>31</v>
      </c>
      <c r="E1287">
        <v>248.292</v>
      </c>
      <c r="F1287">
        <v>0</v>
      </c>
      <c r="G1287">
        <v>0</v>
      </c>
      <c r="H1287">
        <v>0</v>
      </c>
      <c r="J1287">
        <v>0</v>
      </c>
      <c r="K1287">
        <v>261.78859999999997</v>
      </c>
      <c r="L1287">
        <v>0</v>
      </c>
      <c r="M1287">
        <v>0</v>
      </c>
      <c r="N1287">
        <v>262.51499999999999</v>
      </c>
      <c r="O1287">
        <v>244.904</v>
      </c>
      <c r="P1287">
        <v>243.85659999999999</v>
      </c>
      <c r="R1287">
        <v>243.85659999999999</v>
      </c>
    </row>
    <row r="1288" spans="1:18" hidden="1" x14ac:dyDescent="0.25">
      <c r="A1288" t="s">
        <v>1415</v>
      </c>
      <c r="B1288" t="s">
        <v>37</v>
      </c>
      <c r="C1288" t="s">
        <v>540</v>
      </c>
      <c r="D1288" t="s">
        <v>33</v>
      </c>
      <c r="E1288">
        <v>263.33999999999997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276.36529999999999</v>
      </c>
      <c r="L1288">
        <v>0</v>
      </c>
      <c r="M1288">
        <v>0</v>
      </c>
      <c r="N1288">
        <v>280.83</v>
      </c>
      <c r="O1288">
        <v>272.85500000000002</v>
      </c>
      <c r="P1288">
        <v>263.99979999999999</v>
      </c>
      <c r="R1288">
        <v>263.99970000000002</v>
      </c>
    </row>
    <row r="1289" spans="1:18" hidden="1" x14ac:dyDescent="0.25">
      <c r="A1289" t="s">
        <v>1416</v>
      </c>
      <c r="B1289" t="s">
        <v>37</v>
      </c>
      <c r="C1289" t="s">
        <v>540</v>
      </c>
      <c r="D1289" t="s">
        <v>35</v>
      </c>
      <c r="E1289">
        <v>457.875</v>
      </c>
      <c r="F1289">
        <v>0</v>
      </c>
      <c r="G1289">
        <v>0</v>
      </c>
      <c r="H1289">
        <v>0</v>
      </c>
      <c r="I1289">
        <v>439.56</v>
      </c>
      <c r="J1289">
        <v>0</v>
      </c>
      <c r="K1289">
        <v>0</v>
      </c>
      <c r="L1289">
        <v>0</v>
      </c>
      <c r="M1289">
        <v>442.06639999999999</v>
      </c>
      <c r="N1289">
        <v>439.56</v>
      </c>
      <c r="O1289">
        <v>499.125</v>
      </c>
      <c r="P1289">
        <v>431.64100000000002</v>
      </c>
      <c r="R1289">
        <v>431.64100000000002</v>
      </c>
    </row>
    <row r="1290" spans="1:18" hidden="1" x14ac:dyDescent="0.25">
      <c r="A1290" t="s">
        <v>1417</v>
      </c>
      <c r="B1290" t="s">
        <v>37</v>
      </c>
      <c r="C1290" t="s">
        <v>549</v>
      </c>
      <c r="D1290" t="s">
        <v>21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R1290">
        <v>0</v>
      </c>
    </row>
    <row r="1291" spans="1:18" hidden="1" x14ac:dyDescent="0.25">
      <c r="A1291" t="s">
        <v>1418</v>
      </c>
      <c r="B1291" t="s">
        <v>37</v>
      </c>
      <c r="C1291" t="s">
        <v>549</v>
      </c>
      <c r="D1291" t="s">
        <v>23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179.08799999999999</v>
      </c>
      <c r="L1291">
        <v>0</v>
      </c>
      <c r="M1291">
        <v>0</v>
      </c>
      <c r="N1291">
        <v>0</v>
      </c>
      <c r="O1291">
        <v>0</v>
      </c>
      <c r="P1291">
        <v>216.1942</v>
      </c>
      <c r="R1291">
        <v>216.1942</v>
      </c>
    </row>
    <row r="1292" spans="1:18" hidden="1" x14ac:dyDescent="0.25">
      <c r="A1292" t="s">
        <v>1419</v>
      </c>
      <c r="B1292" t="s">
        <v>37</v>
      </c>
      <c r="C1292" t="s">
        <v>549</v>
      </c>
      <c r="D1292" t="s">
        <v>25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243.90170000000001</v>
      </c>
      <c r="R1292">
        <v>243.90170000000001</v>
      </c>
    </row>
    <row r="1293" spans="1:18" hidden="1" x14ac:dyDescent="0.25">
      <c r="A1293" t="s">
        <v>1420</v>
      </c>
      <c r="B1293" t="s">
        <v>37</v>
      </c>
      <c r="C1293" t="s">
        <v>549</v>
      </c>
      <c r="D1293" t="s">
        <v>27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346.73250000000002</v>
      </c>
      <c r="R1293">
        <v>346.73259999999999</v>
      </c>
    </row>
    <row r="1294" spans="1:18" hidden="1" x14ac:dyDescent="0.25">
      <c r="A1294" t="s">
        <v>1421</v>
      </c>
      <c r="B1294" t="s">
        <v>37</v>
      </c>
      <c r="C1294" t="s">
        <v>549</v>
      </c>
      <c r="D1294" t="s">
        <v>29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157.4272</v>
      </c>
      <c r="R1294">
        <v>157.4272</v>
      </c>
    </row>
    <row r="1295" spans="1:18" hidden="1" x14ac:dyDescent="0.25">
      <c r="A1295" t="s">
        <v>1422</v>
      </c>
      <c r="B1295" t="s">
        <v>37</v>
      </c>
      <c r="C1295" t="s">
        <v>549</v>
      </c>
      <c r="D1295" t="s">
        <v>31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180.9289</v>
      </c>
      <c r="R1295">
        <v>180.9288</v>
      </c>
    </row>
    <row r="1296" spans="1:18" hidden="1" x14ac:dyDescent="0.25">
      <c r="A1296" t="s">
        <v>1423</v>
      </c>
      <c r="B1296" t="s">
        <v>37</v>
      </c>
      <c r="C1296" t="s">
        <v>549</v>
      </c>
      <c r="D1296" t="s">
        <v>33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195.8476</v>
      </c>
      <c r="R1296">
        <v>195.8476</v>
      </c>
    </row>
    <row r="1297" spans="1:18" hidden="1" x14ac:dyDescent="0.25">
      <c r="A1297" t="s">
        <v>1424</v>
      </c>
      <c r="B1297" t="s">
        <v>37</v>
      </c>
      <c r="C1297" t="s">
        <v>549</v>
      </c>
      <c r="D1297" t="s">
        <v>35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372.28750000000002</v>
      </c>
      <c r="R1297">
        <v>372.28750000000002</v>
      </c>
    </row>
    <row r="1298" spans="1:18" hidden="1" x14ac:dyDescent="0.25">
      <c r="A1298" t="s">
        <v>1425</v>
      </c>
      <c r="B1298" t="s">
        <v>37</v>
      </c>
      <c r="C1298" t="s">
        <v>558</v>
      </c>
      <c r="D1298" t="s">
        <v>21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</row>
    <row r="1299" spans="1:18" hidden="1" x14ac:dyDescent="0.25">
      <c r="A1299" t="s">
        <v>1426</v>
      </c>
      <c r="B1299" t="s">
        <v>37</v>
      </c>
      <c r="C1299" t="s">
        <v>558</v>
      </c>
      <c r="D1299" t="s">
        <v>23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300.52010000000001</v>
      </c>
      <c r="Q1299">
        <v>0</v>
      </c>
      <c r="R1299">
        <v>300.52010000000001</v>
      </c>
    </row>
    <row r="1300" spans="1:18" hidden="1" x14ac:dyDescent="0.25">
      <c r="A1300" t="s">
        <v>1427</v>
      </c>
      <c r="B1300" t="s">
        <v>37</v>
      </c>
      <c r="C1300" t="s">
        <v>558</v>
      </c>
      <c r="D1300" t="s">
        <v>25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340.21019999999999</v>
      </c>
      <c r="Q1300">
        <v>0</v>
      </c>
      <c r="R1300">
        <v>340.21019999999999</v>
      </c>
    </row>
    <row r="1301" spans="1:18" hidden="1" x14ac:dyDescent="0.25">
      <c r="A1301" t="s">
        <v>1428</v>
      </c>
      <c r="B1301" t="s">
        <v>37</v>
      </c>
      <c r="C1301" t="s">
        <v>558</v>
      </c>
      <c r="D1301" t="s">
        <v>27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416.10939999999999</v>
      </c>
      <c r="Q1301">
        <v>0</v>
      </c>
      <c r="R1301">
        <v>416.10950000000003</v>
      </c>
    </row>
    <row r="1302" spans="1:18" hidden="1" x14ac:dyDescent="0.25">
      <c r="A1302" t="s">
        <v>1429</v>
      </c>
      <c r="B1302" t="s">
        <v>37</v>
      </c>
      <c r="C1302" t="s">
        <v>558</v>
      </c>
      <c r="D1302" t="s">
        <v>29</v>
      </c>
      <c r="E1302">
        <v>0</v>
      </c>
      <c r="F1302">
        <v>221.76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207.49940000000001</v>
      </c>
      <c r="Q1302">
        <v>221.76</v>
      </c>
      <c r="R1302">
        <v>207.49940000000001</v>
      </c>
    </row>
    <row r="1303" spans="1:18" hidden="1" x14ac:dyDescent="0.25">
      <c r="A1303" t="s">
        <v>1430</v>
      </c>
      <c r="B1303" t="s">
        <v>37</v>
      </c>
      <c r="C1303" t="s">
        <v>558</v>
      </c>
      <c r="D1303" t="s">
        <v>31</v>
      </c>
      <c r="E1303">
        <v>0</v>
      </c>
      <c r="F1303">
        <v>252.56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252.14599999999999</v>
      </c>
      <c r="Q1303">
        <v>252.56</v>
      </c>
      <c r="R1303">
        <v>252.14599999999999</v>
      </c>
    </row>
    <row r="1304" spans="1:18" hidden="1" x14ac:dyDescent="0.25">
      <c r="A1304" t="s">
        <v>1431</v>
      </c>
      <c r="B1304" t="s">
        <v>37</v>
      </c>
      <c r="C1304" t="s">
        <v>558</v>
      </c>
      <c r="D1304" t="s">
        <v>33</v>
      </c>
      <c r="E1304">
        <v>0</v>
      </c>
      <c r="F1304">
        <v>264.88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270.21190000000001</v>
      </c>
      <c r="Q1304">
        <v>264.88</v>
      </c>
      <c r="R1304">
        <v>270.21190000000001</v>
      </c>
    </row>
    <row r="1305" spans="1:18" hidden="1" x14ac:dyDescent="0.25">
      <c r="A1305" t="s">
        <v>1432</v>
      </c>
      <c r="B1305" t="s">
        <v>37</v>
      </c>
      <c r="C1305" t="s">
        <v>558</v>
      </c>
      <c r="D1305" t="s">
        <v>35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456.98270000000002</v>
      </c>
      <c r="Q1305">
        <v>0</v>
      </c>
      <c r="R1305">
        <v>456.98270000000002</v>
      </c>
    </row>
    <row r="1306" spans="1:18" hidden="1" x14ac:dyDescent="0.25">
      <c r="A1306" t="s">
        <v>1433</v>
      </c>
      <c r="B1306" t="s">
        <v>37</v>
      </c>
      <c r="C1306" t="s">
        <v>567</v>
      </c>
      <c r="D1306" t="s">
        <v>21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</row>
    <row r="1307" spans="1:18" hidden="1" x14ac:dyDescent="0.25">
      <c r="A1307" t="s">
        <v>1434</v>
      </c>
      <c r="B1307" t="s">
        <v>37</v>
      </c>
      <c r="C1307" t="s">
        <v>567</v>
      </c>
      <c r="D1307" t="s">
        <v>23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157.67070000000001</v>
      </c>
      <c r="Q1307">
        <v>0</v>
      </c>
      <c r="R1307">
        <v>157.67070000000001</v>
      </c>
    </row>
    <row r="1308" spans="1:18" hidden="1" x14ac:dyDescent="0.25">
      <c r="A1308" t="s">
        <v>1435</v>
      </c>
      <c r="B1308" t="s">
        <v>37</v>
      </c>
      <c r="C1308" t="s">
        <v>567</v>
      </c>
      <c r="D1308" t="s">
        <v>25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168.90889999999999</v>
      </c>
      <c r="Q1308">
        <v>0</v>
      </c>
      <c r="R1308">
        <v>168.90880000000001</v>
      </c>
    </row>
    <row r="1309" spans="1:18" hidden="1" x14ac:dyDescent="0.25">
      <c r="A1309" t="s">
        <v>1436</v>
      </c>
      <c r="B1309" t="s">
        <v>37</v>
      </c>
      <c r="C1309" t="s">
        <v>567</v>
      </c>
      <c r="D1309" t="s">
        <v>27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256.75639999999999</v>
      </c>
      <c r="Q1309">
        <v>0</v>
      </c>
      <c r="R1309">
        <v>256.75639999999999</v>
      </c>
    </row>
    <row r="1310" spans="1:18" hidden="1" x14ac:dyDescent="0.25">
      <c r="A1310" t="s">
        <v>1437</v>
      </c>
      <c r="B1310" t="s">
        <v>37</v>
      </c>
      <c r="C1310" t="s">
        <v>567</v>
      </c>
      <c r="D1310" t="s">
        <v>29</v>
      </c>
      <c r="E1310">
        <v>0</v>
      </c>
      <c r="F1310">
        <v>127.05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116.7073</v>
      </c>
      <c r="Q1310">
        <v>127.05</v>
      </c>
      <c r="R1310">
        <v>116.7072</v>
      </c>
    </row>
    <row r="1311" spans="1:18" hidden="1" x14ac:dyDescent="0.25">
      <c r="A1311" t="s">
        <v>1438</v>
      </c>
      <c r="B1311" t="s">
        <v>37</v>
      </c>
      <c r="C1311" t="s">
        <v>567</v>
      </c>
      <c r="D1311" t="s">
        <v>31</v>
      </c>
      <c r="E1311">
        <v>0</v>
      </c>
      <c r="F1311">
        <v>151.25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102.9952</v>
      </c>
      <c r="Q1311">
        <v>151.25</v>
      </c>
      <c r="R1311">
        <v>102.9952</v>
      </c>
    </row>
    <row r="1312" spans="1:18" hidden="1" x14ac:dyDescent="0.25">
      <c r="A1312" t="s">
        <v>1439</v>
      </c>
      <c r="B1312" t="s">
        <v>37</v>
      </c>
      <c r="C1312" t="s">
        <v>567</v>
      </c>
      <c r="D1312" t="s">
        <v>33</v>
      </c>
      <c r="E1312">
        <v>0</v>
      </c>
      <c r="F1312">
        <v>163.35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115.1172</v>
      </c>
      <c r="Q1312">
        <v>163.35</v>
      </c>
      <c r="R1312">
        <v>115.1172</v>
      </c>
    </row>
    <row r="1313" spans="1:18" hidden="1" x14ac:dyDescent="0.25">
      <c r="A1313" t="s">
        <v>1440</v>
      </c>
      <c r="B1313" t="s">
        <v>37</v>
      </c>
      <c r="C1313" t="s">
        <v>567</v>
      </c>
      <c r="D1313" t="s">
        <v>35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277.60789999999997</v>
      </c>
      <c r="Q1313">
        <v>0</v>
      </c>
      <c r="R1313">
        <v>277.60789999999997</v>
      </c>
    </row>
    <row r="1314" spans="1:18" hidden="1" x14ac:dyDescent="0.25">
      <c r="A1314" t="s">
        <v>1441</v>
      </c>
      <c r="B1314" t="s">
        <v>37</v>
      </c>
      <c r="C1314" t="s">
        <v>576</v>
      </c>
      <c r="D1314" t="s">
        <v>21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R1314">
        <v>0</v>
      </c>
    </row>
    <row r="1315" spans="1:18" hidden="1" x14ac:dyDescent="0.25">
      <c r="A1315" t="s">
        <v>1442</v>
      </c>
      <c r="B1315" t="s">
        <v>37</v>
      </c>
      <c r="C1315" t="s">
        <v>576</v>
      </c>
      <c r="D1315" t="s">
        <v>23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R1315">
        <v>0</v>
      </c>
    </row>
    <row r="1316" spans="1:18" hidden="1" x14ac:dyDescent="0.25">
      <c r="A1316" t="s">
        <v>1443</v>
      </c>
      <c r="B1316" t="s">
        <v>37</v>
      </c>
      <c r="C1316" t="s">
        <v>576</v>
      </c>
      <c r="D1316" t="s">
        <v>25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R1316">
        <v>0</v>
      </c>
    </row>
    <row r="1317" spans="1:18" hidden="1" x14ac:dyDescent="0.25">
      <c r="A1317" t="s">
        <v>1444</v>
      </c>
      <c r="B1317" t="s">
        <v>37</v>
      </c>
      <c r="C1317" t="s">
        <v>576</v>
      </c>
      <c r="D1317" t="s">
        <v>27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438.9</v>
      </c>
      <c r="N1317">
        <v>0</v>
      </c>
      <c r="O1317">
        <v>0</v>
      </c>
      <c r="P1317">
        <v>0</v>
      </c>
      <c r="R1317">
        <v>0</v>
      </c>
    </row>
    <row r="1318" spans="1:18" hidden="1" x14ac:dyDescent="0.25">
      <c r="A1318" t="s">
        <v>1445</v>
      </c>
      <c r="B1318" t="s">
        <v>37</v>
      </c>
      <c r="C1318" t="s">
        <v>576</v>
      </c>
      <c r="D1318" t="s">
        <v>29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R1318">
        <v>0</v>
      </c>
    </row>
    <row r="1319" spans="1:18" hidden="1" x14ac:dyDescent="0.25">
      <c r="A1319" t="s">
        <v>1446</v>
      </c>
      <c r="B1319" t="s">
        <v>37</v>
      </c>
      <c r="C1319" t="s">
        <v>576</v>
      </c>
      <c r="D1319" t="s">
        <v>31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R1319">
        <v>0</v>
      </c>
    </row>
    <row r="1320" spans="1:18" hidden="1" x14ac:dyDescent="0.25">
      <c r="A1320" t="s">
        <v>1447</v>
      </c>
      <c r="B1320" t="s">
        <v>37</v>
      </c>
      <c r="C1320" t="s">
        <v>576</v>
      </c>
      <c r="D1320" t="s">
        <v>33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R1320">
        <v>0</v>
      </c>
    </row>
    <row r="1321" spans="1:18" hidden="1" x14ac:dyDescent="0.25">
      <c r="A1321" t="s">
        <v>1448</v>
      </c>
      <c r="B1321" t="s">
        <v>37</v>
      </c>
      <c r="C1321" t="s">
        <v>576</v>
      </c>
      <c r="D1321" t="s">
        <v>35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451.44</v>
      </c>
      <c r="N1321">
        <v>0</v>
      </c>
      <c r="O1321">
        <v>0</v>
      </c>
      <c r="P1321">
        <v>0</v>
      </c>
      <c r="R1321">
        <v>0</v>
      </c>
    </row>
    <row r="1322" spans="1:18" hidden="1" x14ac:dyDescent="0.25">
      <c r="A1322" t="s">
        <v>1449</v>
      </c>
      <c r="B1322" t="s">
        <v>37</v>
      </c>
      <c r="C1322" t="s">
        <v>585</v>
      </c>
      <c r="D1322" t="s">
        <v>21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R1322">
        <v>0</v>
      </c>
    </row>
    <row r="1323" spans="1:18" hidden="1" x14ac:dyDescent="0.25">
      <c r="A1323" t="s">
        <v>1450</v>
      </c>
      <c r="B1323" t="s">
        <v>37</v>
      </c>
      <c r="C1323" t="s">
        <v>585</v>
      </c>
      <c r="D1323" t="s">
        <v>23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307.23</v>
      </c>
      <c r="R1323">
        <v>601.08680000000004</v>
      </c>
    </row>
    <row r="1324" spans="1:18" hidden="1" x14ac:dyDescent="0.25">
      <c r="A1324" t="s">
        <v>1451</v>
      </c>
      <c r="B1324" t="s">
        <v>37</v>
      </c>
      <c r="C1324" t="s">
        <v>585</v>
      </c>
      <c r="D1324" t="s">
        <v>25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332.31</v>
      </c>
      <c r="R1324">
        <v>648.46579999999994</v>
      </c>
    </row>
    <row r="1325" spans="1:18" hidden="1" x14ac:dyDescent="0.25">
      <c r="A1325" t="s">
        <v>1452</v>
      </c>
      <c r="B1325" t="s">
        <v>37</v>
      </c>
      <c r="C1325" t="s">
        <v>585</v>
      </c>
      <c r="D1325" t="s">
        <v>27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438.9</v>
      </c>
      <c r="R1325">
        <v>858.61379999999997</v>
      </c>
    </row>
    <row r="1326" spans="1:18" hidden="1" x14ac:dyDescent="0.25">
      <c r="A1326" t="s">
        <v>1453</v>
      </c>
      <c r="B1326" t="s">
        <v>37</v>
      </c>
      <c r="C1326" t="s">
        <v>585</v>
      </c>
      <c r="D1326" t="s">
        <v>29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219.45</v>
      </c>
      <c r="R1326">
        <v>428.43869999999998</v>
      </c>
    </row>
    <row r="1327" spans="1:18" hidden="1" x14ac:dyDescent="0.25">
      <c r="A1327" t="s">
        <v>1454</v>
      </c>
      <c r="B1327" t="s">
        <v>37</v>
      </c>
      <c r="C1327" t="s">
        <v>585</v>
      </c>
      <c r="D1327" t="s">
        <v>31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269.61</v>
      </c>
      <c r="R1327">
        <v>499.39670000000001</v>
      </c>
    </row>
    <row r="1328" spans="1:18" hidden="1" x14ac:dyDescent="0.25">
      <c r="A1328" t="s">
        <v>1455</v>
      </c>
      <c r="B1328" t="s">
        <v>37</v>
      </c>
      <c r="C1328" t="s">
        <v>585</v>
      </c>
      <c r="D1328" t="s">
        <v>33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288.42</v>
      </c>
      <c r="R1328">
        <v>542.43439999999998</v>
      </c>
    </row>
    <row r="1329" spans="1:18" hidden="1" x14ac:dyDescent="0.25">
      <c r="A1329" t="s">
        <v>1456</v>
      </c>
      <c r="B1329" t="s">
        <v>37</v>
      </c>
      <c r="C1329" t="s">
        <v>585</v>
      </c>
      <c r="D1329" t="s">
        <v>35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451.44</v>
      </c>
      <c r="R1329">
        <v>883.69380000000001</v>
      </c>
    </row>
    <row r="1330" spans="1:18" hidden="1" x14ac:dyDescent="0.25">
      <c r="A1330" t="s">
        <v>1457</v>
      </c>
      <c r="B1330" t="s">
        <v>37</v>
      </c>
      <c r="C1330" t="s">
        <v>594</v>
      </c>
      <c r="D1330" t="s">
        <v>21</v>
      </c>
      <c r="E1330">
        <v>407.55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426.51499999999999</v>
      </c>
      <c r="L1330">
        <v>0</v>
      </c>
      <c r="M1330">
        <v>0</v>
      </c>
      <c r="N1330">
        <v>433.45499999999998</v>
      </c>
      <c r="O1330">
        <v>385.99</v>
      </c>
      <c r="P1330">
        <v>0</v>
      </c>
      <c r="R1330">
        <v>0</v>
      </c>
    </row>
    <row r="1331" spans="1:18" hidden="1" x14ac:dyDescent="0.25">
      <c r="A1331" t="s">
        <v>1458</v>
      </c>
      <c r="B1331" t="s">
        <v>37</v>
      </c>
      <c r="C1331" t="s">
        <v>594</v>
      </c>
      <c r="D1331" t="s">
        <v>23</v>
      </c>
      <c r="E1331">
        <v>558.03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656.25519999999995</v>
      </c>
      <c r="L1331">
        <v>0</v>
      </c>
      <c r="M1331">
        <v>0</v>
      </c>
      <c r="N1331">
        <v>665.44500000000005</v>
      </c>
      <c r="O1331">
        <v>578.98500000000001</v>
      </c>
      <c r="P1331">
        <v>560.85450000000003</v>
      </c>
      <c r="R1331">
        <v>560.85450000000003</v>
      </c>
    </row>
    <row r="1332" spans="1:18" hidden="1" x14ac:dyDescent="0.25">
      <c r="A1332" t="s">
        <v>1459</v>
      </c>
      <c r="B1332" t="s">
        <v>37</v>
      </c>
      <c r="C1332" t="s">
        <v>594</v>
      </c>
      <c r="D1332" t="s">
        <v>25</v>
      </c>
      <c r="E1332">
        <v>621.98400000000004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756.00630000000001</v>
      </c>
      <c r="L1332">
        <v>0</v>
      </c>
      <c r="M1332">
        <v>0</v>
      </c>
      <c r="N1332">
        <v>689.86500000000001</v>
      </c>
      <c r="O1332">
        <v>729.63</v>
      </c>
      <c r="P1332">
        <v>600.24710000000005</v>
      </c>
      <c r="R1332">
        <v>600.24710000000005</v>
      </c>
    </row>
    <row r="1333" spans="1:18" ht="13.5" hidden="1" customHeight="1" x14ac:dyDescent="0.25">
      <c r="A1333" t="s">
        <v>1460</v>
      </c>
      <c r="B1333" t="s">
        <v>37</v>
      </c>
      <c r="C1333" t="s">
        <v>594</v>
      </c>
      <c r="D1333" t="s">
        <v>27</v>
      </c>
      <c r="E1333">
        <v>677.16</v>
      </c>
      <c r="F1333">
        <v>0</v>
      </c>
      <c r="G1333">
        <v>0</v>
      </c>
      <c r="H1333">
        <v>0</v>
      </c>
      <c r="I1333">
        <v>818.07</v>
      </c>
      <c r="J1333">
        <v>0</v>
      </c>
      <c r="K1333">
        <v>0</v>
      </c>
      <c r="L1333">
        <v>0</v>
      </c>
      <c r="M1333">
        <v>0</v>
      </c>
      <c r="N1333">
        <v>811.96500000000003</v>
      </c>
      <c r="O1333">
        <v>665.5</v>
      </c>
      <c r="P1333">
        <v>662.63779999999997</v>
      </c>
      <c r="R1333">
        <v>662.63779999999997</v>
      </c>
    </row>
    <row r="1334" spans="1:18" hidden="1" x14ac:dyDescent="0.25">
      <c r="A1334" t="s">
        <v>1461</v>
      </c>
      <c r="B1334" t="s">
        <v>37</v>
      </c>
      <c r="C1334" t="s">
        <v>594</v>
      </c>
      <c r="D1334" t="s">
        <v>29</v>
      </c>
      <c r="E1334">
        <v>424.23340000000002</v>
      </c>
      <c r="F1334">
        <v>0</v>
      </c>
      <c r="G1334">
        <v>549.63329999999996</v>
      </c>
      <c r="H1334">
        <v>0</v>
      </c>
      <c r="I1334">
        <v>0</v>
      </c>
      <c r="J1334">
        <v>0</v>
      </c>
      <c r="K1334">
        <v>439.40140000000002</v>
      </c>
      <c r="L1334">
        <v>0</v>
      </c>
      <c r="M1334">
        <v>0</v>
      </c>
      <c r="N1334">
        <v>467.137</v>
      </c>
      <c r="O1334">
        <v>412.61</v>
      </c>
      <c r="P1334">
        <v>409.97770000000003</v>
      </c>
      <c r="R1334">
        <v>409.97770000000003</v>
      </c>
    </row>
    <row r="1335" spans="1:18" hidden="1" x14ac:dyDescent="0.25">
      <c r="A1335" t="s">
        <v>1462</v>
      </c>
      <c r="B1335" t="s">
        <v>37</v>
      </c>
      <c r="C1335" t="s">
        <v>594</v>
      </c>
      <c r="D1335" t="s">
        <v>31</v>
      </c>
      <c r="E1335">
        <v>463.46660000000003</v>
      </c>
      <c r="F1335">
        <v>0</v>
      </c>
      <c r="G1335">
        <v>607.56669999999997</v>
      </c>
      <c r="H1335">
        <v>0</v>
      </c>
      <c r="I1335">
        <v>591.25</v>
      </c>
      <c r="J1335">
        <v>0</v>
      </c>
      <c r="K1335">
        <v>577.44749999999999</v>
      </c>
      <c r="L1335">
        <v>0</v>
      </c>
      <c r="M1335">
        <v>0</v>
      </c>
      <c r="N1335">
        <v>597.66300000000001</v>
      </c>
      <c r="O1335">
        <v>459.19499999999999</v>
      </c>
      <c r="P1335">
        <v>445.25729999999999</v>
      </c>
      <c r="R1335">
        <v>445.25729999999999</v>
      </c>
    </row>
    <row r="1336" spans="1:18" hidden="1" x14ac:dyDescent="0.25">
      <c r="A1336" t="s">
        <v>1463</v>
      </c>
      <c r="B1336" t="s">
        <v>37</v>
      </c>
      <c r="C1336" t="s">
        <v>594</v>
      </c>
      <c r="D1336" t="s">
        <v>33</v>
      </c>
      <c r="E1336">
        <v>507.46660000000003</v>
      </c>
      <c r="F1336">
        <v>0</v>
      </c>
      <c r="G1336">
        <v>636.16669999999999</v>
      </c>
      <c r="H1336">
        <v>0</v>
      </c>
      <c r="I1336">
        <v>591.25</v>
      </c>
      <c r="J1336">
        <v>0</v>
      </c>
      <c r="K1336">
        <v>589.3125</v>
      </c>
      <c r="L1336">
        <v>0</v>
      </c>
      <c r="M1336">
        <v>0</v>
      </c>
      <c r="N1336">
        <v>608.66300000000001</v>
      </c>
      <c r="O1336">
        <v>519.09</v>
      </c>
      <c r="P1336">
        <v>497.34730000000002</v>
      </c>
      <c r="R1336">
        <v>497.34730000000002</v>
      </c>
    </row>
    <row r="1337" spans="1:18" hidden="1" x14ac:dyDescent="0.25">
      <c r="A1337" t="s">
        <v>1464</v>
      </c>
      <c r="B1337" t="s">
        <v>37</v>
      </c>
      <c r="C1337" t="s">
        <v>594</v>
      </c>
      <c r="D1337" t="s">
        <v>35</v>
      </c>
      <c r="E1337">
        <v>778.25</v>
      </c>
      <c r="F1337">
        <v>0</v>
      </c>
      <c r="G1337">
        <v>1095.7571</v>
      </c>
      <c r="H1337">
        <v>0</v>
      </c>
      <c r="I1337">
        <v>801.625</v>
      </c>
      <c r="J1337">
        <v>0</v>
      </c>
      <c r="K1337">
        <v>0</v>
      </c>
      <c r="L1337">
        <v>0</v>
      </c>
      <c r="M1337">
        <v>0</v>
      </c>
      <c r="N1337">
        <v>830.28</v>
      </c>
      <c r="O1337">
        <v>745.36</v>
      </c>
      <c r="P1337">
        <v>742.19949999999994</v>
      </c>
      <c r="R1337">
        <v>742.19949999999994</v>
      </c>
    </row>
    <row r="1338" spans="1:18" hidden="1" x14ac:dyDescent="0.25">
      <c r="A1338" t="s">
        <v>1465</v>
      </c>
      <c r="B1338" t="s">
        <v>37</v>
      </c>
      <c r="C1338" t="s">
        <v>603</v>
      </c>
      <c r="D1338" t="s">
        <v>21</v>
      </c>
      <c r="E1338">
        <v>173.38200000000001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165.375</v>
      </c>
      <c r="L1338">
        <v>0</v>
      </c>
      <c r="M1338">
        <v>0</v>
      </c>
      <c r="N1338">
        <v>164.83500000000001</v>
      </c>
      <c r="O1338">
        <v>190.333</v>
      </c>
      <c r="P1338">
        <v>0</v>
      </c>
      <c r="Q1338">
        <v>0</v>
      </c>
      <c r="R1338">
        <v>0</v>
      </c>
    </row>
    <row r="1339" spans="1:18" hidden="1" x14ac:dyDescent="0.25">
      <c r="A1339" t="s">
        <v>1466</v>
      </c>
      <c r="B1339" t="s">
        <v>37</v>
      </c>
      <c r="C1339" t="s">
        <v>603</v>
      </c>
      <c r="D1339" t="s">
        <v>23</v>
      </c>
      <c r="E1339">
        <v>289.37700000000001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295.64330000000001</v>
      </c>
      <c r="L1339">
        <v>0</v>
      </c>
      <c r="M1339">
        <v>0</v>
      </c>
      <c r="N1339">
        <v>299.14499999999998</v>
      </c>
      <c r="O1339">
        <v>363</v>
      </c>
      <c r="P1339">
        <v>293.0849</v>
      </c>
      <c r="Q1339">
        <v>0</v>
      </c>
      <c r="R1339">
        <v>293.0849</v>
      </c>
    </row>
    <row r="1340" spans="1:18" hidden="1" x14ac:dyDescent="0.25">
      <c r="A1340" t="s">
        <v>1467</v>
      </c>
      <c r="B1340" t="s">
        <v>37</v>
      </c>
      <c r="C1340" t="s">
        <v>603</v>
      </c>
      <c r="D1340" t="s">
        <v>25</v>
      </c>
      <c r="E1340">
        <v>289.37700000000001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323.27190000000002</v>
      </c>
      <c r="L1340">
        <v>0</v>
      </c>
      <c r="M1340">
        <v>0</v>
      </c>
      <c r="N1340">
        <v>317.45999999999998</v>
      </c>
      <c r="O1340">
        <v>367.35599999999999</v>
      </c>
      <c r="P1340">
        <v>297.34910000000002</v>
      </c>
      <c r="Q1340">
        <v>0</v>
      </c>
      <c r="R1340">
        <v>297.34910000000002</v>
      </c>
    </row>
    <row r="1341" spans="1:18" hidden="1" x14ac:dyDescent="0.25">
      <c r="A1341" t="s">
        <v>1468</v>
      </c>
      <c r="B1341" t="s">
        <v>37</v>
      </c>
      <c r="C1341" t="s">
        <v>603</v>
      </c>
      <c r="D1341" t="s">
        <v>27</v>
      </c>
      <c r="E1341">
        <v>384.61500000000001</v>
      </c>
      <c r="F1341">
        <v>0</v>
      </c>
      <c r="G1341">
        <v>0</v>
      </c>
      <c r="H1341">
        <v>0</v>
      </c>
      <c r="I1341">
        <v>427.35</v>
      </c>
      <c r="J1341">
        <v>0</v>
      </c>
      <c r="K1341">
        <v>0</v>
      </c>
      <c r="L1341">
        <v>0</v>
      </c>
      <c r="M1341">
        <v>0</v>
      </c>
      <c r="N1341">
        <v>409.03500000000003</v>
      </c>
      <c r="O1341">
        <v>407.286</v>
      </c>
      <c r="P1341">
        <v>393.67140000000001</v>
      </c>
      <c r="Q1341">
        <v>0</v>
      </c>
      <c r="R1341">
        <v>393.67140000000001</v>
      </c>
    </row>
    <row r="1342" spans="1:18" hidden="1" x14ac:dyDescent="0.25">
      <c r="A1342" t="s">
        <v>1469</v>
      </c>
      <c r="B1342" t="s">
        <v>37</v>
      </c>
      <c r="C1342" t="s">
        <v>603</v>
      </c>
      <c r="D1342" t="s">
        <v>29</v>
      </c>
      <c r="E1342">
        <v>174.60300000000001</v>
      </c>
      <c r="F1342">
        <v>172.48</v>
      </c>
      <c r="G1342">
        <v>0</v>
      </c>
      <c r="H1342">
        <v>0</v>
      </c>
      <c r="I1342">
        <v>0</v>
      </c>
      <c r="J1342">
        <v>0</v>
      </c>
      <c r="K1342">
        <v>177.1875</v>
      </c>
      <c r="L1342">
        <v>0</v>
      </c>
      <c r="M1342">
        <v>0</v>
      </c>
      <c r="N1342">
        <v>172.161</v>
      </c>
      <c r="O1342">
        <v>239.58</v>
      </c>
      <c r="P1342">
        <v>175.82329999999999</v>
      </c>
      <c r="Q1342">
        <v>172.48</v>
      </c>
      <c r="R1342">
        <v>175.82329999999999</v>
      </c>
    </row>
    <row r="1343" spans="1:18" hidden="1" x14ac:dyDescent="0.25">
      <c r="A1343" t="s">
        <v>1470</v>
      </c>
      <c r="B1343" t="s">
        <v>37</v>
      </c>
      <c r="C1343" t="s">
        <v>603</v>
      </c>
      <c r="D1343" t="s">
        <v>31</v>
      </c>
      <c r="E1343">
        <v>219.78</v>
      </c>
      <c r="F1343">
        <v>221.76</v>
      </c>
      <c r="G1343">
        <v>0</v>
      </c>
      <c r="H1343">
        <v>0</v>
      </c>
      <c r="I1343">
        <v>0</v>
      </c>
      <c r="J1343">
        <v>0</v>
      </c>
      <c r="K1343">
        <v>228.34739999999999</v>
      </c>
      <c r="L1343">
        <v>0</v>
      </c>
      <c r="M1343">
        <v>0</v>
      </c>
      <c r="N1343">
        <v>231.99</v>
      </c>
      <c r="O1343">
        <v>252.89</v>
      </c>
      <c r="P1343">
        <v>208.7218</v>
      </c>
      <c r="Q1343">
        <v>221.76</v>
      </c>
      <c r="R1343">
        <v>212.245</v>
      </c>
    </row>
    <row r="1344" spans="1:18" hidden="1" x14ac:dyDescent="0.25">
      <c r="A1344" t="s">
        <v>1471</v>
      </c>
      <c r="B1344" t="s">
        <v>37</v>
      </c>
      <c r="C1344" t="s">
        <v>603</v>
      </c>
      <c r="D1344" t="s">
        <v>33</v>
      </c>
      <c r="E1344">
        <v>231.99</v>
      </c>
      <c r="F1344">
        <v>236.54400000000001</v>
      </c>
      <c r="G1344">
        <v>0</v>
      </c>
      <c r="H1344">
        <v>0</v>
      </c>
      <c r="I1344">
        <v>0</v>
      </c>
      <c r="J1344">
        <v>0</v>
      </c>
      <c r="K1344">
        <v>245.60550000000001</v>
      </c>
      <c r="L1344">
        <v>0</v>
      </c>
      <c r="M1344">
        <v>0</v>
      </c>
      <c r="N1344">
        <v>244.2</v>
      </c>
      <c r="O1344">
        <v>276.84800000000001</v>
      </c>
      <c r="P1344">
        <v>238.26</v>
      </c>
      <c r="Q1344">
        <v>236.54400000000001</v>
      </c>
      <c r="R1344">
        <v>238.26</v>
      </c>
    </row>
    <row r="1345" spans="1:18" hidden="1" x14ac:dyDescent="0.25">
      <c r="A1345" t="s">
        <v>1472</v>
      </c>
      <c r="B1345" t="s">
        <v>37</v>
      </c>
      <c r="C1345" t="s">
        <v>603</v>
      </c>
      <c r="D1345" t="s">
        <v>35</v>
      </c>
      <c r="E1345">
        <v>462.75900000000001</v>
      </c>
      <c r="F1345">
        <v>0</v>
      </c>
      <c r="G1345">
        <v>0</v>
      </c>
      <c r="H1345">
        <v>0</v>
      </c>
      <c r="I1345">
        <v>427.35</v>
      </c>
      <c r="J1345">
        <v>0</v>
      </c>
      <c r="K1345">
        <v>0</v>
      </c>
      <c r="L1345">
        <v>0</v>
      </c>
      <c r="M1345">
        <v>0</v>
      </c>
      <c r="N1345">
        <v>427.35</v>
      </c>
      <c r="O1345">
        <v>484.48399999999998</v>
      </c>
      <c r="P1345">
        <v>397.50869999999998</v>
      </c>
      <c r="Q1345">
        <v>0</v>
      </c>
      <c r="R1345">
        <v>422.37799999999999</v>
      </c>
    </row>
    <row r="1346" spans="1:18" hidden="1" x14ac:dyDescent="0.25">
      <c r="A1346" t="s">
        <v>1473</v>
      </c>
      <c r="B1346" t="s">
        <v>37</v>
      </c>
      <c r="C1346" t="s">
        <v>612</v>
      </c>
      <c r="D1346" t="s">
        <v>21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</row>
    <row r="1347" spans="1:18" hidden="1" x14ac:dyDescent="0.25">
      <c r="A1347" t="s">
        <v>1474</v>
      </c>
      <c r="B1347" t="s">
        <v>37</v>
      </c>
      <c r="C1347" t="s">
        <v>612</v>
      </c>
      <c r="D1347" t="s">
        <v>23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152.52930000000001</v>
      </c>
      <c r="Q1347">
        <v>0</v>
      </c>
      <c r="R1347">
        <v>152.52930000000001</v>
      </c>
    </row>
    <row r="1348" spans="1:18" hidden="1" x14ac:dyDescent="0.25">
      <c r="A1348" t="s">
        <v>1475</v>
      </c>
      <c r="B1348" t="s">
        <v>37</v>
      </c>
      <c r="C1348" t="s">
        <v>612</v>
      </c>
      <c r="D1348" t="s">
        <v>25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162.51349999999999</v>
      </c>
      <c r="Q1348">
        <v>0</v>
      </c>
      <c r="R1348">
        <v>162.51339999999999</v>
      </c>
    </row>
    <row r="1349" spans="1:18" hidden="1" x14ac:dyDescent="0.25">
      <c r="A1349" t="s">
        <v>1476</v>
      </c>
      <c r="B1349" t="s">
        <v>37</v>
      </c>
      <c r="C1349" t="s">
        <v>612</v>
      </c>
      <c r="D1349" t="s">
        <v>27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256.75639999999999</v>
      </c>
      <c r="Q1349">
        <v>0</v>
      </c>
      <c r="R1349">
        <v>256.75639999999999</v>
      </c>
    </row>
    <row r="1350" spans="1:18" hidden="1" x14ac:dyDescent="0.25">
      <c r="A1350" t="s">
        <v>1477</v>
      </c>
      <c r="B1350" t="s">
        <v>37</v>
      </c>
      <c r="C1350" t="s">
        <v>612</v>
      </c>
      <c r="D1350" t="s">
        <v>29</v>
      </c>
      <c r="E1350">
        <v>0</v>
      </c>
      <c r="F1350">
        <v>127.05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116.9706</v>
      </c>
      <c r="Q1350">
        <v>127.05</v>
      </c>
      <c r="R1350">
        <v>116.9706</v>
      </c>
    </row>
    <row r="1351" spans="1:18" hidden="1" x14ac:dyDescent="0.25">
      <c r="A1351" t="s">
        <v>1478</v>
      </c>
      <c r="B1351" t="s">
        <v>37</v>
      </c>
      <c r="C1351" t="s">
        <v>612</v>
      </c>
      <c r="D1351" t="s">
        <v>31</v>
      </c>
      <c r="E1351">
        <v>0</v>
      </c>
      <c r="F1351">
        <v>151.25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102.9952</v>
      </c>
      <c r="Q1351">
        <v>151.25</v>
      </c>
      <c r="R1351">
        <v>102.9952</v>
      </c>
    </row>
    <row r="1352" spans="1:18" hidden="1" x14ac:dyDescent="0.25">
      <c r="A1352" t="s">
        <v>1479</v>
      </c>
      <c r="B1352" t="s">
        <v>37</v>
      </c>
      <c r="C1352" t="s">
        <v>612</v>
      </c>
      <c r="D1352" t="s">
        <v>33</v>
      </c>
      <c r="E1352">
        <v>0</v>
      </c>
      <c r="F1352">
        <v>163.35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116.321</v>
      </c>
      <c r="Q1352">
        <v>163.35</v>
      </c>
      <c r="R1352">
        <v>116.321</v>
      </c>
    </row>
    <row r="1353" spans="1:18" hidden="1" x14ac:dyDescent="0.25">
      <c r="A1353" t="s">
        <v>1480</v>
      </c>
      <c r="B1353" t="s">
        <v>37</v>
      </c>
      <c r="C1353" t="s">
        <v>612</v>
      </c>
      <c r="D1353" t="s">
        <v>35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277.60789999999997</v>
      </c>
      <c r="Q1353">
        <v>0</v>
      </c>
      <c r="R1353">
        <v>277.60789999999997</v>
      </c>
    </row>
    <row r="1354" spans="1:18" hidden="1" x14ac:dyDescent="0.25">
      <c r="A1354" t="s">
        <v>1481</v>
      </c>
      <c r="B1354" t="s">
        <v>37</v>
      </c>
      <c r="C1354" t="s">
        <v>621</v>
      </c>
      <c r="D1354" t="s">
        <v>21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R1354">
        <v>0</v>
      </c>
    </row>
    <row r="1355" spans="1:18" hidden="1" x14ac:dyDescent="0.25">
      <c r="A1355" t="s">
        <v>1482</v>
      </c>
      <c r="B1355" t="s">
        <v>37</v>
      </c>
      <c r="C1355" t="s">
        <v>621</v>
      </c>
      <c r="D1355" t="s">
        <v>23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342.02170000000001</v>
      </c>
      <c r="R1355">
        <v>342.02170000000001</v>
      </c>
    </row>
    <row r="1356" spans="1:18" hidden="1" x14ac:dyDescent="0.25">
      <c r="A1356" t="s">
        <v>1483</v>
      </c>
      <c r="B1356" t="s">
        <v>37</v>
      </c>
      <c r="C1356" t="s">
        <v>621</v>
      </c>
      <c r="D1356" t="s">
        <v>25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378.82170000000002</v>
      </c>
      <c r="R1356">
        <v>378.82170000000002</v>
      </c>
    </row>
    <row r="1357" spans="1:18" hidden="1" x14ac:dyDescent="0.25">
      <c r="A1357" t="s">
        <v>1484</v>
      </c>
      <c r="B1357" t="s">
        <v>37</v>
      </c>
      <c r="C1357" t="s">
        <v>621</v>
      </c>
      <c r="D1357" t="s">
        <v>27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517.17939999999999</v>
      </c>
      <c r="R1357">
        <v>517.17939999999999</v>
      </c>
    </row>
    <row r="1358" spans="1:18" hidden="1" x14ac:dyDescent="0.25">
      <c r="A1358" t="s">
        <v>1485</v>
      </c>
      <c r="B1358" t="s">
        <v>37</v>
      </c>
      <c r="C1358" t="s">
        <v>621</v>
      </c>
      <c r="D1358" t="s">
        <v>29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251.53149999999999</v>
      </c>
      <c r="R1358">
        <v>251.53149999999999</v>
      </c>
    </row>
    <row r="1359" spans="1:18" hidden="1" x14ac:dyDescent="0.25">
      <c r="A1359" t="s">
        <v>1486</v>
      </c>
      <c r="B1359" t="s">
        <v>37</v>
      </c>
      <c r="C1359" t="s">
        <v>621</v>
      </c>
      <c r="D1359" t="s">
        <v>31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269.07130000000001</v>
      </c>
      <c r="R1359">
        <v>269.07130000000001</v>
      </c>
    </row>
    <row r="1360" spans="1:18" hidden="1" x14ac:dyDescent="0.25">
      <c r="A1360" t="s">
        <v>1487</v>
      </c>
      <c r="B1360" t="s">
        <v>37</v>
      </c>
      <c r="C1360" t="s">
        <v>621</v>
      </c>
      <c r="D1360" t="s">
        <v>33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300.13290000000001</v>
      </c>
      <c r="R1360">
        <v>300.13290000000001</v>
      </c>
    </row>
    <row r="1361" spans="1:18" hidden="1" x14ac:dyDescent="0.25">
      <c r="A1361" t="s">
        <v>1488</v>
      </c>
      <c r="B1361" t="s">
        <v>37</v>
      </c>
      <c r="C1361" t="s">
        <v>621</v>
      </c>
      <c r="D1361" t="s">
        <v>35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571.21690000000001</v>
      </c>
      <c r="R1361">
        <v>571.21699999999998</v>
      </c>
    </row>
    <row r="1362" spans="1:18" hidden="1" x14ac:dyDescent="0.25">
      <c r="A1362" t="s">
        <v>1489</v>
      </c>
      <c r="B1362" t="s">
        <v>37</v>
      </c>
      <c r="C1362" t="s">
        <v>630</v>
      </c>
      <c r="D1362" t="s">
        <v>21</v>
      </c>
      <c r="E1362">
        <v>173.38200000000001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180.30600000000001</v>
      </c>
      <c r="L1362">
        <v>0</v>
      </c>
      <c r="M1362">
        <v>0</v>
      </c>
      <c r="N1362">
        <v>183.15</v>
      </c>
      <c r="O1362">
        <v>190.333</v>
      </c>
      <c r="P1362">
        <v>0</v>
      </c>
      <c r="Q1362">
        <v>0</v>
      </c>
      <c r="R1362">
        <v>0</v>
      </c>
    </row>
    <row r="1363" spans="1:18" hidden="1" x14ac:dyDescent="0.25">
      <c r="A1363" t="s">
        <v>1490</v>
      </c>
      <c r="B1363" t="s">
        <v>37</v>
      </c>
      <c r="C1363" t="s">
        <v>630</v>
      </c>
      <c r="D1363" t="s">
        <v>23</v>
      </c>
      <c r="E1363">
        <v>264.95699999999999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313.36200000000002</v>
      </c>
      <c r="L1363">
        <v>0</v>
      </c>
      <c r="M1363">
        <v>0</v>
      </c>
      <c r="N1363">
        <v>317.45999999999998</v>
      </c>
      <c r="O1363">
        <v>306.13</v>
      </c>
      <c r="P1363">
        <v>274.52960000000002</v>
      </c>
      <c r="Q1363">
        <v>0</v>
      </c>
      <c r="R1363">
        <v>274.52960000000002</v>
      </c>
    </row>
    <row r="1364" spans="1:18" hidden="1" x14ac:dyDescent="0.25">
      <c r="A1364" t="s">
        <v>1491</v>
      </c>
      <c r="B1364" t="s">
        <v>37</v>
      </c>
      <c r="C1364" t="s">
        <v>630</v>
      </c>
      <c r="D1364" t="s">
        <v>25</v>
      </c>
      <c r="E1364">
        <v>319.90199999999999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344.53440000000001</v>
      </c>
      <c r="L1364">
        <v>0</v>
      </c>
      <c r="M1364">
        <v>0</v>
      </c>
      <c r="N1364">
        <v>341.88</v>
      </c>
      <c r="O1364">
        <v>415.27199999999999</v>
      </c>
      <c r="P1364">
        <v>291.9708</v>
      </c>
      <c r="Q1364">
        <v>0</v>
      </c>
      <c r="R1364">
        <v>291.9708</v>
      </c>
    </row>
    <row r="1365" spans="1:18" hidden="1" x14ac:dyDescent="0.25">
      <c r="A1365" t="s">
        <v>1492</v>
      </c>
      <c r="B1365" t="s">
        <v>37</v>
      </c>
      <c r="C1365" t="s">
        <v>630</v>
      </c>
      <c r="D1365" t="s">
        <v>27</v>
      </c>
      <c r="E1365">
        <v>433.45499999999998</v>
      </c>
      <c r="F1365">
        <v>0</v>
      </c>
      <c r="G1365">
        <v>0</v>
      </c>
      <c r="H1365">
        <v>0</v>
      </c>
      <c r="I1365">
        <v>457.875</v>
      </c>
      <c r="J1365">
        <v>0</v>
      </c>
      <c r="K1365">
        <v>0</v>
      </c>
      <c r="L1365">
        <v>0</v>
      </c>
      <c r="M1365">
        <v>0</v>
      </c>
      <c r="N1365">
        <v>427.35</v>
      </c>
      <c r="O1365">
        <v>459.19499999999999</v>
      </c>
      <c r="P1365">
        <v>420.39100000000002</v>
      </c>
      <c r="Q1365">
        <v>0</v>
      </c>
      <c r="R1365">
        <v>420.39100000000002</v>
      </c>
    </row>
    <row r="1366" spans="1:18" hidden="1" x14ac:dyDescent="0.25">
      <c r="A1366" t="s">
        <v>1493</v>
      </c>
      <c r="B1366" t="s">
        <v>37</v>
      </c>
      <c r="C1366" t="s">
        <v>630</v>
      </c>
      <c r="D1366" t="s">
        <v>29</v>
      </c>
      <c r="E1366">
        <v>199.023</v>
      </c>
      <c r="F1366">
        <v>197.648</v>
      </c>
      <c r="G1366">
        <v>0</v>
      </c>
      <c r="H1366">
        <v>0</v>
      </c>
      <c r="I1366">
        <v>0</v>
      </c>
      <c r="J1366">
        <v>0</v>
      </c>
      <c r="K1366">
        <v>199.584</v>
      </c>
      <c r="L1366">
        <v>0</v>
      </c>
      <c r="M1366">
        <v>0</v>
      </c>
      <c r="N1366">
        <v>201.465</v>
      </c>
      <c r="O1366">
        <v>215.62200000000001</v>
      </c>
      <c r="P1366">
        <v>197.66800000000001</v>
      </c>
      <c r="Q1366">
        <v>197.648</v>
      </c>
      <c r="R1366">
        <v>197.66800000000001</v>
      </c>
    </row>
    <row r="1367" spans="1:18" hidden="1" x14ac:dyDescent="0.25">
      <c r="A1367" t="s">
        <v>1494</v>
      </c>
      <c r="B1367" t="s">
        <v>37</v>
      </c>
      <c r="C1367" t="s">
        <v>630</v>
      </c>
      <c r="D1367" t="s">
        <v>31</v>
      </c>
      <c r="E1367">
        <v>225.88499999999999</v>
      </c>
      <c r="F1367">
        <v>232.232</v>
      </c>
      <c r="G1367">
        <v>0</v>
      </c>
      <c r="H1367">
        <v>0</v>
      </c>
      <c r="I1367">
        <v>0</v>
      </c>
      <c r="J1367">
        <v>0</v>
      </c>
      <c r="K1367">
        <v>244.06989999999999</v>
      </c>
      <c r="L1367">
        <v>0</v>
      </c>
      <c r="M1367">
        <v>0</v>
      </c>
      <c r="N1367">
        <v>244.2</v>
      </c>
      <c r="O1367">
        <v>228.27199999999999</v>
      </c>
      <c r="P1367">
        <v>227.5831</v>
      </c>
      <c r="Q1367">
        <v>232.232</v>
      </c>
      <c r="R1367">
        <v>227.583</v>
      </c>
    </row>
    <row r="1368" spans="1:18" hidden="1" x14ac:dyDescent="0.25">
      <c r="A1368" t="s">
        <v>1495</v>
      </c>
      <c r="B1368" t="s">
        <v>37</v>
      </c>
      <c r="C1368" t="s">
        <v>630</v>
      </c>
      <c r="D1368" t="s">
        <v>33</v>
      </c>
      <c r="E1368">
        <v>239.316</v>
      </c>
      <c r="F1368">
        <v>247.06</v>
      </c>
      <c r="G1368">
        <v>0</v>
      </c>
      <c r="H1368">
        <v>0</v>
      </c>
      <c r="I1368">
        <v>0</v>
      </c>
      <c r="J1368">
        <v>0</v>
      </c>
      <c r="K1368">
        <v>257.41800000000001</v>
      </c>
      <c r="L1368">
        <v>0</v>
      </c>
      <c r="M1368">
        <v>0</v>
      </c>
      <c r="N1368">
        <v>256.41000000000003</v>
      </c>
      <c r="O1368">
        <v>252.89</v>
      </c>
      <c r="P1368">
        <v>246.93770000000001</v>
      </c>
      <c r="Q1368">
        <v>247.06</v>
      </c>
      <c r="R1368">
        <v>246.93770000000001</v>
      </c>
    </row>
    <row r="1369" spans="1:18" hidden="1" x14ac:dyDescent="0.25">
      <c r="A1369" t="s">
        <v>1496</v>
      </c>
      <c r="B1369" t="s">
        <v>37</v>
      </c>
      <c r="C1369" t="s">
        <v>630</v>
      </c>
      <c r="D1369" t="s">
        <v>35</v>
      </c>
      <c r="E1369">
        <v>455.43299999999999</v>
      </c>
      <c r="F1369">
        <v>0</v>
      </c>
      <c r="G1369">
        <v>0</v>
      </c>
      <c r="H1369">
        <v>0</v>
      </c>
      <c r="I1369">
        <v>457.875</v>
      </c>
      <c r="J1369">
        <v>0</v>
      </c>
      <c r="K1369">
        <v>0</v>
      </c>
      <c r="L1369">
        <v>0</v>
      </c>
      <c r="M1369">
        <v>0</v>
      </c>
      <c r="N1369">
        <v>457.875</v>
      </c>
      <c r="O1369">
        <v>477.82900000000001</v>
      </c>
      <c r="P1369">
        <v>450.26119999999997</v>
      </c>
      <c r="Q1369">
        <v>0</v>
      </c>
      <c r="R1369">
        <v>450.26119999999997</v>
      </c>
    </row>
    <row r="1370" spans="1:18" hidden="1" x14ac:dyDescent="0.25">
      <c r="A1370" t="s">
        <v>1497</v>
      </c>
      <c r="B1370" t="s">
        <v>37</v>
      </c>
      <c r="C1370" t="s">
        <v>639</v>
      </c>
      <c r="D1370" t="s">
        <v>21</v>
      </c>
      <c r="E1370">
        <v>187.22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274.80599999999998</v>
      </c>
      <c r="L1370">
        <v>0</v>
      </c>
      <c r="M1370">
        <v>0</v>
      </c>
      <c r="N1370">
        <v>207.57</v>
      </c>
      <c r="O1370">
        <v>181.01599999999999</v>
      </c>
      <c r="P1370">
        <v>0</v>
      </c>
      <c r="R1370">
        <v>0</v>
      </c>
    </row>
    <row r="1371" spans="1:18" hidden="1" x14ac:dyDescent="0.25">
      <c r="A1371" t="s">
        <v>1498</v>
      </c>
      <c r="B1371" t="s">
        <v>37</v>
      </c>
      <c r="C1371" t="s">
        <v>639</v>
      </c>
      <c r="D1371" t="s">
        <v>23</v>
      </c>
      <c r="E1371">
        <v>283.25</v>
      </c>
      <c r="F1371">
        <v>0</v>
      </c>
      <c r="G1371">
        <v>323.95</v>
      </c>
      <c r="H1371">
        <v>0</v>
      </c>
      <c r="I1371">
        <v>0</v>
      </c>
      <c r="J1371">
        <v>0</v>
      </c>
      <c r="K1371">
        <v>346.56299999999999</v>
      </c>
      <c r="L1371">
        <v>0</v>
      </c>
      <c r="M1371">
        <v>0</v>
      </c>
      <c r="N1371">
        <v>274.45</v>
      </c>
      <c r="O1371">
        <v>295.48200000000003</v>
      </c>
      <c r="P1371">
        <v>277.68579999999997</v>
      </c>
      <c r="R1371">
        <v>277.68579999999997</v>
      </c>
    </row>
    <row r="1372" spans="1:18" hidden="1" x14ac:dyDescent="0.25">
      <c r="A1372" t="s">
        <v>1499</v>
      </c>
      <c r="B1372" t="s">
        <v>37</v>
      </c>
      <c r="C1372" t="s">
        <v>639</v>
      </c>
      <c r="D1372" t="s">
        <v>25</v>
      </c>
      <c r="E1372">
        <v>317.24</v>
      </c>
      <c r="F1372">
        <v>0</v>
      </c>
      <c r="G1372">
        <v>364.54</v>
      </c>
      <c r="H1372">
        <v>0</v>
      </c>
      <c r="I1372">
        <v>0</v>
      </c>
      <c r="J1372">
        <v>588.5</v>
      </c>
      <c r="K1372">
        <v>384.37560000000002</v>
      </c>
      <c r="L1372">
        <v>0</v>
      </c>
      <c r="M1372">
        <v>0</v>
      </c>
      <c r="N1372">
        <v>302.94</v>
      </c>
      <c r="O1372">
        <v>389.983</v>
      </c>
      <c r="P1372">
        <v>303.40199999999999</v>
      </c>
      <c r="R1372">
        <v>331.375</v>
      </c>
    </row>
    <row r="1373" spans="1:18" hidden="1" x14ac:dyDescent="0.25">
      <c r="A1373" t="s">
        <v>1500</v>
      </c>
      <c r="B1373" t="s">
        <v>37</v>
      </c>
      <c r="C1373" t="s">
        <v>639</v>
      </c>
      <c r="D1373" t="s">
        <v>27</v>
      </c>
      <c r="E1373">
        <v>495.44</v>
      </c>
      <c r="F1373">
        <v>0</v>
      </c>
      <c r="G1373">
        <v>505.34</v>
      </c>
      <c r="H1373">
        <v>0</v>
      </c>
      <c r="I1373">
        <v>550.44000000000005</v>
      </c>
      <c r="J1373">
        <v>588</v>
      </c>
      <c r="K1373">
        <v>0</v>
      </c>
      <c r="L1373">
        <v>0</v>
      </c>
      <c r="M1373">
        <v>529.81500000000005</v>
      </c>
      <c r="N1373">
        <v>529.76</v>
      </c>
      <c r="O1373">
        <v>511.10399999999998</v>
      </c>
      <c r="P1373">
        <v>510.22480000000002</v>
      </c>
      <c r="R1373">
        <v>510.22469999999998</v>
      </c>
    </row>
    <row r="1374" spans="1:18" hidden="1" x14ac:dyDescent="0.25">
      <c r="A1374" t="s">
        <v>1501</v>
      </c>
      <c r="B1374" t="s">
        <v>37</v>
      </c>
      <c r="C1374" t="s">
        <v>639</v>
      </c>
      <c r="D1374" t="s">
        <v>29</v>
      </c>
      <c r="E1374">
        <v>196.46</v>
      </c>
      <c r="F1374">
        <v>0</v>
      </c>
      <c r="G1374">
        <v>265.76</v>
      </c>
      <c r="H1374">
        <v>0</v>
      </c>
      <c r="I1374">
        <v>0</v>
      </c>
      <c r="J1374">
        <v>0</v>
      </c>
      <c r="K1374">
        <v>280.93799999999999</v>
      </c>
      <c r="L1374">
        <v>0</v>
      </c>
      <c r="M1374">
        <v>0</v>
      </c>
      <c r="N1374">
        <v>223.96</v>
      </c>
      <c r="O1374">
        <v>232.92500000000001</v>
      </c>
      <c r="P1374">
        <v>200.01300000000001</v>
      </c>
      <c r="R1374">
        <v>200.01300000000001</v>
      </c>
    </row>
    <row r="1375" spans="1:18" hidden="1" x14ac:dyDescent="0.25">
      <c r="A1375" t="s">
        <v>1502</v>
      </c>
      <c r="B1375" t="s">
        <v>37</v>
      </c>
      <c r="C1375" t="s">
        <v>639</v>
      </c>
      <c r="D1375" t="s">
        <v>31</v>
      </c>
      <c r="E1375">
        <v>224.95</v>
      </c>
      <c r="F1375">
        <v>0</v>
      </c>
      <c r="G1375">
        <v>292.05</v>
      </c>
      <c r="H1375">
        <v>0</v>
      </c>
      <c r="I1375">
        <v>257.03699999999998</v>
      </c>
      <c r="J1375">
        <v>0</v>
      </c>
      <c r="K1375">
        <v>247.92599999999999</v>
      </c>
      <c r="L1375">
        <v>0</v>
      </c>
      <c r="M1375">
        <v>0</v>
      </c>
      <c r="N1375">
        <v>241.45</v>
      </c>
      <c r="O1375">
        <v>244.904</v>
      </c>
      <c r="P1375">
        <v>223.40010000000001</v>
      </c>
      <c r="R1375">
        <v>223.40010000000001</v>
      </c>
    </row>
    <row r="1376" spans="1:18" hidden="1" x14ac:dyDescent="0.25">
      <c r="A1376" t="s">
        <v>1503</v>
      </c>
      <c r="B1376" t="s">
        <v>37</v>
      </c>
      <c r="C1376" t="s">
        <v>639</v>
      </c>
      <c r="D1376" t="s">
        <v>33</v>
      </c>
      <c r="E1376">
        <v>241.45</v>
      </c>
      <c r="F1376">
        <v>0</v>
      </c>
      <c r="G1376">
        <v>305.25</v>
      </c>
      <c r="H1376">
        <v>0</v>
      </c>
      <c r="I1376">
        <v>257.03699999999998</v>
      </c>
      <c r="J1376">
        <v>0</v>
      </c>
      <c r="K1376">
        <v>259.791</v>
      </c>
      <c r="L1376">
        <v>0</v>
      </c>
      <c r="M1376">
        <v>0</v>
      </c>
      <c r="N1376">
        <v>257.95</v>
      </c>
      <c r="O1376">
        <v>266.2</v>
      </c>
      <c r="P1376">
        <v>240.89340000000001</v>
      </c>
      <c r="R1376">
        <v>240.89340000000001</v>
      </c>
    </row>
    <row r="1377" spans="1:18" hidden="1" x14ac:dyDescent="0.25">
      <c r="A1377" t="s">
        <v>1504</v>
      </c>
      <c r="B1377" t="s">
        <v>37</v>
      </c>
      <c r="C1377" t="s">
        <v>639</v>
      </c>
      <c r="D1377" t="s">
        <v>35</v>
      </c>
      <c r="E1377">
        <v>568.97500000000002</v>
      </c>
      <c r="F1377">
        <v>0</v>
      </c>
      <c r="G1377">
        <v>544.02859999999998</v>
      </c>
      <c r="H1377">
        <v>0</v>
      </c>
      <c r="I1377">
        <v>561.54999999999995</v>
      </c>
      <c r="J1377">
        <v>0</v>
      </c>
      <c r="K1377">
        <v>0</v>
      </c>
      <c r="L1377">
        <v>0</v>
      </c>
      <c r="M1377">
        <v>578.721</v>
      </c>
      <c r="N1377">
        <v>554.4</v>
      </c>
      <c r="O1377">
        <v>572.33000000000004</v>
      </c>
      <c r="P1377">
        <v>557.45320000000004</v>
      </c>
      <c r="R1377">
        <v>557.45320000000004</v>
      </c>
    </row>
    <row r="1378" spans="1:18" hidden="1" x14ac:dyDescent="0.25">
      <c r="A1378" t="s">
        <v>1505</v>
      </c>
      <c r="B1378" t="s">
        <v>37</v>
      </c>
      <c r="C1378" t="s">
        <v>648</v>
      </c>
      <c r="D1378" t="s">
        <v>21</v>
      </c>
      <c r="E1378">
        <v>261.65339999999998</v>
      </c>
      <c r="F1378">
        <v>0</v>
      </c>
      <c r="G1378">
        <v>292.45330000000001</v>
      </c>
      <c r="H1378">
        <v>0</v>
      </c>
      <c r="I1378">
        <v>0</v>
      </c>
      <c r="J1378">
        <v>0</v>
      </c>
      <c r="K1378">
        <v>251.14949999999999</v>
      </c>
      <c r="L1378">
        <v>0</v>
      </c>
      <c r="M1378">
        <v>0</v>
      </c>
      <c r="N1378">
        <v>261.65699999999998</v>
      </c>
      <c r="O1378">
        <v>191.66399999999999</v>
      </c>
      <c r="P1378">
        <v>0</v>
      </c>
      <c r="R1378">
        <v>0</v>
      </c>
    </row>
    <row r="1379" spans="1:18" hidden="1" x14ac:dyDescent="0.25">
      <c r="A1379" t="s">
        <v>1506</v>
      </c>
      <c r="B1379" t="s">
        <v>37</v>
      </c>
      <c r="C1379" t="s">
        <v>648</v>
      </c>
      <c r="D1379" t="s">
        <v>23</v>
      </c>
      <c r="E1379">
        <v>409.03500000000003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408.1927</v>
      </c>
      <c r="L1379">
        <v>0</v>
      </c>
      <c r="M1379">
        <v>0</v>
      </c>
      <c r="N1379">
        <v>409.03500000000003</v>
      </c>
      <c r="O1379">
        <v>318.77999999999997</v>
      </c>
      <c r="P1379">
        <v>319.54809999999998</v>
      </c>
      <c r="R1379">
        <v>319.54820000000001</v>
      </c>
    </row>
    <row r="1380" spans="1:18" hidden="1" x14ac:dyDescent="0.25">
      <c r="A1380" t="s">
        <v>1507</v>
      </c>
      <c r="B1380" t="s">
        <v>37</v>
      </c>
      <c r="C1380" t="s">
        <v>648</v>
      </c>
      <c r="D1380" t="s">
        <v>25</v>
      </c>
      <c r="E1380">
        <v>427.35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458.3313</v>
      </c>
      <c r="L1380">
        <v>0</v>
      </c>
      <c r="M1380">
        <v>0</v>
      </c>
      <c r="N1380">
        <v>427.35</v>
      </c>
      <c r="O1380">
        <v>433.90600000000001</v>
      </c>
      <c r="P1380">
        <v>348.2824</v>
      </c>
      <c r="R1380">
        <v>374.53899999999999</v>
      </c>
    </row>
    <row r="1381" spans="1:18" hidden="1" x14ac:dyDescent="0.25">
      <c r="A1381" t="s">
        <v>1508</v>
      </c>
      <c r="B1381" t="s">
        <v>37</v>
      </c>
      <c r="C1381" t="s">
        <v>648</v>
      </c>
      <c r="D1381" t="s">
        <v>27</v>
      </c>
      <c r="E1381">
        <v>488.4</v>
      </c>
      <c r="F1381">
        <v>0</v>
      </c>
      <c r="G1381">
        <v>0</v>
      </c>
      <c r="H1381">
        <v>0</v>
      </c>
      <c r="I1381">
        <v>537.24</v>
      </c>
      <c r="J1381">
        <v>0</v>
      </c>
      <c r="K1381">
        <v>0</v>
      </c>
      <c r="L1381">
        <v>0</v>
      </c>
      <c r="M1381">
        <v>0</v>
      </c>
      <c r="N1381">
        <v>488.4</v>
      </c>
      <c r="O1381">
        <v>499.125</v>
      </c>
      <c r="P1381">
        <v>495.84980000000002</v>
      </c>
      <c r="R1381">
        <v>495.84980000000002</v>
      </c>
    </row>
    <row r="1382" spans="1:18" hidden="1" x14ac:dyDescent="0.25">
      <c r="A1382" t="s">
        <v>1509</v>
      </c>
      <c r="B1382" t="s">
        <v>37</v>
      </c>
      <c r="C1382" t="s">
        <v>648</v>
      </c>
      <c r="D1382" t="s">
        <v>29</v>
      </c>
      <c r="E1382">
        <v>272.65339999999998</v>
      </c>
      <c r="F1382">
        <v>0</v>
      </c>
      <c r="G1382">
        <v>301.25330000000002</v>
      </c>
      <c r="H1382">
        <v>0</v>
      </c>
      <c r="I1382">
        <v>0</v>
      </c>
      <c r="J1382">
        <v>0</v>
      </c>
      <c r="K1382">
        <v>264.42149999999998</v>
      </c>
      <c r="L1382">
        <v>0</v>
      </c>
      <c r="M1382">
        <v>0</v>
      </c>
      <c r="N1382">
        <v>272.65699999999998</v>
      </c>
      <c r="O1382">
        <v>239.58</v>
      </c>
      <c r="P1382">
        <v>240.9059</v>
      </c>
      <c r="R1382">
        <v>240.9059</v>
      </c>
    </row>
    <row r="1383" spans="1:18" hidden="1" x14ac:dyDescent="0.25">
      <c r="A1383" t="s">
        <v>1510</v>
      </c>
      <c r="B1383" t="s">
        <v>37</v>
      </c>
      <c r="C1383" t="s">
        <v>648</v>
      </c>
      <c r="D1383" t="s">
        <v>31</v>
      </c>
      <c r="E1383">
        <v>335.31659999999999</v>
      </c>
      <c r="F1383">
        <v>0</v>
      </c>
      <c r="G1383">
        <v>332.01670000000001</v>
      </c>
      <c r="H1383">
        <v>0</v>
      </c>
      <c r="I1383">
        <v>339.9</v>
      </c>
      <c r="J1383">
        <v>0</v>
      </c>
      <c r="K1383">
        <v>327.02249999999998</v>
      </c>
      <c r="L1383">
        <v>0</v>
      </c>
      <c r="M1383">
        <v>0</v>
      </c>
      <c r="N1383">
        <v>335.31299999999999</v>
      </c>
      <c r="O1383">
        <v>252.89</v>
      </c>
      <c r="P1383">
        <v>268.27870000000001</v>
      </c>
      <c r="R1383">
        <v>268.27870000000001</v>
      </c>
    </row>
    <row r="1384" spans="1:18" hidden="1" x14ac:dyDescent="0.25">
      <c r="A1384" t="s">
        <v>1511</v>
      </c>
      <c r="B1384" t="s">
        <v>37</v>
      </c>
      <c r="C1384" t="s">
        <v>648</v>
      </c>
      <c r="D1384" t="s">
        <v>33</v>
      </c>
      <c r="E1384">
        <v>351.81659999999999</v>
      </c>
      <c r="F1384">
        <v>0</v>
      </c>
      <c r="G1384">
        <v>345.2167</v>
      </c>
      <c r="H1384">
        <v>0</v>
      </c>
      <c r="I1384">
        <v>339.9</v>
      </c>
      <c r="J1384">
        <v>0</v>
      </c>
      <c r="K1384">
        <v>344.13749999999999</v>
      </c>
      <c r="L1384">
        <v>0</v>
      </c>
      <c r="M1384">
        <v>0</v>
      </c>
      <c r="N1384">
        <v>351.81299999999999</v>
      </c>
      <c r="O1384">
        <v>279.51</v>
      </c>
      <c r="P1384">
        <v>282.7611</v>
      </c>
      <c r="R1384">
        <v>282.7611</v>
      </c>
    </row>
    <row r="1385" spans="1:18" hidden="1" x14ac:dyDescent="0.25">
      <c r="A1385" t="s">
        <v>1512</v>
      </c>
      <c r="B1385" t="s">
        <v>37</v>
      </c>
      <c r="C1385" t="s">
        <v>648</v>
      </c>
      <c r="D1385" t="s">
        <v>35</v>
      </c>
      <c r="E1385">
        <v>512.82000000000005</v>
      </c>
      <c r="F1385">
        <v>0</v>
      </c>
      <c r="G1385">
        <v>0</v>
      </c>
      <c r="H1385">
        <v>0</v>
      </c>
      <c r="I1385">
        <v>537.24</v>
      </c>
      <c r="J1385">
        <v>0</v>
      </c>
      <c r="K1385">
        <v>0</v>
      </c>
      <c r="L1385">
        <v>0</v>
      </c>
      <c r="M1385">
        <v>0</v>
      </c>
      <c r="N1385">
        <v>512.82000000000005</v>
      </c>
      <c r="O1385">
        <v>576.32299999999998</v>
      </c>
      <c r="P1385">
        <v>526.67999999999995</v>
      </c>
      <c r="R1385">
        <v>537.87800000000004</v>
      </c>
    </row>
    <row r="1386" spans="1:18" hidden="1" x14ac:dyDescent="0.25">
      <c r="A1386" t="s">
        <v>1513</v>
      </c>
      <c r="B1386" t="s">
        <v>37</v>
      </c>
      <c r="C1386" t="s">
        <v>657</v>
      </c>
      <c r="D1386" t="s">
        <v>21</v>
      </c>
      <c r="E1386">
        <v>199.023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200.6651</v>
      </c>
      <c r="L1386">
        <v>0</v>
      </c>
      <c r="M1386">
        <v>0</v>
      </c>
      <c r="N1386">
        <v>201.465</v>
      </c>
      <c r="O1386">
        <v>199.65</v>
      </c>
      <c r="P1386">
        <v>0</v>
      </c>
      <c r="R1386">
        <v>0</v>
      </c>
    </row>
    <row r="1387" spans="1:18" hidden="1" x14ac:dyDescent="0.25">
      <c r="A1387" t="s">
        <v>1514</v>
      </c>
      <c r="B1387" t="s">
        <v>37</v>
      </c>
      <c r="C1387" t="s">
        <v>657</v>
      </c>
      <c r="D1387" t="s">
        <v>23</v>
      </c>
      <c r="E1387">
        <v>291.81900000000002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341.81529999999998</v>
      </c>
      <c r="L1387">
        <v>0</v>
      </c>
      <c r="M1387">
        <v>0</v>
      </c>
      <c r="N1387">
        <v>335.77499999999998</v>
      </c>
      <c r="O1387">
        <v>314.11599999999999</v>
      </c>
      <c r="P1387">
        <v>301.78579999999999</v>
      </c>
      <c r="R1387">
        <v>301.78579999999999</v>
      </c>
    </row>
    <row r="1388" spans="1:18" hidden="1" x14ac:dyDescent="0.25">
      <c r="A1388" t="s">
        <v>1515</v>
      </c>
      <c r="B1388" t="s">
        <v>37</v>
      </c>
      <c r="C1388" t="s">
        <v>657</v>
      </c>
      <c r="D1388" t="s">
        <v>25</v>
      </c>
      <c r="E1388">
        <v>328.44900000000001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378.67840000000001</v>
      </c>
      <c r="L1388">
        <v>0</v>
      </c>
      <c r="M1388">
        <v>0</v>
      </c>
      <c r="N1388">
        <v>354.09</v>
      </c>
      <c r="O1388">
        <v>399.3</v>
      </c>
      <c r="P1388">
        <v>320.25290000000001</v>
      </c>
      <c r="R1388">
        <v>320.25290000000001</v>
      </c>
    </row>
    <row r="1389" spans="1:18" hidden="1" x14ac:dyDescent="0.25">
      <c r="A1389" t="s">
        <v>1516</v>
      </c>
      <c r="B1389" t="s">
        <v>37</v>
      </c>
      <c r="C1389" t="s">
        <v>657</v>
      </c>
      <c r="D1389" t="s">
        <v>27</v>
      </c>
      <c r="E1389">
        <v>434.67599999999999</v>
      </c>
      <c r="F1389">
        <v>0</v>
      </c>
      <c r="G1389">
        <v>0</v>
      </c>
      <c r="H1389">
        <v>0</v>
      </c>
      <c r="I1389">
        <v>488.4</v>
      </c>
      <c r="J1389">
        <v>0</v>
      </c>
      <c r="K1389">
        <v>0</v>
      </c>
      <c r="L1389">
        <v>0</v>
      </c>
      <c r="M1389">
        <v>0</v>
      </c>
      <c r="N1389">
        <v>476.19</v>
      </c>
      <c r="O1389">
        <v>439.23</v>
      </c>
      <c r="P1389">
        <v>437.58629999999999</v>
      </c>
      <c r="R1389">
        <v>437.58629999999999</v>
      </c>
    </row>
    <row r="1390" spans="1:18" hidden="1" x14ac:dyDescent="0.25">
      <c r="A1390" t="s">
        <v>1517</v>
      </c>
      <c r="B1390" t="s">
        <v>37</v>
      </c>
      <c r="C1390" t="s">
        <v>657</v>
      </c>
      <c r="D1390" t="s">
        <v>29</v>
      </c>
      <c r="E1390">
        <v>208.791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211.8451</v>
      </c>
      <c r="L1390">
        <v>0</v>
      </c>
      <c r="M1390">
        <v>0</v>
      </c>
      <c r="N1390">
        <v>213.67500000000001</v>
      </c>
      <c r="O1390">
        <v>239.58</v>
      </c>
      <c r="P1390">
        <v>209.29259999999999</v>
      </c>
      <c r="R1390">
        <v>209.29259999999999</v>
      </c>
    </row>
    <row r="1391" spans="1:18" hidden="1" x14ac:dyDescent="0.25">
      <c r="A1391" t="s">
        <v>1518</v>
      </c>
      <c r="B1391" t="s">
        <v>37</v>
      </c>
      <c r="C1391" t="s">
        <v>657</v>
      </c>
      <c r="D1391" t="s">
        <v>31</v>
      </c>
      <c r="E1391">
        <v>250.30500000000001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267.3021</v>
      </c>
      <c r="L1391">
        <v>0</v>
      </c>
      <c r="M1391">
        <v>0</v>
      </c>
      <c r="N1391">
        <v>268.62</v>
      </c>
      <c r="O1391">
        <v>252.89</v>
      </c>
      <c r="P1391">
        <v>251.3279</v>
      </c>
      <c r="R1391">
        <v>251.3279</v>
      </c>
    </row>
    <row r="1392" spans="1:18" hidden="1" x14ac:dyDescent="0.25">
      <c r="A1392" t="s">
        <v>1519</v>
      </c>
      <c r="B1392" t="s">
        <v>37</v>
      </c>
      <c r="C1392" t="s">
        <v>657</v>
      </c>
      <c r="D1392" t="s">
        <v>33</v>
      </c>
      <c r="E1392">
        <v>264.95699999999999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278.80520000000001</v>
      </c>
      <c r="L1392">
        <v>0</v>
      </c>
      <c r="M1392">
        <v>0</v>
      </c>
      <c r="N1392">
        <v>274.72500000000002</v>
      </c>
      <c r="O1392">
        <v>279.51</v>
      </c>
      <c r="P1392">
        <v>268.61930000000001</v>
      </c>
      <c r="R1392">
        <v>268.61930000000001</v>
      </c>
    </row>
    <row r="1393" spans="1:18" hidden="1" x14ac:dyDescent="0.25">
      <c r="A1393" t="s">
        <v>1520</v>
      </c>
      <c r="B1393" t="s">
        <v>37</v>
      </c>
      <c r="C1393" t="s">
        <v>657</v>
      </c>
      <c r="D1393" t="s">
        <v>35</v>
      </c>
      <c r="E1393">
        <v>527.47199999999998</v>
      </c>
      <c r="F1393">
        <v>0</v>
      </c>
      <c r="G1393">
        <v>0</v>
      </c>
      <c r="H1393">
        <v>0</v>
      </c>
      <c r="I1393">
        <v>488.4</v>
      </c>
      <c r="J1393">
        <v>0</v>
      </c>
      <c r="K1393">
        <v>0</v>
      </c>
      <c r="L1393">
        <v>0</v>
      </c>
      <c r="M1393">
        <v>0</v>
      </c>
      <c r="N1393">
        <v>488.4</v>
      </c>
      <c r="O1393">
        <v>532.4</v>
      </c>
      <c r="P1393">
        <v>481.78680000000003</v>
      </c>
      <c r="R1393">
        <v>481.78680000000003</v>
      </c>
    </row>
    <row r="1394" spans="1:18" hidden="1" x14ac:dyDescent="0.25">
      <c r="A1394" t="s">
        <v>1521</v>
      </c>
      <c r="B1394" t="s">
        <v>37</v>
      </c>
      <c r="C1394" t="s">
        <v>666</v>
      </c>
      <c r="D1394" t="s">
        <v>21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R1394">
        <v>0</v>
      </c>
    </row>
    <row r="1395" spans="1:18" hidden="1" x14ac:dyDescent="0.25">
      <c r="A1395" t="s">
        <v>1522</v>
      </c>
      <c r="B1395" t="s">
        <v>37</v>
      </c>
      <c r="C1395" t="s">
        <v>666</v>
      </c>
      <c r="D1395" t="s">
        <v>23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330.02550000000002</v>
      </c>
      <c r="R1395">
        <v>330.02550000000002</v>
      </c>
    </row>
    <row r="1396" spans="1:18" hidden="1" x14ac:dyDescent="0.25">
      <c r="A1396" t="s">
        <v>1523</v>
      </c>
      <c r="B1396" t="s">
        <v>37</v>
      </c>
      <c r="C1396" t="s">
        <v>666</v>
      </c>
      <c r="D1396" t="s">
        <v>25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367.51670000000001</v>
      </c>
      <c r="R1396">
        <v>367.51670000000001</v>
      </c>
    </row>
    <row r="1397" spans="1:18" hidden="1" x14ac:dyDescent="0.25">
      <c r="A1397" t="s">
        <v>1524</v>
      </c>
      <c r="B1397" t="s">
        <v>37</v>
      </c>
      <c r="C1397" t="s">
        <v>666</v>
      </c>
      <c r="D1397" t="s">
        <v>27</v>
      </c>
      <c r="E1397">
        <v>0</v>
      </c>
      <c r="F1397">
        <v>0</v>
      </c>
      <c r="G1397">
        <v>0</v>
      </c>
      <c r="H1397">
        <v>684.42</v>
      </c>
      <c r="I1397">
        <v>0</v>
      </c>
      <c r="J1397">
        <v>0</v>
      </c>
      <c r="K1397">
        <v>0</v>
      </c>
      <c r="L1397">
        <v>0</v>
      </c>
      <c r="M1397">
        <v>572.13750000000005</v>
      </c>
      <c r="N1397">
        <v>0</v>
      </c>
      <c r="O1397">
        <v>0</v>
      </c>
      <c r="P1397">
        <v>565.50070000000005</v>
      </c>
      <c r="R1397">
        <v>565.50070000000005</v>
      </c>
    </row>
    <row r="1398" spans="1:18" hidden="1" x14ac:dyDescent="0.25">
      <c r="A1398" t="s">
        <v>1525</v>
      </c>
      <c r="B1398" t="s">
        <v>37</v>
      </c>
      <c r="C1398" t="s">
        <v>666</v>
      </c>
      <c r="D1398" t="s">
        <v>29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229.72200000000001</v>
      </c>
      <c r="R1398">
        <v>229.72200000000001</v>
      </c>
    </row>
    <row r="1399" spans="1:18" hidden="1" x14ac:dyDescent="0.25">
      <c r="A1399" t="s">
        <v>1526</v>
      </c>
      <c r="B1399" t="s">
        <v>37</v>
      </c>
      <c r="C1399" t="s">
        <v>666</v>
      </c>
      <c r="D1399" t="s">
        <v>31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261.86709999999999</v>
      </c>
      <c r="R1399">
        <v>261.86709999999999</v>
      </c>
    </row>
    <row r="1400" spans="1:18" hidden="1" x14ac:dyDescent="0.25">
      <c r="A1400" t="s">
        <v>1527</v>
      </c>
      <c r="B1400" t="s">
        <v>37</v>
      </c>
      <c r="C1400" t="s">
        <v>666</v>
      </c>
      <c r="D1400" t="s">
        <v>33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291.39589999999998</v>
      </c>
      <c r="R1400">
        <v>291.39589999999998</v>
      </c>
    </row>
    <row r="1401" spans="1:18" hidden="1" x14ac:dyDescent="0.25">
      <c r="A1401" t="s">
        <v>1528</v>
      </c>
      <c r="B1401" t="s">
        <v>37</v>
      </c>
      <c r="C1401" t="s">
        <v>666</v>
      </c>
      <c r="D1401" t="s">
        <v>35</v>
      </c>
      <c r="E1401">
        <v>0</v>
      </c>
      <c r="F1401">
        <v>0</v>
      </c>
      <c r="G1401">
        <v>0</v>
      </c>
      <c r="H1401">
        <v>684.42</v>
      </c>
      <c r="I1401">
        <v>0</v>
      </c>
      <c r="J1401">
        <v>0</v>
      </c>
      <c r="K1401">
        <v>0</v>
      </c>
      <c r="L1401">
        <v>0</v>
      </c>
      <c r="M1401">
        <v>669.00900000000001</v>
      </c>
      <c r="N1401">
        <v>0</v>
      </c>
      <c r="O1401">
        <v>0</v>
      </c>
      <c r="P1401">
        <v>590.04459999999995</v>
      </c>
      <c r="R1401">
        <v>590.04459999999995</v>
      </c>
    </row>
    <row r="1402" spans="1:18" hidden="1" x14ac:dyDescent="0.25">
      <c r="A1402" t="s">
        <v>1529</v>
      </c>
      <c r="B1402" t="s">
        <v>37</v>
      </c>
      <c r="C1402" t="s">
        <v>675</v>
      </c>
      <c r="D1402" t="s">
        <v>21</v>
      </c>
      <c r="E1402">
        <v>118.91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118.7647</v>
      </c>
      <c r="L1402">
        <v>0</v>
      </c>
      <c r="M1402">
        <v>0</v>
      </c>
      <c r="N1402">
        <v>122.1</v>
      </c>
      <c r="O1402">
        <v>133.1</v>
      </c>
      <c r="P1402">
        <v>0</v>
      </c>
      <c r="Q1402">
        <v>0</v>
      </c>
      <c r="R1402">
        <v>0</v>
      </c>
    </row>
    <row r="1403" spans="1:18" hidden="1" x14ac:dyDescent="0.25">
      <c r="A1403" t="s">
        <v>1530</v>
      </c>
      <c r="B1403" t="s">
        <v>37</v>
      </c>
      <c r="C1403" t="s">
        <v>675</v>
      </c>
      <c r="D1403" t="s">
        <v>23</v>
      </c>
      <c r="E1403">
        <v>207.5334</v>
      </c>
      <c r="F1403">
        <v>0</v>
      </c>
      <c r="G1403">
        <v>210.83330000000001</v>
      </c>
      <c r="H1403">
        <v>0</v>
      </c>
      <c r="I1403">
        <v>0</v>
      </c>
      <c r="J1403">
        <v>0</v>
      </c>
      <c r="K1403">
        <v>232.06800000000001</v>
      </c>
      <c r="L1403">
        <v>0</v>
      </c>
      <c r="M1403">
        <v>0</v>
      </c>
      <c r="N1403">
        <v>234.08</v>
      </c>
      <c r="O1403">
        <v>230.26300000000001</v>
      </c>
      <c r="P1403">
        <v>222.6352</v>
      </c>
      <c r="Q1403">
        <v>0</v>
      </c>
      <c r="R1403">
        <v>222.64</v>
      </c>
    </row>
    <row r="1404" spans="1:18" ht="15.95" hidden="1" customHeight="1" x14ac:dyDescent="0.25">
      <c r="A1404" t="s">
        <v>1531</v>
      </c>
      <c r="B1404" t="s">
        <v>37</v>
      </c>
      <c r="C1404" t="s">
        <v>675</v>
      </c>
      <c r="D1404" t="s">
        <v>25</v>
      </c>
      <c r="E1404">
        <v>232.1</v>
      </c>
      <c r="F1404">
        <v>0</v>
      </c>
      <c r="G1404">
        <v>232.1</v>
      </c>
      <c r="H1404">
        <v>0</v>
      </c>
      <c r="I1404">
        <v>0</v>
      </c>
      <c r="J1404">
        <v>0</v>
      </c>
      <c r="K1404">
        <v>246.98159999999999</v>
      </c>
      <c r="L1404">
        <v>0</v>
      </c>
      <c r="M1404">
        <v>0</v>
      </c>
      <c r="N1404">
        <v>246.4</v>
      </c>
      <c r="O1404">
        <v>278.17899999999997</v>
      </c>
      <c r="P1404">
        <v>208.3176</v>
      </c>
      <c r="Q1404">
        <v>0</v>
      </c>
      <c r="R1404">
        <v>214.214</v>
      </c>
    </row>
    <row r="1405" spans="1:18" hidden="1" x14ac:dyDescent="0.25">
      <c r="A1405" t="s">
        <v>1532</v>
      </c>
      <c r="B1405" t="s">
        <v>37</v>
      </c>
      <c r="C1405" t="s">
        <v>675</v>
      </c>
      <c r="D1405" t="s">
        <v>27</v>
      </c>
      <c r="E1405">
        <v>277.2</v>
      </c>
      <c r="F1405">
        <v>0</v>
      </c>
      <c r="G1405">
        <v>344.3</v>
      </c>
      <c r="H1405">
        <v>0</v>
      </c>
      <c r="I1405">
        <v>317.89999999999998</v>
      </c>
      <c r="J1405">
        <v>0</v>
      </c>
      <c r="K1405">
        <v>0</v>
      </c>
      <c r="L1405">
        <v>0</v>
      </c>
      <c r="M1405">
        <v>310.67849999999999</v>
      </c>
      <c r="N1405">
        <v>320.32</v>
      </c>
      <c r="O1405">
        <v>307.46100000000001</v>
      </c>
      <c r="P1405">
        <v>299.9434</v>
      </c>
      <c r="Q1405">
        <v>0</v>
      </c>
      <c r="R1405">
        <v>299.94330000000002</v>
      </c>
    </row>
    <row r="1406" spans="1:18" hidden="1" x14ac:dyDescent="0.25">
      <c r="A1406" t="s">
        <v>1533</v>
      </c>
      <c r="B1406" t="s">
        <v>37</v>
      </c>
      <c r="C1406" t="s">
        <v>675</v>
      </c>
      <c r="D1406" t="s">
        <v>29</v>
      </c>
      <c r="E1406">
        <v>123.56659999999999</v>
      </c>
      <c r="F1406">
        <v>139.15</v>
      </c>
      <c r="G1406">
        <v>173.0667</v>
      </c>
      <c r="H1406">
        <v>0</v>
      </c>
      <c r="I1406">
        <v>0</v>
      </c>
      <c r="J1406">
        <v>0</v>
      </c>
      <c r="K1406">
        <v>131.8631</v>
      </c>
      <c r="L1406">
        <v>0</v>
      </c>
      <c r="M1406">
        <v>0</v>
      </c>
      <c r="N1406">
        <v>134.31</v>
      </c>
      <c r="O1406">
        <v>161.05099999999999</v>
      </c>
      <c r="P1406">
        <v>129.42529999999999</v>
      </c>
      <c r="Q1406">
        <v>139.15</v>
      </c>
      <c r="R1406">
        <v>129.42529999999999</v>
      </c>
    </row>
    <row r="1407" spans="1:18" hidden="1" x14ac:dyDescent="0.25">
      <c r="A1407" t="s">
        <v>1534</v>
      </c>
      <c r="B1407" t="s">
        <v>37</v>
      </c>
      <c r="C1407" t="s">
        <v>675</v>
      </c>
      <c r="D1407" t="s">
        <v>31</v>
      </c>
      <c r="E1407">
        <v>164.63339999999999</v>
      </c>
      <c r="F1407">
        <v>187.55</v>
      </c>
      <c r="G1407">
        <v>187.73330000000001</v>
      </c>
      <c r="H1407">
        <v>0</v>
      </c>
      <c r="I1407">
        <v>176.91300000000001</v>
      </c>
      <c r="J1407">
        <v>0</v>
      </c>
      <c r="K1407">
        <v>181.22499999999999</v>
      </c>
      <c r="L1407">
        <v>0</v>
      </c>
      <c r="M1407">
        <v>0</v>
      </c>
      <c r="N1407">
        <v>184.8</v>
      </c>
      <c r="O1407">
        <v>186.34</v>
      </c>
      <c r="P1407">
        <v>174.25579999999999</v>
      </c>
      <c r="Q1407">
        <v>187.55</v>
      </c>
      <c r="R1407">
        <v>174.25579999999999</v>
      </c>
    </row>
    <row r="1408" spans="1:18" hidden="1" x14ac:dyDescent="0.25">
      <c r="A1408" t="s">
        <v>1535</v>
      </c>
      <c r="B1408" t="s">
        <v>37</v>
      </c>
      <c r="C1408" t="s">
        <v>675</v>
      </c>
      <c r="D1408" t="s">
        <v>33</v>
      </c>
      <c r="E1408">
        <v>166.83340000000001</v>
      </c>
      <c r="F1408">
        <v>205.7</v>
      </c>
      <c r="G1408">
        <v>193.23330000000001</v>
      </c>
      <c r="H1408">
        <v>0</v>
      </c>
      <c r="I1408">
        <v>176.91300000000001</v>
      </c>
      <c r="J1408">
        <v>0</v>
      </c>
      <c r="K1408">
        <v>194.30019999999999</v>
      </c>
      <c r="L1408">
        <v>0</v>
      </c>
      <c r="M1408">
        <v>0</v>
      </c>
      <c r="N1408">
        <v>195.36</v>
      </c>
      <c r="O1408">
        <v>206.30500000000001</v>
      </c>
      <c r="P1408">
        <v>177.06479999999999</v>
      </c>
      <c r="Q1408">
        <v>205.7</v>
      </c>
      <c r="R1408">
        <v>177.06479999999999</v>
      </c>
    </row>
    <row r="1409" spans="1:18" hidden="1" x14ac:dyDescent="0.25">
      <c r="A1409" t="s">
        <v>1536</v>
      </c>
      <c r="B1409" t="s">
        <v>37</v>
      </c>
      <c r="C1409" t="s">
        <v>675</v>
      </c>
      <c r="D1409" t="s">
        <v>35</v>
      </c>
      <c r="E1409">
        <v>316.25</v>
      </c>
      <c r="F1409">
        <v>0</v>
      </c>
      <c r="G1409">
        <v>359.7</v>
      </c>
      <c r="H1409">
        <v>0</v>
      </c>
      <c r="I1409">
        <v>323.125</v>
      </c>
      <c r="J1409">
        <v>0</v>
      </c>
      <c r="K1409">
        <v>0</v>
      </c>
      <c r="L1409">
        <v>0</v>
      </c>
      <c r="M1409">
        <v>330.74250000000001</v>
      </c>
      <c r="N1409">
        <v>332.64</v>
      </c>
      <c r="O1409">
        <v>346.06</v>
      </c>
      <c r="P1409">
        <v>323.35640000000001</v>
      </c>
      <c r="Q1409">
        <v>0</v>
      </c>
      <c r="R1409">
        <v>323.35640000000001</v>
      </c>
    </row>
    <row r="1410" spans="1:18" hidden="1" x14ac:dyDescent="0.25">
      <c r="A1410" t="s">
        <v>1537</v>
      </c>
      <c r="B1410" t="s">
        <v>37</v>
      </c>
      <c r="C1410" t="s">
        <v>684</v>
      </c>
      <c r="D1410" t="s">
        <v>21</v>
      </c>
      <c r="E1410">
        <v>197.34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205.07</v>
      </c>
      <c r="L1410">
        <v>0</v>
      </c>
      <c r="M1410">
        <v>0</v>
      </c>
      <c r="N1410">
        <v>207.57</v>
      </c>
      <c r="O1410">
        <v>196.988</v>
      </c>
      <c r="P1410">
        <v>0</v>
      </c>
      <c r="R1410">
        <v>0</v>
      </c>
    </row>
    <row r="1411" spans="1:18" hidden="1" x14ac:dyDescent="0.25">
      <c r="A1411" t="s">
        <v>1538</v>
      </c>
      <c r="B1411" t="s">
        <v>37</v>
      </c>
      <c r="C1411" t="s">
        <v>684</v>
      </c>
      <c r="D1411" t="s">
        <v>23</v>
      </c>
      <c r="E1411">
        <v>326.37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347.80029999999999</v>
      </c>
      <c r="L1411">
        <v>0</v>
      </c>
      <c r="M1411">
        <v>0</v>
      </c>
      <c r="N1411">
        <v>341.88</v>
      </c>
      <c r="O1411">
        <v>318.10899999999998</v>
      </c>
      <c r="P1411">
        <v>316.71379999999999</v>
      </c>
      <c r="R1411">
        <v>316.71379999999999</v>
      </c>
    </row>
    <row r="1412" spans="1:18" hidden="1" x14ac:dyDescent="0.25">
      <c r="A1412" t="s">
        <v>1539</v>
      </c>
      <c r="B1412" t="s">
        <v>37</v>
      </c>
      <c r="C1412" t="s">
        <v>684</v>
      </c>
      <c r="D1412" t="s">
        <v>25</v>
      </c>
      <c r="E1412">
        <v>344.08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385.86040000000003</v>
      </c>
      <c r="L1412">
        <v>0</v>
      </c>
      <c r="M1412">
        <v>0</v>
      </c>
      <c r="N1412">
        <v>378.51</v>
      </c>
      <c r="O1412">
        <v>416.60300000000001</v>
      </c>
      <c r="P1412">
        <v>336.99639999999999</v>
      </c>
      <c r="R1412">
        <v>336.99639999999999</v>
      </c>
    </row>
    <row r="1413" spans="1:18" hidden="1" x14ac:dyDescent="0.25">
      <c r="A1413" t="s">
        <v>1540</v>
      </c>
      <c r="B1413" t="s">
        <v>37</v>
      </c>
      <c r="C1413" t="s">
        <v>684</v>
      </c>
      <c r="D1413" t="s">
        <v>27</v>
      </c>
      <c r="E1413">
        <v>479.02800000000002</v>
      </c>
      <c r="F1413">
        <v>0</v>
      </c>
      <c r="G1413">
        <v>0</v>
      </c>
      <c r="H1413">
        <v>0</v>
      </c>
      <c r="I1413">
        <v>500.61</v>
      </c>
      <c r="J1413">
        <v>0</v>
      </c>
      <c r="K1413">
        <v>0</v>
      </c>
      <c r="L1413">
        <v>0</v>
      </c>
      <c r="M1413">
        <v>478.46370000000002</v>
      </c>
      <c r="N1413">
        <v>549.45000000000005</v>
      </c>
      <c r="O1413">
        <v>493.80099999999999</v>
      </c>
      <c r="P1413">
        <v>472.22129999999999</v>
      </c>
      <c r="R1413">
        <v>472.22129999999999</v>
      </c>
    </row>
    <row r="1414" spans="1:18" hidden="1" x14ac:dyDescent="0.25">
      <c r="A1414" t="s">
        <v>1541</v>
      </c>
      <c r="B1414" t="s">
        <v>37</v>
      </c>
      <c r="C1414" t="s">
        <v>684</v>
      </c>
      <c r="D1414" t="s">
        <v>29</v>
      </c>
      <c r="E1414">
        <v>213.785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220.20009999999999</v>
      </c>
      <c r="L1414">
        <v>0</v>
      </c>
      <c r="M1414">
        <v>0</v>
      </c>
      <c r="N1414">
        <v>231.99</v>
      </c>
      <c r="O1414">
        <v>252.89</v>
      </c>
      <c r="P1414">
        <v>212.37739999999999</v>
      </c>
      <c r="R1414">
        <v>212.37739999999999</v>
      </c>
    </row>
    <row r="1415" spans="1:18" hidden="1" x14ac:dyDescent="0.25">
      <c r="A1415" t="s">
        <v>1542</v>
      </c>
      <c r="B1415" t="s">
        <v>37</v>
      </c>
      <c r="C1415" t="s">
        <v>684</v>
      </c>
      <c r="D1415" t="s">
        <v>31</v>
      </c>
      <c r="E1415">
        <v>274.505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267.3021</v>
      </c>
      <c r="L1415">
        <v>0</v>
      </c>
      <c r="M1415">
        <v>0</v>
      </c>
      <c r="N1415">
        <v>256.41000000000003</v>
      </c>
      <c r="O1415">
        <v>274.18599999999998</v>
      </c>
      <c r="P1415">
        <v>262.34930000000003</v>
      </c>
      <c r="R1415">
        <v>262.34930000000003</v>
      </c>
    </row>
    <row r="1416" spans="1:18" hidden="1" x14ac:dyDescent="0.25">
      <c r="A1416" t="s">
        <v>1543</v>
      </c>
      <c r="B1416" t="s">
        <v>37</v>
      </c>
      <c r="C1416" t="s">
        <v>684</v>
      </c>
      <c r="D1416" t="s">
        <v>33</v>
      </c>
      <c r="E1416">
        <v>260.58999999999997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280.05009999999999</v>
      </c>
      <c r="L1416">
        <v>0</v>
      </c>
      <c r="M1416">
        <v>0</v>
      </c>
      <c r="N1416">
        <v>280.83</v>
      </c>
      <c r="O1416">
        <v>300.80599999999998</v>
      </c>
      <c r="P1416">
        <v>261.48410000000001</v>
      </c>
      <c r="R1416">
        <v>261.48410000000001</v>
      </c>
    </row>
    <row r="1417" spans="1:18" hidden="1" x14ac:dyDescent="0.25">
      <c r="A1417" t="s">
        <v>1544</v>
      </c>
      <c r="B1417" t="s">
        <v>37</v>
      </c>
      <c r="C1417" t="s">
        <v>684</v>
      </c>
      <c r="D1417" t="s">
        <v>35</v>
      </c>
      <c r="E1417">
        <v>579.34799999999996</v>
      </c>
      <c r="F1417">
        <v>0</v>
      </c>
      <c r="G1417">
        <v>0</v>
      </c>
      <c r="H1417">
        <v>0</v>
      </c>
      <c r="I1417">
        <v>500.61</v>
      </c>
      <c r="J1417">
        <v>0</v>
      </c>
      <c r="K1417">
        <v>0</v>
      </c>
      <c r="L1417">
        <v>0</v>
      </c>
      <c r="M1417">
        <v>528.62369999999999</v>
      </c>
      <c r="N1417">
        <v>573.87</v>
      </c>
      <c r="O1417">
        <v>590.96400000000006</v>
      </c>
      <c r="P1417">
        <v>495.07920000000001</v>
      </c>
      <c r="R1417">
        <v>516.87900000000002</v>
      </c>
    </row>
    <row r="1418" spans="1:18" hidden="1" x14ac:dyDescent="0.25">
      <c r="A1418" t="s">
        <v>1545</v>
      </c>
      <c r="B1418" t="s">
        <v>37</v>
      </c>
      <c r="C1418" t="s">
        <v>693</v>
      </c>
      <c r="D1418" t="s">
        <v>21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R1418">
        <v>0</v>
      </c>
    </row>
    <row r="1419" spans="1:18" hidden="1" x14ac:dyDescent="0.25">
      <c r="A1419" t="s">
        <v>1546</v>
      </c>
      <c r="B1419" t="s">
        <v>37</v>
      </c>
      <c r="C1419" t="s">
        <v>693</v>
      </c>
      <c r="D1419" t="s">
        <v>23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358.34539999999998</v>
      </c>
      <c r="R1419">
        <v>358.34539999999998</v>
      </c>
    </row>
    <row r="1420" spans="1:18" hidden="1" x14ac:dyDescent="0.25">
      <c r="A1420" t="s">
        <v>1547</v>
      </c>
      <c r="B1420" t="s">
        <v>37</v>
      </c>
      <c r="C1420" t="s">
        <v>693</v>
      </c>
      <c r="D1420" t="s">
        <v>25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369.98099999999999</v>
      </c>
      <c r="R1420">
        <v>369.98099999999999</v>
      </c>
    </row>
    <row r="1421" spans="1:18" hidden="1" x14ac:dyDescent="0.25">
      <c r="A1421" t="s">
        <v>1548</v>
      </c>
      <c r="B1421" t="s">
        <v>37</v>
      </c>
      <c r="C1421" t="s">
        <v>693</v>
      </c>
      <c r="D1421" t="s">
        <v>27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505.08609999999999</v>
      </c>
      <c r="R1421">
        <v>505.08609999999999</v>
      </c>
    </row>
    <row r="1422" spans="1:18" hidden="1" x14ac:dyDescent="0.25">
      <c r="A1422" t="s">
        <v>1549</v>
      </c>
      <c r="B1422" t="s">
        <v>37</v>
      </c>
      <c r="C1422" t="s">
        <v>693</v>
      </c>
      <c r="D1422" t="s">
        <v>29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246.78720000000001</v>
      </c>
      <c r="R1422">
        <v>246.78720000000001</v>
      </c>
    </row>
    <row r="1423" spans="1:18" hidden="1" x14ac:dyDescent="0.25">
      <c r="A1423" t="s">
        <v>1550</v>
      </c>
      <c r="B1423" t="s">
        <v>37</v>
      </c>
      <c r="C1423" t="s">
        <v>693</v>
      </c>
      <c r="D1423" t="s">
        <v>31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313.16140000000001</v>
      </c>
      <c r="R1423">
        <v>313.16140000000001</v>
      </c>
    </row>
    <row r="1424" spans="1:18" hidden="1" x14ac:dyDescent="0.25">
      <c r="A1424" t="s">
        <v>1551</v>
      </c>
      <c r="B1424" t="s">
        <v>37</v>
      </c>
      <c r="C1424" t="s">
        <v>693</v>
      </c>
      <c r="D1424" t="s">
        <v>33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313.16140000000001</v>
      </c>
      <c r="R1424">
        <v>313.16140000000001</v>
      </c>
    </row>
    <row r="1425" spans="1:18" hidden="1" x14ac:dyDescent="0.25">
      <c r="A1425" t="s">
        <v>1552</v>
      </c>
      <c r="B1425" t="s">
        <v>37</v>
      </c>
      <c r="C1425" t="s">
        <v>693</v>
      </c>
      <c r="D1425" t="s">
        <v>35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529.13779999999997</v>
      </c>
      <c r="R1425">
        <v>529.13779999999997</v>
      </c>
    </row>
    <row r="1426" spans="1:18" hidden="1" x14ac:dyDescent="0.25">
      <c r="A1426" t="s">
        <v>1553</v>
      </c>
      <c r="B1426" t="s">
        <v>37</v>
      </c>
      <c r="C1426" t="s">
        <v>702</v>
      </c>
      <c r="D1426" t="s">
        <v>21</v>
      </c>
      <c r="E1426">
        <v>197.34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214.1842</v>
      </c>
      <c r="L1426">
        <v>0</v>
      </c>
      <c r="M1426">
        <v>0</v>
      </c>
      <c r="N1426">
        <v>207.57</v>
      </c>
      <c r="O1426">
        <v>196.988</v>
      </c>
      <c r="P1426">
        <v>0</v>
      </c>
      <c r="R1426">
        <v>0</v>
      </c>
    </row>
    <row r="1427" spans="1:18" hidden="1" x14ac:dyDescent="0.25">
      <c r="A1427" t="s">
        <v>1554</v>
      </c>
      <c r="B1427" t="s">
        <v>37</v>
      </c>
      <c r="C1427" t="s">
        <v>702</v>
      </c>
      <c r="D1427" t="s">
        <v>23</v>
      </c>
      <c r="E1427">
        <v>304.14999999999998</v>
      </c>
      <c r="F1427">
        <v>0</v>
      </c>
      <c r="G1427">
        <v>337.15</v>
      </c>
      <c r="H1427">
        <v>0</v>
      </c>
      <c r="I1427">
        <v>0</v>
      </c>
      <c r="J1427">
        <v>0</v>
      </c>
      <c r="K1427">
        <v>369.36900000000003</v>
      </c>
      <c r="L1427">
        <v>0</v>
      </c>
      <c r="M1427">
        <v>0</v>
      </c>
      <c r="N1427">
        <v>348.15</v>
      </c>
      <c r="O1427">
        <v>387.2</v>
      </c>
      <c r="P1427">
        <v>307.73160000000001</v>
      </c>
      <c r="R1427">
        <v>307.73160000000001</v>
      </c>
    </row>
    <row r="1428" spans="1:18" hidden="1" x14ac:dyDescent="0.25">
      <c r="A1428" t="s">
        <v>1555</v>
      </c>
      <c r="B1428" t="s">
        <v>37</v>
      </c>
      <c r="C1428" t="s">
        <v>702</v>
      </c>
      <c r="D1428" t="s">
        <v>25</v>
      </c>
      <c r="E1428">
        <v>323.18</v>
      </c>
      <c r="F1428">
        <v>0</v>
      </c>
      <c r="G1428">
        <v>355.08</v>
      </c>
      <c r="H1428">
        <v>0</v>
      </c>
      <c r="I1428">
        <v>0</v>
      </c>
      <c r="J1428">
        <v>0</v>
      </c>
      <c r="K1428">
        <v>411.74279999999999</v>
      </c>
      <c r="L1428">
        <v>0</v>
      </c>
      <c r="M1428">
        <v>0</v>
      </c>
      <c r="N1428">
        <v>389.18</v>
      </c>
      <c r="O1428">
        <v>411.4</v>
      </c>
      <c r="P1428">
        <v>302.84100000000001</v>
      </c>
      <c r="R1428">
        <v>339.00900000000001</v>
      </c>
    </row>
    <row r="1429" spans="1:18" hidden="1" x14ac:dyDescent="0.25">
      <c r="A1429" t="s">
        <v>1556</v>
      </c>
      <c r="B1429" t="s">
        <v>37</v>
      </c>
      <c r="C1429" t="s">
        <v>702</v>
      </c>
      <c r="D1429" t="s">
        <v>27</v>
      </c>
      <c r="E1429">
        <v>489.28</v>
      </c>
      <c r="F1429">
        <v>0</v>
      </c>
      <c r="G1429">
        <v>561.88</v>
      </c>
      <c r="H1429">
        <v>0</v>
      </c>
      <c r="I1429">
        <v>576.17999999999995</v>
      </c>
      <c r="J1429">
        <v>0</v>
      </c>
      <c r="K1429">
        <v>0</v>
      </c>
      <c r="L1429">
        <v>0</v>
      </c>
      <c r="M1429">
        <v>533.577</v>
      </c>
      <c r="N1429">
        <v>554.4</v>
      </c>
      <c r="O1429">
        <v>493.80099999999999</v>
      </c>
      <c r="P1429">
        <v>492.56200000000001</v>
      </c>
      <c r="R1429">
        <v>492.56200000000001</v>
      </c>
    </row>
    <row r="1430" spans="1:18" hidden="1" x14ac:dyDescent="0.25">
      <c r="A1430" t="s">
        <v>1557</v>
      </c>
      <c r="B1430" t="s">
        <v>37</v>
      </c>
      <c r="C1430" t="s">
        <v>702</v>
      </c>
      <c r="D1430" t="s">
        <v>29</v>
      </c>
      <c r="E1430">
        <v>218.02</v>
      </c>
      <c r="F1430">
        <v>0</v>
      </c>
      <c r="G1430">
        <v>297.22000000000003</v>
      </c>
      <c r="H1430">
        <v>0</v>
      </c>
      <c r="I1430">
        <v>0</v>
      </c>
      <c r="J1430">
        <v>0</v>
      </c>
      <c r="K1430">
        <v>234.31800000000001</v>
      </c>
      <c r="L1430">
        <v>0</v>
      </c>
      <c r="M1430">
        <v>0</v>
      </c>
      <c r="N1430">
        <v>241.12</v>
      </c>
      <c r="O1430">
        <v>252.89</v>
      </c>
      <c r="P1430">
        <v>214.40889999999999</v>
      </c>
      <c r="R1430">
        <v>214.40889999999999</v>
      </c>
    </row>
    <row r="1431" spans="1:18" hidden="1" x14ac:dyDescent="0.25">
      <c r="A1431" t="s">
        <v>1558</v>
      </c>
      <c r="B1431" t="s">
        <v>37</v>
      </c>
      <c r="C1431" t="s">
        <v>702</v>
      </c>
      <c r="D1431" t="s">
        <v>31</v>
      </c>
      <c r="E1431">
        <v>276.64999999999998</v>
      </c>
      <c r="F1431">
        <v>0</v>
      </c>
      <c r="G1431">
        <v>320.64999999999998</v>
      </c>
      <c r="H1431">
        <v>0</v>
      </c>
      <c r="I1431">
        <v>297.73700000000002</v>
      </c>
      <c r="J1431">
        <v>0</v>
      </c>
      <c r="K1431">
        <v>257.77499999999998</v>
      </c>
      <c r="L1431">
        <v>0</v>
      </c>
      <c r="M1431">
        <v>0</v>
      </c>
      <c r="N1431">
        <v>271.14999999999998</v>
      </c>
      <c r="O1431">
        <v>235.95</v>
      </c>
      <c r="P1431">
        <v>239.744</v>
      </c>
      <c r="R1431">
        <v>239.744</v>
      </c>
    </row>
    <row r="1432" spans="1:18" hidden="1" x14ac:dyDescent="0.25">
      <c r="A1432" t="s">
        <v>1559</v>
      </c>
      <c r="B1432" t="s">
        <v>37</v>
      </c>
      <c r="C1432" t="s">
        <v>702</v>
      </c>
      <c r="D1432" t="s">
        <v>33</v>
      </c>
      <c r="E1432">
        <v>282.14999999999998</v>
      </c>
      <c r="F1432">
        <v>0</v>
      </c>
      <c r="G1432">
        <v>328.35</v>
      </c>
      <c r="H1432">
        <v>0</v>
      </c>
      <c r="I1432">
        <v>297.73700000000002</v>
      </c>
      <c r="J1432">
        <v>0</v>
      </c>
      <c r="K1432">
        <v>265.125</v>
      </c>
      <c r="L1432">
        <v>0</v>
      </c>
      <c r="M1432">
        <v>0</v>
      </c>
      <c r="N1432">
        <v>282.14999999999998</v>
      </c>
      <c r="O1432">
        <v>248.05</v>
      </c>
      <c r="P1432">
        <v>251.05950000000001</v>
      </c>
      <c r="R1432">
        <v>251.05950000000001</v>
      </c>
    </row>
    <row r="1433" spans="1:18" hidden="1" x14ac:dyDescent="0.25">
      <c r="A1433" t="s">
        <v>1560</v>
      </c>
      <c r="B1433" t="s">
        <v>37</v>
      </c>
      <c r="C1433" t="s">
        <v>702</v>
      </c>
      <c r="D1433" t="s">
        <v>35</v>
      </c>
      <c r="E1433">
        <v>590.42499999999995</v>
      </c>
      <c r="F1433">
        <v>0</v>
      </c>
      <c r="G1433">
        <v>563.82860000000005</v>
      </c>
      <c r="H1433">
        <v>0</v>
      </c>
      <c r="I1433">
        <v>589.6</v>
      </c>
      <c r="J1433">
        <v>0</v>
      </c>
      <c r="K1433">
        <v>0</v>
      </c>
      <c r="L1433">
        <v>0</v>
      </c>
      <c r="M1433">
        <v>585.30449999999996</v>
      </c>
      <c r="N1433">
        <v>579.04</v>
      </c>
      <c r="O1433">
        <v>616.25300000000004</v>
      </c>
      <c r="P1433">
        <v>566.10580000000004</v>
      </c>
      <c r="R1433">
        <v>566.10580000000004</v>
      </c>
    </row>
    <row r="1434" spans="1:18" hidden="1" x14ac:dyDescent="0.25">
      <c r="A1434" t="s">
        <v>1561</v>
      </c>
      <c r="B1434" t="s">
        <v>37</v>
      </c>
      <c r="C1434" t="s">
        <v>711</v>
      </c>
      <c r="D1434" t="s">
        <v>21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R1434">
        <v>0</v>
      </c>
    </row>
    <row r="1435" spans="1:18" hidden="1" x14ac:dyDescent="0.25">
      <c r="A1435" t="s">
        <v>1562</v>
      </c>
      <c r="B1435" t="s">
        <v>37</v>
      </c>
      <c r="C1435" t="s">
        <v>711</v>
      </c>
      <c r="D1435" t="s">
        <v>23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302.73540000000003</v>
      </c>
      <c r="R1435">
        <v>302.73540000000003</v>
      </c>
    </row>
    <row r="1436" spans="1:18" hidden="1" x14ac:dyDescent="0.25">
      <c r="A1436" t="s">
        <v>1563</v>
      </c>
      <c r="B1436" t="s">
        <v>37</v>
      </c>
      <c r="C1436" t="s">
        <v>711</v>
      </c>
      <c r="D1436" t="s">
        <v>25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321.1934</v>
      </c>
      <c r="R1436">
        <v>321.1934</v>
      </c>
    </row>
    <row r="1437" spans="1:18" hidden="1" x14ac:dyDescent="0.25">
      <c r="A1437" t="s">
        <v>1564</v>
      </c>
      <c r="B1437" t="s">
        <v>37</v>
      </c>
      <c r="C1437" t="s">
        <v>711</v>
      </c>
      <c r="D1437" t="s">
        <v>27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448.45549999999997</v>
      </c>
      <c r="R1437">
        <v>448.45549999999997</v>
      </c>
    </row>
    <row r="1438" spans="1:18" hidden="1" x14ac:dyDescent="0.25">
      <c r="A1438" t="s">
        <v>1565</v>
      </c>
      <c r="B1438" t="s">
        <v>37</v>
      </c>
      <c r="C1438" t="s">
        <v>711</v>
      </c>
      <c r="D1438" t="s">
        <v>29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205.07919999999999</v>
      </c>
      <c r="R1438">
        <v>205.07919999999999</v>
      </c>
    </row>
    <row r="1439" spans="1:18" hidden="1" x14ac:dyDescent="0.25">
      <c r="A1439" t="s">
        <v>1566</v>
      </c>
      <c r="B1439" t="s">
        <v>37</v>
      </c>
      <c r="C1439" t="s">
        <v>711</v>
      </c>
      <c r="D1439" t="s">
        <v>31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262.08600000000001</v>
      </c>
      <c r="R1439">
        <v>262.08600000000001</v>
      </c>
    </row>
    <row r="1440" spans="1:18" hidden="1" x14ac:dyDescent="0.25">
      <c r="A1440" t="s">
        <v>1567</v>
      </c>
      <c r="B1440" t="s">
        <v>37</v>
      </c>
      <c r="C1440" t="s">
        <v>711</v>
      </c>
      <c r="D1440" t="s">
        <v>33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263.666</v>
      </c>
      <c r="R1440">
        <v>263.666</v>
      </c>
    </row>
    <row r="1441" spans="1:18" hidden="1" x14ac:dyDescent="0.25">
      <c r="A1441" t="s">
        <v>1568</v>
      </c>
      <c r="B1441" t="s">
        <v>37</v>
      </c>
      <c r="C1441" t="s">
        <v>711</v>
      </c>
      <c r="D1441" t="s">
        <v>35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468.49439999999998</v>
      </c>
      <c r="R1441">
        <v>468.49439999999998</v>
      </c>
    </row>
    <row r="1442" spans="1:18" hidden="1" x14ac:dyDescent="0.25">
      <c r="A1442" t="s">
        <v>1569</v>
      </c>
      <c r="B1442" t="s">
        <v>37</v>
      </c>
      <c r="C1442" t="s">
        <v>720</v>
      </c>
      <c r="D1442" t="s">
        <v>21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R1442">
        <v>0</v>
      </c>
    </row>
    <row r="1443" spans="1:18" hidden="1" x14ac:dyDescent="0.25">
      <c r="A1443" t="s">
        <v>1570</v>
      </c>
      <c r="B1443" t="s">
        <v>37</v>
      </c>
      <c r="C1443" t="s">
        <v>720</v>
      </c>
      <c r="D1443" t="s">
        <v>23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337.69569999999999</v>
      </c>
      <c r="R1443">
        <v>337.69569999999999</v>
      </c>
    </row>
    <row r="1444" spans="1:18" hidden="1" x14ac:dyDescent="0.25">
      <c r="A1444" t="s">
        <v>1571</v>
      </c>
      <c r="B1444" t="s">
        <v>37</v>
      </c>
      <c r="C1444" t="s">
        <v>720</v>
      </c>
      <c r="D1444" t="s">
        <v>25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373.33620000000002</v>
      </c>
      <c r="R1444">
        <v>373.33620000000002</v>
      </c>
    </row>
    <row r="1445" spans="1:18" hidden="1" x14ac:dyDescent="0.25">
      <c r="A1445" t="s">
        <v>1572</v>
      </c>
      <c r="B1445" t="s">
        <v>37</v>
      </c>
      <c r="C1445" t="s">
        <v>720</v>
      </c>
      <c r="D1445" t="s">
        <v>27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472.75349999999997</v>
      </c>
      <c r="R1445">
        <v>472.75349999999997</v>
      </c>
    </row>
    <row r="1446" spans="1:18" hidden="1" x14ac:dyDescent="0.25">
      <c r="A1446" t="s">
        <v>1573</v>
      </c>
      <c r="B1446" t="s">
        <v>37</v>
      </c>
      <c r="C1446" t="s">
        <v>720</v>
      </c>
      <c r="D1446" t="s">
        <v>29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251.62569999999999</v>
      </c>
      <c r="R1446">
        <v>251.62569999999999</v>
      </c>
    </row>
    <row r="1447" spans="1:18" hidden="1" x14ac:dyDescent="0.25">
      <c r="A1447" t="s">
        <v>1574</v>
      </c>
      <c r="B1447" t="s">
        <v>37</v>
      </c>
      <c r="C1447" t="s">
        <v>720</v>
      </c>
      <c r="D1447" t="s">
        <v>31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266.98750000000001</v>
      </c>
      <c r="R1447">
        <v>266.98750000000001</v>
      </c>
    </row>
    <row r="1448" spans="1:18" hidden="1" x14ac:dyDescent="0.25">
      <c r="A1448" t="s">
        <v>1575</v>
      </c>
      <c r="B1448" t="s">
        <v>37</v>
      </c>
      <c r="C1448" t="s">
        <v>720</v>
      </c>
      <c r="D1448" t="s">
        <v>33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299.09100000000001</v>
      </c>
      <c r="R1448">
        <v>299.09100000000001</v>
      </c>
    </row>
    <row r="1449" spans="1:18" hidden="1" x14ac:dyDescent="0.25">
      <c r="A1449" t="s">
        <v>1576</v>
      </c>
      <c r="B1449" t="s">
        <v>37</v>
      </c>
      <c r="C1449" t="s">
        <v>720</v>
      </c>
      <c r="D1449" t="s">
        <v>35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547.28150000000005</v>
      </c>
      <c r="R1449">
        <v>547.28139999999996</v>
      </c>
    </row>
    <row r="1450" spans="1:18" hidden="1" x14ac:dyDescent="0.25">
      <c r="A1450" t="s">
        <v>1577</v>
      </c>
      <c r="B1450" t="s">
        <v>37</v>
      </c>
      <c r="C1450" t="s">
        <v>729</v>
      </c>
      <c r="D1450" t="s">
        <v>21</v>
      </c>
      <c r="E1450">
        <v>159.94</v>
      </c>
      <c r="F1450">
        <v>0</v>
      </c>
      <c r="G1450">
        <v>210.54</v>
      </c>
      <c r="H1450">
        <v>0</v>
      </c>
      <c r="I1450">
        <v>0</v>
      </c>
      <c r="J1450">
        <v>0</v>
      </c>
      <c r="K1450">
        <v>161.74199999999999</v>
      </c>
      <c r="L1450">
        <v>0</v>
      </c>
      <c r="M1450">
        <v>0</v>
      </c>
      <c r="N1450">
        <v>166.54</v>
      </c>
      <c r="O1450">
        <v>174.36099999999999</v>
      </c>
      <c r="P1450">
        <v>0</v>
      </c>
      <c r="Q1450">
        <v>0</v>
      </c>
      <c r="R1450">
        <v>0</v>
      </c>
    </row>
    <row r="1451" spans="1:18" hidden="1" x14ac:dyDescent="0.25">
      <c r="A1451" t="s">
        <v>1578</v>
      </c>
      <c r="B1451" t="s">
        <v>37</v>
      </c>
      <c r="C1451" t="s">
        <v>729</v>
      </c>
      <c r="D1451" t="s">
        <v>23</v>
      </c>
      <c r="E1451">
        <v>267.85000000000002</v>
      </c>
      <c r="F1451">
        <v>0</v>
      </c>
      <c r="G1451">
        <v>265.64999999999998</v>
      </c>
      <c r="H1451">
        <v>0</v>
      </c>
      <c r="I1451">
        <v>0</v>
      </c>
      <c r="J1451">
        <v>0</v>
      </c>
      <c r="K1451">
        <v>294.81900000000002</v>
      </c>
      <c r="L1451">
        <v>0</v>
      </c>
      <c r="M1451">
        <v>0</v>
      </c>
      <c r="N1451">
        <v>314.16000000000003</v>
      </c>
      <c r="O1451">
        <v>294.15100000000001</v>
      </c>
      <c r="P1451">
        <v>277.58539999999999</v>
      </c>
      <c r="Q1451">
        <v>0</v>
      </c>
      <c r="R1451">
        <v>277.58539999999999</v>
      </c>
    </row>
    <row r="1452" spans="1:18" hidden="1" x14ac:dyDescent="0.25">
      <c r="A1452" t="s">
        <v>1579</v>
      </c>
      <c r="B1452" t="s">
        <v>37</v>
      </c>
      <c r="C1452" t="s">
        <v>729</v>
      </c>
      <c r="D1452" t="s">
        <v>25</v>
      </c>
      <c r="E1452">
        <v>304.26</v>
      </c>
      <c r="F1452">
        <v>0</v>
      </c>
      <c r="G1452">
        <v>294.36</v>
      </c>
      <c r="H1452">
        <v>0</v>
      </c>
      <c r="I1452">
        <v>0</v>
      </c>
      <c r="J1452">
        <v>0</v>
      </c>
      <c r="K1452">
        <v>322.28280000000001</v>
      </c>
      <c r="L1452">
        <v>0</v>
      </c>
      <c r="M1452">
        <v>0</v>
      </c>
      <c r="N1452">
        <v>332.64</v>
      </c>
      <c r="O1452">
        <v>374.01100000000002</v>
      </c>
      <c r="P1452">
        <v>256.03840000000002</v>
      </c>
      <c r="Q1452">
        <v>0</v>
      </c>
      <c r="R1452">
        <v>256.03840000000002</v>
      </c>
    </row>
    <row r="1453" spans="1:18" hidden="1" x14ac:dyDescent="0.25">
      <c r="A1453" t="s">
        <v>1580</v>
      </c>
      <c r="B1453" t="s">
        <v>37</v>
      </c>
      <c r="C1453" t="s">
        <v>729</v>
      </c>
      <c r="D1453" t="s">
        <v>27</v>
      </c>
      <c r="E1453">
        <v>392.26</v>
      </c>
      <c r="F1453">
        <v>0</v>
      </c>
      <c r="G1453">
        <v>412.06</v>
      </c>
      <c r="H1453">
        <v>0</v>
      </c>
      <c r="I1453">
        <v>445.06</v>
      </c>
      <c r="J1453">
        <v>0</v>
      </c>
      <c r="K1453">
        <v>0</v>
      </c>
      <c r="L1453">
        <v>0</v>
      </c>
      <c r="M1453">
        <v>0</v>
      </c>
      <c r="N1453">
        <v>449.68</v>
      </c>
      <c r="O1453">
        <v>428.58199999999999</v>
      </c>
      <c r="P1453">
        <v>418.08319999999998</v>
      </c>
      <c r="Q1453">
        <v>0</v>
      </c>
      <c r="R1453">
        <v>418.0831</v>
      </c>
    </row>
    <row r="1454" spans="1:18" hidden="1" x14ac:dyDescent="0.25">
      <c r="A1454" t="s">
        <v>1581</v>
      </c>
      <c r="B1454" t="s">
        <v>37</v>
      </c>
      <c r="C1454" t="s">
        <v>729</v>
      </c>
      <c r="D1454" t="s">
        <v>29</v>
      </c>
      <c r="E1454">
        <v>183.04</v>
      </c>
      <c r="F1454">
        <v>181.83</v>
      </c>
      <c r="G1454">
        <v>217.14</v>
      </c>
      <c r="H1454">
        <v>0</v>
      </c>
      <c r="I1454">
        <v>0</v>
      </c>
      <c r="J1454">
        <v>0</v>
      </c>
      <c r="K1454">
        <v>173.62799999999999</v>
      </c>
      <c r="L1454">
        <v>0</v>
      </c>
      <c r="M1454">
        <v>0</v>
      </c>
      <c r="N1454">
        <v>177.54</v>
      </c>
      <c r="O1454">
        <v>218.28399999999999</v>
      </c>
      <c r="P1454">
        <v>167.3972</v>
      </c>
      <c r="Q1454">
        <v>181.83</v>
      </c>
      <c r="R1454">
        <v>167.3972</v>
      </c>
    </row>
    <row r="1455" spans="1:18" hidden="1" x14ac:dyDescent="0.25">
      <c r="A1455" t="s">
        <v>1582</v>
      </c>
      <c r="B1455" t="s">
        <v>37</v>
      </c>
      <c r="C1455" t="s">
        <v>729</v>
      </c>
      <c r="D1455" t="s">
        <v>31</v>
      </c>
      <c r="E1455">
        <v>228.25</v>
      </c>
      <c r="F1455">
        <v>233.244</v>
      </c>
      <c r="G1455">
        <v>238.15</v>
      </c>
      <c r="H1455">
        <v>0</v>
      </c>
      <c r="I1455">
        <v>236.137</v>
      </c>
      <c r="J1455">
        <v>0</v>
      </c>
      <c r="K1455">
        <v>224.50049999999999</v>
      </c>
      <c r="L1455">
        <v>0</v>
      </c>
      <c r="M1455">
        <v>0</v>
      </c>
      <c r="N1455">
        <v>234.08</v>
      </c>
      <c r="O1455">
        <v>232.92500000000001</v>
      </c>
      <c r="P1455">
        <v>226.941</v>
      </c>
      <c r="Q1455">
        <v>233.244</v>
      </c>
      <c r="R1455">
        <v>226.941</v>
      </c>
    </row>
    <row r="1456" spans="1:18" hidden="1" x14ac:dyDescent="0.25">
      <c r="A1456" t="s">
        <v>1583</v>
      </c>
      <c r="B1456" t="s">
        <v>37</v>
      </c>
      <c r="C1456" t="s">
        <v>729</v>
      </c>
      <c r="D1456" t="s">
        <v>33</v>
      </c>
      <c r="E1456">
        <v>231.55</v>
      </c>
      <c r="F1456">
        <v>238.26</v>
      </c>
      <c r="G1456">
        <v>246.95</v>
      </c>
      <c r="H1456">
        <v>0</v>
      </c>
      <c r="I1456">
        <v>236.137</v>
      </c>
      <c r="J1456">
        <v>0</v>
      </c>
      <c r="K1456">
        <v>239.84100000000001</v>
      </c>
      <c r="L1456">
        <v>0</v>
      </c>
      <c r="M1456">
        <v>0</v>
      </c>
      <c r="N1456">
        <v>246.4</v>
      </c>
      <c r="O1456">
        <v>259.94099999999997</v>
      </c>
      <c r="P1456">
        <v>238.26</v>
      </c>
      <c r="Q1456">
        <v>238.26</v>
      </c>
      <c r="R1456">
        <v>238.26</v>
      </c>
    </row>
    <row r="1457" spans="1:18" hidden="1" x14ac:dyDescent="0.25">
      <c r="A1457" t="s">
        <v>1584</v>
      </c>
      <c r="B1457" t="s">
        <v>37</v>
      </c>
      <c r="C1457" t="s">
        <v>729</v>
      </c>
      <c r="D1457" t="s">
        <v>35</v>
      </c>
      <c r="E1457">
        <v>459.52499999999998</v>
      </c>
      <c r="F1457">
        <v>0</v>
      </c>
      <c r="G1457">
        <v>441.25709999999998</v>
      </c>
      <c r="H1457">
        <v>0</v>
      </c>
      <c r="I1457">
        <v>453.2</v>
      </c>
      <c r="J1457">
        <v>0</v>
      </c>
      <c r="K1457">
        <v>0</v>
      </c>
      <c r="L1457">
        <v>0</v>
      </c>
      <c r="M1457">
        <v>0</v>
      </c>
      <c r="N1457">
        <v>468.16</v>
      </c>
      <c r="O1457">
        <v>468.27</v>
      </c>
      <c r="P1457">
        <v>443.11340000000001</v>
      </c>
      <c r="Q1457">
        <v>0</v>
      </c>
      <c r="R1457">
        <v>443.11340000000001</v>
      </c>
    </row>
    <row r="1458" spans="1:18" hidden="1" x14ac:dyDescent="0.25">
      <c r="A1458" t="s">
        <v>1585</v>
      </c>
      <c r="B1458" t="s">
        <v>37</v>
      </c>
      <c r="C1458" t="s">
        <v>738</v>
      </c>
      <c r="D1458" t="s">
        <v>21</v>
      </c>
      <c r="E1458">
        <v>160.38</v>
      </c>
      <c r="F1458">
        <v>0</v>
      </c>
      <c r="G1458">
        <v>192.28</v>
      </c>
      <c r="H1458">
        <v>0</v>
      </c>
      <c r="I1458">
        <v>0</v>
      </c>
      <c r="J1458">
        <v>0</v>
      </c>
      <c r="K1458">
        <v>151.6515</v>
      </c>
      <c r="L1458">
        <v>0</v>
      </c>
      <c r="M1458">
        <v>0</v>
      </c>
      <c r="N1458">
        <v>159.28</v>
      </c>
      <c r="O1458">
        <v>181.01599999999999</v>
      </c>
      <c r="P1458">
        <v>0</v>
      </c>
      <c r="Q1458">
        <v>0</v>
      </c>
      <c r="R1458">
        <v>0</v>
      </c>
    </row>
    <row r="1459" spans="1:18" hidden="1" x14ac:dyDescent="0.25">
      <c r="A1459" t="s">
        <v>1586</v>
      </c>
      <c r="B1459" t="s">
        <v>37</v>
      </c>
      <c r="C1459" t="s">
        <v>738</v>
      </c>
      <c r="D1459" t="s">
        <v>23</v>
      </c>
      <c r="E1459">
        <v>276.64999999999998</v>
      </c>
      <c r="F1459">
        <v>0</v>
      </c>
      <c r="G1459">
        <v>253.55</v>
      </c>
      <c r="H1459">
        <v>0</v>
      </c>
      <c r="I1459">
        <v>0</v>
      </c>
      <c r="J1459">
        <v>0</v>
      </c>
      <c r="K1459">
        <v>303.62959999999998</v>
      </c>
      <c r="L1459">
        <v>0</v>
      </c>
      <c r="M1459">
        <v>0</v>
      </c>
      <c r="N1459">
        <v>314.16000000000003</v>
      </c>
      <c r="O1459">
        <v>291.48899999999998</v>
      </c>
      <c r="P1459">
        <v>269.9864</v>
      </c>
      <c r="Q1459">
        <v>0</v>
      </c>
      <c r="R1459">
        <v>269.9864</v>
      </c>
    </row>
    <row r="1460" spans="1:18" hidden="1" x14ac:dyDescent="0.25">
      <c r="A1460" t="s">
        <v>1587</v>
      </c>
      <c r="B1460" t="s">
        <v>37</v>
      </c>
      <c r="C1460" t="s">
        <v>738</v>
      </c>
      <c r="D1460" t="s">
        <v>25</v>
      </c>
      <c r="E1460">
        <v>299.42</v>
      </c>
      <c r="F1460">
        <v>0</v>
      </c>
      <c r="G1460">
        <v>281.82</v>
      </c>
      <c r="H1460">
        <v>0</v>
      </c>
      <c r="I1460">
        <v>0</v>
      </c>
      <c r="J1460">
        <v>0</v>
      </c>
      <c r="K1460">
        <v>332.85559999999998</v>
      </c>
      <c r="L1460">
        <v>0</v>
      </c>
      <c r="M1460">
        <v>0</v>
      </c>
      <c r="N1460">
        <v>332.64</v>
      </c>
      <c r="O1460">
        <v>401.96199999999999</v>
      </c>
      <c r="P1460">
        <v>254.34549999999999</v>
      </c>
      <c r="Q1460">
        <v>0</v>
      </c>
      <c r="R1460">
        <v>254.34549999999999</v>
      </c>
    </row>
    <row r="1461" spans="1:18" hidden="1" x14ac:dyDescent="0.25">
      <c r="A1461" t="s">
        <v>1588</v>
      </c>
      <c r="B1461" t="s">
        <v>37</v>
      </c>
      <c r="C1461" t="s">
        <v>738</v>
      </c>
      <c r="D1461" t="s">
        <v>27</v>
      </c>
      <c r="E1461">
        <v>399.52</v>
      </c>
      <c r="F1461">
        <v>0</v>
      </c>
      <c r="G1461">
        <v>399.52</v>
      </c>
      <c r="H1461">
        <v>423.5</v>
      </c>
      <c r="I1461">
        <v>414.92</v>
      </c>
      <c r="J1461">
        <v>0</v>
      </c>
      <c r="K1461">
        <v>0</v>
      </c>
      <c r="L1461">
        <v>0</v>
      </c>
      <c r="M1461">
        <v>0</v>
      </c>
      <c r="N1461">
        <v>412.72</v>
      </c>
      <c r="O1461">
        <v>440.56099999999998</v>
      </c>
      <c r="P1461">
        <v>403.24880000000002</v>
      </c>
      <c r="Q1461">
        <v>0</v>
      </c>
      <c r="R1461">
        <v>403.24880000000002</v>
      </c>
    </row>
    <row r="1462" spans="1:18" hidden="1" x14ac:dyDescent="0.25">
      <c r="A1462" t="s">
        <v>1589</v>
      </c>
      <c r="B1462" t="s">
        <v>37</v>
      </c>
      <c r="C1462" t="s">
        <v>738</v>
      </c>
      <c r="D1462" t="s">
        <v>29</v>
      </c>
      <c r="E1462">
        <v>165.88</v>
      </c>
      <c r="F1462">
        <v>170.77500000000001</v>
      </c>
      <c r="G1462">
        <v>199.98</v>
      </c>
      <c r="H1462">
        <v>0</v>
      </c>
      <c r="I1462">
        <v>0</v>
      </c>
      <c r="J1462">
        <v>0</v>
      </c>
      <c r="K1462">
        <v>157.48429999999999</v>
      </c>
      <c r="L1462">
        <v>0</v>
      </c>
      <c r="M1462">
        <v>0</v>
      </c>
      <c r="N1462">
        <v>164.78</v>
      </c>
      <c r="O1462">
        <v>210.298</v>
      </c>
      <c r="P1462">
        <v>166.60720000000001</v>
      </c>
      <c r="Q1462">
        <v>170.77500000000001</v>
      </c>
      <c r="R1462">
        <v>166.60720000000001</v>
      </c>
    </row>
    <row r="1463" spans="1:18" hidden="1" x14ac:dyDescent="0.25">
      <c r="A1463" t="s">
        <v>1590</v>
      </c>
      <c r="B1463" t="s">
        <v>37</v>
      </c>
      <c r="C1463" t="s">
        <v>738</v>
      </c>
      <c r="D1463" t="s">
        <v>31</v>
      </c>
      <c r="E1463">
        <v>218.35</v>
      </c>
      <c r="F1463">
        <v>234.02500000000001</v>
      </c>
      <c r="G1463">
        <v>227.15</v>
      </c>
      <c r="H1463">
        <v>0</v>
      </c>
      <c r="I1463">
        <v>239.43700000000001</v>
      </c>
      <c r="J1463">
        <v>0</v>
      </c>
      <c r="K1463">
        <v>241.0326</v>
      </c>
      <c r="L1463">
        <v>0</v>
      </c>
      <c r="M1463">
        <v>0</v>
      </c>
      <c r="N1463">
        <v>234.08</v>
      </c>
      <c r="O1463">
        <v>240.911</v>
      </c>
      <c r="P1463">
        <v>227.22479999999999</v>
      </c>
      <c r="Q1463">
        <v>234.02500000000001</v>
      </c>
      <c r="R1463">
        <v>227.22479999999999</v>
      </c>
    </row>
    <row r="1464" spans="1:18" hidden="1" x14ac:dyDescent="0.25">
      <c r="A1464" t="s">
        <v>1591</v>
      </c>
      <c r="B1464" t="s">
        <v>37</v>
      </c>
      <c r="C1464" t="s">
        <v>738</v>
      </c>
      <c r="D1464" t="s">
        <v>33</v>
      </c>
      <c r="E1464">
        <v>246.95</v>
      </c>
      <c r="F1464">
        <v>253</v>
      </c>
      <c r="G1464">
        <v>235.95</v>
      </c>
      <c r="H1464">
        <v>0</v>
      </c>
      <c r="I1464">
        <v>239.43700000000001</v>
      </c>
      <c r="J1464">
        <v>0</v>
      </c>
      <c r="K1464">
        <v>260.04730000000001</v>
      </c>
      <c r="L1464">
        <v>0</v>
      </c>
      <c r="M1464">
        <v>0</v>
      </c>
      <c r="N1464">
        <v>256.41000000000003</v>
      </c>
      <c r="O1464">
        <v>271.524</v>
      </c>
      <c r="P1464">
        <v>244.83099999999999</v>
      </c>
      <c r="Q1464">
        <v>253</v>
      </c>
      <c r="R1464">
        <v>244.83099999999999</v>
      </c>
    </row>
    <row r="1465" spans="1:18" hidden="1" x14ac:dyDescent="0.25">
      <c r="A1465" t="s">
        <v>1592</v>
      </c>
      <c r="B1465" t="s">
        <v>37</v>
      </c>
      <c r="C1465" t="s">
        <v>738</v>
      </c>
      <c r="D1465" t="s">
        <v>35</v>
      </c>
      <c r="E1465">
        <v>426.52499999999998</v>
      </c>
      <c r="F1465">
        <v>0</v>
      </c>
      <c r="G1465">
        <v>425.38569999999999</v>
      </c>
      <c r="H1465">
        <v>423.5</v>
      </c>
      <c r="I1465">
        <v>422.4</v>
      </c>
      <c r="J1465">
        <v>0</v>
      </c>
      <c r="K1465">
        <v>0</v>
      </c>
      <c r="L1465">
        <v>0</v>
      </c>
      <c r="M1465">
        <v>0</v>
      </c>
      <c r="N1465">
        <v>431.2</v>
      </c>
      <c r="O1465">
        <v>460.52600000000001</v>
      </c>
      <c r="P1465">
        <v>421.06810000000002</v>
      </c>
      <c r="Q1465">
        <v>0</v>
      </c>
      <c r="R1465">
        <v>421.06810000000002</v>
      </c>
    </row>
    <row r="1466" spans="1:18" hidden="1" x14ac:dyDescent="0.25">
      <c r="A1466" t="s">
        <v>1593</v>
      </c>
      <c r="B1466" t="s">
        <v>37</v>
      </c>
      <c r="C1466" t="s">
        <v>747</v>
      </c>
      <c r="D1466" t="s">
        <v>21</v>
      </c>
      <c r="E1466">
        <v>191.6934</v>
      </c>
      <c r="F1466">
        <v>0</v>
      </c>
      <c r="G1466">
        <v>265.39330000000001</v>
      </c>
      <c r="H1466">
        <v>0</v>
      </c>
      <c r="I1466">
        <v>0</v>
      </c>
      <c r="J1466">
        <v>0</v>
      </c>
      <c r="K1466">
        <v>207.46600000000001</v>
      </c>
      <c r="L1466">
        <v>0</v>
      </c>
      <c r="M1466">
        <v>0</v>
      </c>
      <c r="N1466">
        <v>200.49700000000001</v>
      </c>
      <c r="O1466">
        <v>179.685</v>
      </c>
      <c r="P1466">
        <v>0</v>
      </c>
      <c r="Q1466">
        <v>0</v>
      </c>
      <c r="R1466">
        <v>0</v>
      </c>
    </row>
    <row r="1467" spans="1:18" hidden="1" x14ac:dyDescent="0.25">
      <c r="A1467" t="s">
        <v>1594</v>
      </c>
      <c r="B1467" t="s">
        <v>37</v>
      </c>
      <c r="C1467" t="s">
        <v>747</v>
      </c>
      <c r="D1467" t="s">
        <v>23</v>
      </c>
      <c r="E1467">
        <v>291.81900000000002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331.41149999999999</v>
      </c>
      <c r="L1467">
        <v>0</v>
      </c>
      <c r="M1467">
        <v>0</v>
      </c>
      <c r="N1467">
        <v>323.565</v>
      </c>
      <c r="O1467">
        <v>319.44</v>
      </c>
      <c r="P1467">
        <v>302.73540000000003</v>
      </c>
      <c r="Q1467">
        <v>0</v>
      </c>
      <c r="R1467">
        <v>302.73540000000003</v>
      </c>
    </row>
    <row r="1468" spans="1:18" hidden="1" x14ac:dyDescent="0.25">
      <c r="A1468" t="s">
        <v>1595</v>
      </c>
      <c r="B1468" t="s">
        <v>37</v>
      </c>
      <c r="C1468" t="s">
        <v>747</v>
      </c>
      <c r="D1468" t="s">
        <v>25</v>
      </c>
      <c r="E1468">
        <v>334.55399999999997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366.19380000000001</v>
      </c>
      <c r="L1468">
        <v>0</v>
      </c>
      <c r="M1468">
        <v>0</v>
      </c>
      <c r="N1468">
        <v>341.88</v>
      </c>
      <c r="O1468">
        <v>435.23700000000002</v>
      </c>
      <c r="P1468">
        <v>320.62909999999999</v>
      </c>
      <c r="Q1468">
        <v>0</v>
      </c>
      <c r="R1468">
        <v>320.62909999999999</v>
      </c>
    </row>
    <row r="1469" spans="1:18" hidden="1" x14ac:dyDescent="0.25">
      <c r="A1469" t="s">
        <v>1596</v>
      </c>
      <c r="B1469" t="s">
        <v>37</v>
      </c>
      <c r="C1469" t="s">
        <v>747</v>
      </c>
      <c r="D1469" t="s">
        <v>27</v>
      </c>
      <c r="E1469">
        <v>463.98</v>
      </c>
      <c r="F1469">
        <v>0</v>
      </c>
      <c r="G1469">
        <v>0</v>
      </c>
      <c r="H1469">
        <v>0</v>
      </c>
      <c r="I1469">
        <v>463.98</v>
      </c>
      <c r="J1469">
        <v>0</v>
      </c>
      <c r="K1469">
        <v>0</v>
      </c>
      <c r="L1469">
        <v>0</v>
      </c>
      <c r="M1469">
        <v>0</v>
      </c>
      <c r="N1469">
        <v>439.56</v>
      </c>
      <c r="O1469">
        <v>491.13900000000001</v>
      </c>
      <c r="P1469">
        <v>443.21379999999999</v>
      </c>
      <c r="Q1469">
        <v>0</v>
      </c>
      <c r="R1469">
        <v>443.21379999999999</v>
      </c>
    </row>
    <row r="1470" spans="1:18" hidden="1" x14ac:dyDescent="0.25">
      <c r="A1470" t="s">
        <v>1597</v>
      </c>
      <c r="B1470" t="s">
        <v>37</v>
      </c>
      <c r="C1470" t="s">
        <v>747</v>
      </c>
      <c r="D1470" t="s">
        <v>29</v>
      </c>
      <c r="E1470">
        <v>188.03399999999999</v>
      </c>
      <c r="F1470">
        <v>206.91</v>
      </c>
      <c r="G1470">
        <v>0</v>
      </c>
      <c r="H1470">
        <v>0</v>
      </c>
      <c r="I1470">
        <v>0</v>
      </c>
      <c r="J1470">
        <v>0</v>
      </c>
      <c r="K1470">
        <v>217.30279999999999</v>
      </c>
      <c r="L1470">
        <v>0</v>
      </c>
      <c r="M1470">
        <v>0</v>
      </c>
      <c r="N1470">
        <v>207.57</v>
      </c>
      <c r="O1470">
        <v>219.61500000000001</v>
      </c>
      <c r="P1470">
        <v>196.0127</v>
      </c>
      <c r="Q1470">
        <v>206.91</v>
      </c>
      <c r="R1470">
        <v>196.0127</v>
      </c>
    </row>
    <row r="1471" spans="1:18" hidden="1" x14ac:dyDescent="0.25">
      <c r="A1471" t="s">
        <v>1598</v>
      </c>
      <c r="B1471" t="s">
        <v>37</v>
      </c>
      <c r="C1471" t="s">
        <v>747</v>
      </c>
      <c r="D1471" t="s">
        <v>31</v>
      </c>
      <c r="E1471">
        <v>235.75200000000001</v>
      </c>
      <c r="F1471">
        <v>235.75200000000001</v>
      </c>
      <c r="G1471">
        <v>0</v>
      </c>
      <c r="H1471">
        <v>0</v>
      </c>
      <c r="I1471">
        <v>0</v>
      </c>
      <c r="J1471">
        <v>0</v>
      </c>
      <c r="K1471">
        <v>275.59739999999999</v>
      </c>
      <c r="L1471">
        <v>0</v>
      </c>
      <c r="M1471">
        <v>0</v>
      </c>
      <c r="N1471">
        <v>268.62</v>
      </c>
      <c r="O1471">
        <v>263.53800000000001</v>
      </c>
      <c r="P1471">
        <v>235.75200000000001</v>
      </c>
      <c r="Q1471">
        <v>235.75200000000001</v>
      </c>
      <c r="R1471">
        <v>235.75200000000001</v>
      </c>
    </row>
    <row r="1472" spans="1:18" hidden="1" x14ac:dyDescent="0.25">
      <c r="A1472" t="s">
        <v>1599</v>
      </c>
      <c r="B1472" t="s">
        <v>37</v>
      </c>
      <c r="C1472" t="s">
        <v>747</v>
      </c>
      <c r="D1472" t="s">
        <v>33</v>
      </c>
      <c r="E1472">
        <v>275.94600000000003</v>
      </c>
      <c r="F1472">
        <v>282.14999999999998</v>
      </c>
      <c r="G1472">
        <v>0</v>
      </c>
      <c r="H1472">
        <v>0</v>
      </c>
      <c r="I1472">
        <v>0</v>
      </c>
      <c r="J1472">
        <v>0</v>
      </c>
      <c r="K1472">
        <v>298.76179999999999</v>
      </c>
      <c r="L1472">
        <v>0</v>
      </c>
      <c r="M1472">
        <v>0</v>
      </c>
      <c r="N1472">
        <v>280.83</v>
      </c>
      <c r="O1472">
        <v>279.51</v>
      </c>
      <c r="P1472">
        <v>278.2124</v>
      </c>
      <c r="Q1472">
        <v>282.14999999999998</v>
      </c>
      <c r="R1472">
        <v>278.2124</v>
      </c>
    </row>
    <row r="1473" spans="1:18" hidden="1" x14ac:dyDescent="0.25">
      <c r="A1473" t="s">
        <v>1600</v>
      </c>
      <c r="B1473" t="s">
        <v>37</v>
      </c>
      <c r="C1473" t="s">
        <v>747</v>
      </c>
      <c r="D1473" t="s">
        <v>35</v>
      </c>
      <c r="E1473">
        <v>553.11300000000006</v>
      </c>
      <c r="F1473">
        <v>0</v>
      </c>
      <c r="G1473">
        <v>0</v>
      </c>
      <c r="H1473">
        <v>0</v>
      </c>
      <c r="I1473">
        <v>463.98</v>
      </c>
      <c r="J1473">
        <v>0</v>
      </c>
      <c r="K1473">
        <v>0</v>
      </c>
      <c r="L1473">
        <v>0</v>
      </c>
      <c r="M1473">
        <v>0</v>
      </c>
      <c r="N1473">
        <v>463.98</v>
      </c>
      <c r="O1473">
        <v>580.31600000000003</v>
      </c>
      <c r="P1473">
        <v>456.98270000000002</v>
      </c>
      <c r="Q1473">
        <v>0</v>
      </c>
      <c r="R1473">
        <v>456.98270000000002</v>
      </c>
    </row>
    <row r="1474" spans="1:18" hidden="1" x14ac:dyDescent="0.25">
      <c r="A1474" t="s">
        <v>1601</v>
      </c>
      <c r="B1474" t="s">
        <v>37</v>
      </c>
      <c r="C1474" t="s">
        <v>756</v>
      </c>
      <c r="D1474" t="s">
        <v>21</v>
      </c>
      <c r="E1474">
        <v>307.69200000000001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274.80599999999998</v>
      </c>
      <c r="L1474">
        <v>0</v>
      </c>
      <c r="M1474">
        <v>0</v>
      </c>
      <c r="N1474">
        <v>280.83</v>
      </c>
      <c r="O1474">
        <v>334.08100000000002</v>
      </c>
      <c r="P1474">
        <v>0</v>
      </c>
      <c r="R1474">
        <v>0</v>
      </c>
    </row>
    <row r="1475" spans="1:18" hidden="1" x14ac:dyDescent="0.25">
      <c r="A1475" t="s">
        <v>1602</v>
      </c>
      <c r="B1475" t="s">
        <v>37</v>
      </c>
      <c r="C1475" t="s">
        <v>756</v>
      </c>
      <c r="D1475" t="s">
        <v>23</v>
      </c>
      <c r="E1475">
        <v>483.51600000000002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532.22400000000005</v>
      </c>
      <c r="L1475">
        <v>0</v>
      </c>
      <c r="M1475">
        <v>0</v>
      </c>
      <c r="N1475">
        <v>537.24</v>
      </c>
      <c r="O1475">
        <v>501.78699999999998</v>
      </c>
      <c r="P1475">
        <v>420.07760000000002</v>
      </c>
      <c r="R1475">
        <v>420.07760000000002</v>
      </c>
    </row>
    <row r="1476" spans="1:18" hidden="1" x14ac:dyDescent="0.25">
      <c r="A1476" t="s">
        <v>1603</v>
      </c>
      <c r="B1476" t="s">
        <v>37</v>
      </c>
      <c r="C1476" t="s">
        <v>756</v>
      </c>
      <c r="D1476" t="s">
        <v>25</v>
      </c>
      <c r="E1476">
        <v>525.03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607.16880000000003</v>
      </c>
      <c r="L1476">
        <v>0</v>
      </c>
      <c r="M1476">
        <v>0</v>
      </c>
      <c r="N1476">
        <v>549.45000000000005</v>
      </c>
      <c r="O1476">
        <v>588.30200000000002</v>
      </c>
      <c r="P1476">
        <v>435.9502</v>
      </c>
      <c r="R1476">
        <v>435.9502</v>
      </c>
    </row>
    <row r="1477" spans="1:18" hidden="1" x14ac:dyDescent="0.25">
      <c r="A1477" t="s">
        <v>1604</v>
      </c>
      <c r="B1477" t="s">
        <v>37</v>
      </c>
      <c r="C1477" t="s">
        <v>756</v>
      </c>
      <c r="D1477" t="s">
        <v>27</v>
      </c>
      <c r="E1477">
        <v>660.56100000000004</v>
      </c>
      <c r="F1477">
        <v>0</v>
      </c>
      <c r="G1477">
        <v>0</v>
      </c>
      <c r="H1477">
        <v>0</v>
      </c>
      <c r="I1477">
        <v>622.71</v>
      </c>
      <c r="J1477">
        <v>0</v>
      </c>
      <c r="K1477">
        <v>0</v>
      </c>
      <c r="L1477">
        <v>0</v>
      </c>
      <c r="M1477">
        <v>0</v>
      </c>
      <c r="N1477">
        <v>604.39499999999998</v>
      </c>
      <c r="O1477">
        <v>698.77499999999998</v>
      </c>
      <c r="P1477">
        <v>574.33460000000002</v>
      </c>
      <c r="R1477">
        <v>574.33460000000002</v>
      </c>
    </row>
    <row r="1478" spans="1:18" hidden="1" x14ac:dyDescent="0.25">
      <c r="A1478" t="s">
        <v>1605</v>
      </c>
      <c r="B1478" t="s">
        <v>37</v>
      </c>
      <c r="C1478" t="s">
        <v>756</v>
      </c>
      <c r="D1478" t="s">
        <v>29</v>
      </c>
      <c r="E1478">
        <v>317.45999999999998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294.084</v>
      </c>
      <c r="L1478">
        <v>0</v>
      </c>
      <c r="M1478">
        <v>0</v>
      </c>
      <c r="N1478">
        <v>299.14499999999998</v>
      </c>
      <c r="O1478">
        <v>366.02499999999998</v>
      </c>
      <c r="P1478">
        <v>292.56830000000002</v>
      </c>
      <c r="R1478">
        <v>292.56830000000002</v>
      </c>
    </row>
    <row r="1479" spans="1:18" hidden="1" x14ac:dyDescent="0.25">
      <c r="A1479" t="s">
        <v>1606</v>
      </c>
      <c r="B1479" t="s">
        <v>37</v>
      </c>
      <c r="C1479" t="s">
        <v>756</v>
      </c>
      <c r="D1479" t="s">
        <v>31</v>
      </c>
      <c r="E1479">
        <v>384.61500000000001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438.97609999999997</v>
      </c>
      <c r="L1479">
        <v>0</v>
      </c>
      <c r="M1479">
        <v>0</v>
      </c>
      <c r="N1479">
        <v>445.66500000000002</v>
      </c>
      <c r="O1479">
        <v>412.61</v>
      </c>
      <c r="P1479">
        <v>310.46800000000002</v>
      </c>
      <c r="R1479">
        <v>310.46789999999999</v>
      </c>
    </row>
    <row r="1480" spans="1:18" hidden="1" x14ac:dyDescent="0.25">
      <c r="A1480" t="s">
        <v>1607</v>
      </c>
      <c r="B1480" t="s">
        <v>37</v>
      </c>
      <c r="C1480" t="s">
        <v>756</v>
      </c>
      <c r="D1480" t="s">
        <v>33</v>
      </c>
      <c r="E1480">
        <v>433.45499999999998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471.2715</v>
      </c>
      <c r="L1480">
        <v>0</v>
      </c>
      <c r="M1480">
        <v>0</v>
      </c>
      <c r="N1480">
        <v>482.29500000000002</v>
      </c>
      <c r="O1480">
        <v>461.94499999999999</v>
      </c>
      <c r="P1480">
        <v>357.58030000000002</v>
      </c>
      <c r="R1480">
        <v>357.58030000000002</v>
      </c>
    </row>
    <row r="1481" spans="1:18" hidden="1" x14ac:dyDescent="0.25">
      <c r="A1481" t="s">
        <v>1608</v>
      </c>
      <c r="B1481" t="s">
        <v>37</v>
      </c>
      <c r="C1481" t="s">
        <v>756</v>
      </c>
      <c r="D1481" t="s">
        <v>35</v>
      </c>
      <c r="E1481">
        <v>807.08100000000002</v>
      </c>
      <c r="F1481">
        <v>0</v>
      </c>
      <c r="G1481">
        <v>0</v>
      </c>
      <c r="H1481">
        <v>0</v>
      </c>
      <c r="I1481">
        <v>622.71</v>
      </c>
      <c r="J1481">
        <v>0</v>
      </c>
      <c r="K1481">
        <v>0</v>
      </c>
      <c r="L1481">
        <v>0</v>
      </c>
      <c r="M1481">
        <v>0</v>
      </c>
      <c r="N1481">
        <v>628.81500000000005</v>
      </c>
      <c r="O1481">
        <v>846.51599999999996</v>
      </c>
      <c r="P1481">
        <v>578.62329999999997</v>
      </c>
      <c r="R1481">
        <v>578.62329999999997</v>
      </c>
    </row>
    <row r="1482" spans="1:18" hidden="1" x14ac:dyDescent="0.25">
      <c r="A1482" t="s">
        <v>1609</v>
      </c>
      <c r="B1482" t="s">
        <v>37</v>
      </c>
      <c r="C1482" t="s">
        <v>765</v>
      </c>
      <c r="D1482" t="s">
        <v>21</v>
      </c>
      <c r="E1482">
        <v>706.95899999999995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475.61849999999998</v>
      </c>
      <c r="L1482">
        <v>0</v>
      </c>
      <c r="M1482">
        <v>0</v>
      </c>
      <c r="O1482">
        <v>0</v>
      </c>
      <c r="P1482">
        <v>0</v>
      </c>
      <c r="R1482">
        <v>0</v>
      </c>
    </row>
    <row r="1483" spans="1:18" hidden="1" x14ac:dyDescent="0.25">
      <c r="A1483" t="s">
        <v>1610</v>
      </c>
      <c r="B1483" t="s">
        <v>37</v>
      </c>
      <c r="C1483" t="s">
        <v>765</v>
      </c>
      <c r="D1483" t="s">
        <v>23</v>
      </c>
      <c r="E1483">
        <v>891.59400000000005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768.47400000000005</v>
      </c>
      <c r="L1483">
        <v>0</v>
      </c>
      <c r="M1483">
        <v>0</v>
      </c>
      <c r="O1483">
        <v>0</v>
      </c>
      <c r="P1483">
        <v>716.3768</v>
      </c>
      <c r="R1483">
        <v>716.37670000000003</v>
      </c>
    </row>
    <row r="1484" spans="1:18" hidden="1" x14ac:dyDescent="0.25">
      <c r="A1484" t="s">
        <v>1611</v>
      </c>
      <c r="B1484" t="s">
        <v>37</v>
      </c>
      <c r="C1484" t="s">
        <v>765</v>
      </c>
      <c r="D1484" t="s">
        <v>25</v>
      </c>
      <c r="E1484">
        <v>989.40599999999995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890.66880000000003</v>
      </c>
      <c r="L1484">
        <v>0</v>
      </c>
      <c r="M1484">
        <v>0</v>
      </c>
      <c r="O1484">
        <v>0</v>
      </c>
      <c r="P1484">
        <v>782.47550000000001</v>
      </c>
      <c r="R1484">
        <v>782.47550000000001</v>
      </c>
    </row>
    <row r="1485" spans="1:18" hidden="1" x14ac:dyDescent="0.25">
      <c r="A1485" t="s">
        <v>1612</v>
      </c>
      <c r="B1485" t="s">
        <v>37</v>
      </c>
      <c r="C1485" t="s">
        <v>765</v>
      </c>
      <c r="D1485" t="s">
        <v>27</v>
      </c>
      <c r="E1485">
        <v>1121.076</v>
      </c>
      <c r="F1485">
        <v>0</v>
      </c>
      <c r="G1485">
        <v>0</v>
      </c>
      <c r="H1485">
        <v>0</v>
      </c>
      <c r="I1485">
        <v>1117.2149999999999</v>
      </c>
      <c r="J1485">
        <v>0</v>
      </c>
      <c r="K1485">
        <v>0</v>
      </c>
      <c r="L1485">
        <v>0</v>
      </c>
      <c r="M1485">
        <v>0</v>
      </c>
      <c r="O1485">
        <v>0</v>
      </c>
      <c r="P1485">
        <v>888.2663</v>
      </c>
      <c r="R1485">
        <v>888.26620000000003</v>
      </c>
    </row>
    <row r="1486" spans="1:18" hidden="1" x14ac:dyDescent="0.25">
      <c r="A1486" t="s">
        <v>1613</v>
      </c>
      <c r="B1486" t="s">
        <v>37</v>
      </c>
      <c r="C1486" t="s">
        <v>765</v>
      </c>
      <c r="D1486" t="s">
        <v>29</v>
      </c>
      <c r="E1486">
        <v>749.98</v>
      </c>
      <c r="F1486">
        <v>0</v>
      </c>
      <c r="G1486">
        <v>802.78</v>
      </c>
      <c r="H1486">
        <v>0</v>
      </c>
      <c r="I1486">
        <v>0</v>
      </c>
      <c r="J1486">
        <v>0</v>
      </c>
      <c r="K1486">
        <v>527.89800000000002</v>
      </c>
      <c r="L1486">
        <v>0</v>
      </c>
      <c r="M1486">
        <v>0</v>
      </c>
      <c r="O1486">
        <v>0</v>
      </c>
      <c r="P1486">
        <v>496.57229999999998</v>
      </c>
      <c r="R1486">
        <v>496.57229999999998</v>
      </c>
    </row>
    <row r="1487" spans="1:18" hidden="1" x14ac:dyDescent="0.25">
      <c r="A1487" t="s">
        <v>1614</v>
      </c>
      <c r="B1487" t="s">
        <v>37</v>
      </c>
      <c r="C1487" t="s">
        <v>765</v>
      </c>
      <c r="D1487" t="s">
        <v>31</v>
      </c>
      <c r="E1487">
        <v>827.64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598.44489999999996</v>
      </c>
      <c r="L1487">
        <v>0</v>
      </c>
      <c r="M1487">
        <v>0</v>
      </c>
      <c r="O1487">
        <v>0</v>
      </c>
      <c r="P1487">
        <v>563.60919999999999</v>
      </c>
      <c r="R1487">
        <v>563.60919999999999</v>
      </c>
    </row>
    <row r="1488" spans="1:18" hidden="1" x14ac:dyDescent="0.25">
      <c r="A1488" t="s">
        <v>1615</v>
      </c>
      <c r="B1488" t="s">
        <v>37</v>
      </c>
      <c r="C1488" t="s">
        <v>765</v>
      </c>
      <c r="D1488" t="s">
        <v>33</v>
      </c>
      <c r="E1488">
        <v>854.7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623.60550000000001</v>
      </c>
      <c r="L1488">
        <v>0</v>
      </c>
      <c r="M1488">
        <v>0</v>
      </c>
      <c r="O1488">
        <v>0</v>
      </c>
      <c r="P1488">
        <v>618.72820000000002</v>
      </c>
      <c r="R1488">
        <v>618.72820000000002</v>
      </c>
    </row>
    <row r="1489" spans="1:18" hidden="1" x14ac:dyDescent="0.25">
      <c r="A1489" t="s">
        <v>1616</v>
      </c>
      <c r="B1489" t="s">
        <v>37</v>
      </c>
      <c r="C1489" t="s">
        <v>765</v>
      </c>
      <c r="D1489" t="s">
        <v>35</v>
      </c>
      <c r="E1489">
        <v>1164.9659999999999</v>
      </c>
      <c r="F1489">
        <v>0</v>
      </c>
      <c r="G1489">
        <v>0</v>
      </c>
      <c r="H1489">
        <v>0</v>
      </c>
      <c r="I1489">
        <v>1117.2149999999999</v>
      </c>
      <c r="J1489">
        <v>0</v>
      </c>
      <c r="K1489">
        <v>0</v>
      </c>
      <c r="L1489">
        <v>0</v>
      </c>
      <c r="M1489">
        <v>0</v>
      </c>
      <c r="O1489">
        <v>0</v>
      </c>
      <c r="P1489">
        <v>973.3614</v>
      </c>
      <c r="R1489">
        <v>973.3614</v>
      </c>
    </row>
    <row r="1490" spans="1:18" hidden="1" x14ac:dyDescent="0.25">
      <c r="A1490" t="s">
        <v>1617</v>
      </c>
      <c r="B1490" t="s">
        <v>37</v>
      </c>
      <c r="C1490" t="s">
        <v>774</v>
      </c>
      <c r="D1490" t="s">
        <v>21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R1490">
        <v>0</v>
      </c>
    </row>
    <row r="1491" spans="1:18" hidden="1" x14ac:dyDescent="0.25">
      <c r="A1491" t="s">
        <v>1618</v>
      </c>
      <c r="B1491" t="s">
        <v>37</v>
      </c>
      <c r="C1491" t="s">
        <v>774</v>
      </c>
      <c r="D1491" t="s">
        <v>23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340.45080000000002</v>
      </c>
      <c r="R1491">
        <v>340.45069999999998</v>
      </c>
    </row>
    <row r="1492" spans="1:18" hidden="1" x14ac:dyDescent="0.25">
      <c r="A1492" t="s">
        <v>1619</v>
      </c>
      <c r="B1492" t="s">
        <v>37</v>
      </c>
      <c r="C1492" t="s">
        <v>774</v>
      </c>
      <c r="D1492" t="s">
        <v>25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405.11270000000002</v>
      </c>
      <c r="R1492">
        <v>405.11279999999999</v>
      </c>
    </row>
    <row r="1493" spans="1:18" hidden="1" x14ac:dyDescent="0.25">
      <c r="A1493" t="s">
        <v>1620</v>
      </c>
      <c r="B1493" t="s">
        <v>37</v>
      </c>
      <c r="C1493" t="s">
        <v>774</v>
      </c>
      <c r="D1493" t="s">
        <v>27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466.7251</v>
      </c>
      <c r="R1493">
        <v>466.72500000000002</v>
      </c>
    </row>
    <row r="1494" spans="1:18" hidden="1" x14ac:dyDescent="0.25">
      <c r="A1494" t="s">
        <v>1621</v>
      </c>
      <c r="B1494" t="s">
        <v>37</v>
      </c>
      <c r="C1494" t="s">
        <v>774</v>
      </c>
      <c r="D1494" t="s">
        <v>29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249.1326</v>
      </c>
      <c r="R1494">
        <v>249.1326</v>
      </c>
    </row>
    <row r="1495" spans="1:18" hidden="1" x14ac:dyDescent="0.25">
      <c r="A1495" t="s">
        <v>1622</v>
      </c>
      <c r="B1495" t="s">
        <v>37</v>
      </c>
      <c r="C1495" t="s">
        <v>774</v>
      </c>
      <c r="D1495" t="s">
        <v>31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266.05220000000003</v>
      </c>
      <c r="R1495">
        <v>266.05220000000003</v>
      </c>
    </row>
    <row r="1496" spans="1:18" hidden="1" x14ac:dyDescent="0.25">
      <c r="A1496" t="s">
        <v>1623</v>
      </c>
      <c r="B1496" t="s">
        <v>37</v>
      </c>
      <c r="C1496" t="s">
        <v>774</v>
      </c>
      <c r="D1496" t="s">
        <v>33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291.51940000000002</v>
      </c>
      <c r="R1496">
        <v>291.51940000000002</v>
      </c>
    </row>
    <row r="1497" spans="1:18" hidden="1" x14ac:dyDescent="0.25">
      <c r="A1497" t="s">
        <v>1624</v>
      </c>
      <c r="B1497" t="s">
        <v>37</v>
      </c>
      <c r="C1497" t="s">
        <v>774</v>
      </c>
      <c r="D1497" t="s">
        <v>35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546.4126</v>
      </c>
      <c r="R1497">
        <v>546.41250000000002</v>
      </c>
    </row>
    <row r="1498" spans="1:18" hidden="1" x14ac:dyDescent="0.25">
      <c r="A1498" t="s">
        <v>1625</v>
      </c>
      <c r="B1498" t="s">
        <v>37</v>
      </c>
      <c r="C1498" t="s">
        <v>1626</v>
      </c>
      <c r="D1498" t="s">
        <v>21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445.88499999999999</v>
      </c>
      <c r="P1498">
        <v>0</v>
      </c>
      <c r="R1498">
        <v>0</v>
      </c>
    </row>
    <row r="1499" spans="1:18" hidden="1" x14ac:dyDescent="0.25">
      <c r="A1499" t="s">
        <v>1627</v>
      </c>
      <c r="B1499" t="s">
        <v>37</v>
      </c>
      <c r="C1499" t="s">
        <v>1626</v>
      </c>
      <c r="D1499" t="s">
        <v>23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714.74699999999996</v>
      </c>
      <c r="P1499">
        <v>1216.3800000000001</v>
      </c>
      <c r="R1499">
        <v>1216.3800000000001</v>
      </c>
    </row>
    <row r="1500" spans="1:18" hidden="1" x14ac:dyDescent="0.25">
      <c r="A1500" t="s">
        <v>1628</v>
      </c>
      <c r="B1500" t="s">
        <v>37</v>
      </c>
      <c r="C1500" t="s">
        <v>1626</v>
      </c>
      <c r="D1500" t="s">
        <v>25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845.18499999999995</v>
      </c>
      <c r="P1500">
        <v>1254</v>
      </c>
      <c r="R1500">
        <v>1254</v>
      </c>
    </row>
    <row r="1501" spans="1:18" hidden="1" x14ac:dyDescent="0.25">
      <c r="A1501" t="s">
        <v>1629</v>
      </c>
      <c r="B1501" t="s">
        <v>37</v>
      </c>
      <c r="C1501" t="s">
        <v>1626</v>
      </c>
      <c r="D1501" t="s">
        <v>27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885.11500000000001</v>
      </c>
      <c r="P1501">
        <v>1680.36</v>
      </c>
      <c r="R1501">
        <v>1680.36</v>
      </c>
    </row>
    <row r="1502" spans="1:18" hidden="1" x14ac:dyDescent="0.25">
      <c r="A1502" t="s">
        <v>1630</v>
      </c>
      <c r="B1502" t="s">
        <v>37</v>
      </c>
      <c r="C1502" t="s">
        <v>1626</v>
      </c>
      <c r="D1502" t="s">
        <v>29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500.45600000000002</v>
      </c>
      <c r="P1502">
        <v>796.29</v>
      </c>
      <c r="R1502">
        <v>796.29</v>
      </c>
    </row>
    <row r="1503" spans="1:18" hidden="1" x14ac:dyDescent="0.25">
      <c r="A1503" t="s">
        <v>1631</v>
      </c>
      <c r="B1503" t="s">
        <v>37</v>
      </c>
      <c r="C1503" t="s">
        <v>1626</v>
      </c>
      <c r="D1503" t="s">
        <v>31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561.68200000000002</v>
      </c>
      <c r="P1503">
        <v>927.96</v>
      </c>
      <c r="R1503">
        <v>927.96</v>
      </c>
    </row>
    <row r="1504" spans="1:18" hidden="1" x14ac:dyDescent="0.25">
      <c r="A1504" t="s">
        <v>1632</v>
      </c>
      <c r="B1504" t="s">
        <v>37</v>
      </c>
      <c r="C1504" t="s">
        <v>1626</v>
      </c>
      <c r="D1504" t="s">
        <v>33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624.23900000000003</v>
      </c>
      <c r="P1504">
        <v>978.12</v>
      </c>
      <c r="R1504">
        <v>978.12</v>
      </c>
    </row>
    <row r="1505" spans="1:18" hidden="1" x14ac:dyDescent="0.25">
      <c r="A1505" t="s">
        <v>1633</v>
      </c>
      <c r="B1505" t="s">
        <v>37</v>
      </c>
      <c r="C1505" t="s">
        <v>1626</v>
      </c>
      <c r="D1505" t="s">
        <v>35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1217.865</v>
      </c>
      <c r="P1505">
        <v>1755.6</v>
      </c>
      <c r="R1505">
        <v>1755.6</v>
      </c>
    </row>
    <row r="1506" spans="1:18" hidden="1" x14ac:dyDescent="0.25">
      <c r="A1506" t="s">
        <v>1634</v>
      </c>
      <c r="B1506" t="s">
        <v>37</v>
      </c>
      <c r="C1506" t="s">
        <v>783</v>
      </c>
      <c r="D1506" t="s">
        <v>21</v>
      </c>
      <c r="E1506">
        <v>189.1266</v>
      </c>
      <c r="F1506">
        <v>0</v>
      </c>
      <c r="G1506">
        <v>247.42670000000001</v>
      </c>
      <c r="H1506">
        <v>0</v>
      </c>
      <c r="I1506">
        <v>0</v>
      </c>
      <c r="J1506">
        <v>0</v>
      </c>
      <c r="K1506">
        <v>186.452</v>
      </c>
      <c r="L1506">
        <v>0</v>
      </c>
      <c r="M1506">
        <v>0</v>
      </c>
      <c r="N1506">
        <v>190.476</v>
      </c>
      <c r="O1506">
        <v>190.333</v>
      </c>
      <c r="P1506">
        <v>0</v>
      </c>
      <c r="Q1506">
        <v>0</v>
      </c>
      <c r="R1506">
        <v>0</v>
      </c>
    </row>
    <row r="1507" spans="1:18" hidden="1" x14ac:dyDescent="0.25">
      <c r="A1507" t="s">
        <v>1635</v>
      </c>
      <c r="B1507" t="s">
        <v>37</v>
      </c>
      <c r="C1507" t="s">
        <v>783</v>
      </c>
      <c r="D1507" t="s">
        <v>23</v>
      </c>
      <c r="E1507">
        <v>289.67399999999998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325.5052</v>
      </c>
      <c r="L1507">
        <v>0</v>
      </c>
      <c r="M1507">
        <v>0</v>
      </c>
      <c r="N1507">
        <v>323.565</v>
      </c>
      <c r="O1507">
        <v>318.10899999999998</v>
      </c>
      <c r="P1507">
        <v>286.26440000000002</v>
      </c>
      <c r="Q1507">
        <v>0</v>
      </c>
      <c r="R1507">
        <v>286.26440000000002</v>
      </c>
    </row>
    <row r="1508" spans="1:18" hidden="1" x14ac:dyDescent="0.25">
      <c r="A1508" t="s">
        <v>1636</v>
      </c>
      <c r="B1508" t="s">
        <v>37</v>
      </c>
      <c r="C1508" t="s">
        <v>783</v>
      </c>
      <c r="D1508" t="s">
        <v>25</v>
      </c>
      <c r="E1508">
        <v>332.11200000000002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359.10629999999998</v>
      </c>
      <c r="L1508">
        <v>0</v>
      </c>
      <c r="M1508">
        <v>0</v>
      </c>
      <c r="N1508">
        <v>341.88</v>
      </c>
      <c r="O1508">
        <v>435.23700000000002</v>
      </c>
      <c r="P1508">
        <v>292.72320000000002</v>
      </c>
      <c r="Q1508">
        <v>0</v>
      </c>
      <c r="R1508">
        <v>292.72320000000002</v>
      </c>
    </row>
    <row r="1509" spans="1:18" hidden="1" x14ac:dyDescent="0.25">
      <c r="A1509" t="s">
        <v>1637</v>
      </c>
      <c r="B1509" t="s">
        <v>37</v>
      </c>
      <c r="C1509" t="s">
        <v>783</v>
      </c>
      <c r="D1509" t="s">
        <v>27</v>
      </c>
      <c r="E1509">
        <v>444.44400000000002</v>
      </c>
      <c r="F1509">
        <v>0</v>
      </c>
      <c r="G1509">
        <v>0</v>
      </c>
      <c r="H1509">
        <v>0</v>
      </c>
      <c r="I1509">
        <v>463.98</v>
      </c>
      <c r="J1509">
        <v>0</v>
      </c>
      <c r="K1509">
        <v>0</v>
      </c>
      <c r="L1509">
        <v>0</v>
      </c>
      <c r="M1509">
        <v>0</v>
      </c>
      <c r="N1509">
        <v>439.56</v>
      </c>
      <c r="O1509">
        <v>469.84300000000002</v>
      </c>
      <c r="P1509">
        <v>425.77949999999998</v>
      </c>
      <c r="Q1509">
        <v>0</v>
      </c>
      <c r="R1509">
        <v>425.77960000000002</v>
      </c>
    </row>
    <row r="1510" spans="1:18" hidden="1" x14ac:dyDescent="0.25">
      <c r="A1510" t="s">
        <v>1638</v>
      </c>
      <c r="B1510" t="s">
        <v>37</v>
      </c>
      <c r="C1510" t="s">
        <v>783</v>
      </c>
      <c r="D1510" t="s">
        <v>29</v>
      </c>
      <c r="E1510">
        <v>199.023</v>
      </c>
      <c r="F1510">
        <v>206.91</v>
      </c>
      <c r="G1510">
        <v>0</v>
      </c>
      <c r="H1510">
        <v>0</v>
      </c>
      <c r="I1510">
        <v>0</v>
      </c>
      <c r="J1510">
        <v>0</v>
      </c>
      <c r="K1510">
        <v>205.49029999999999</v>
      </c>
      <c r="L1510">
        <v>0</v>
      </c>
      <c r="M1510">
        <v>0</v>
      </c>
      <c r="N1510">
        <v>207.57</v>
      </c>
      <c r="O1510">
        <v>239.58</v>
      </c>
      <c r="P1510">
        <v>203.41130000000001</v>
      </c>
      <c r="Q1510">
        <v>206.91</v>
      </c>
      <c r="R1510">
        <v>203.41130000000001</v>
      </c>
    </row>
    <row r="1511" spans="1:18" hidden="1" x14ac:dyDescent="0.25">
      <c r="A1511" t="s">
        <v>1639</v>
      </c>
      <c r="B1511" t="s">
        <v>37</v>
      </c>
      <c r="C1511" t="s">
        <v>783</v>
      </c>
      <c r="D1511" t="s">
        <v>31</v>
      </c>
      <c r="E1511">
        <v>250.30500000000001</v>
      </c>
      <c r="F1511">
        <v>262.08600000000001</v>
      </c>
      <c r="G1511">
        <v>0</v>
      </c>
      <c r="H1511">
        <v>0</v>
      </c>
      <c r="I1511">
        <v>0</v>
      </c>
      <c r="J1511">
        <v>0</v>
      </c>
      <c r="K1511">
        <v>263.78489999999999</v>
      </c>
      <c r="L1511">
        <v>0</v>
      </c>
      <c r="M1511">
        <v>0</v>
      </c>
      <c r="N1511">
        <v>268.62</v>
      </c>
      <c r="O1511">
        <v>258.214</v>
      </c>
      <c r="P1511">
        <v>232.22540000000001</v>
      </c>
      <c r="Q1511">
        <v>262.08600000000001</v>
      </c>
      <c r="R1511">
        <v>232.22540000000001</v>
      </c>
    </row>
    <row r="1512" spans="1:18" hidden="1" x14ac:dyDescent="0.25">
      <c r="A1512" t="s">
        <v>1640</v>
      </c>
      <c r="B1512" t="s">
        <v>37</v>
      </c>
      <c r="C1512" t="s">
        <v>783</v>
      </c>
      <c r="D1512" t="s">
        <v>33</v>
      </c>
      <c r="E1512">
        <v>269.84100000000001</v>
      </c>
      <c r="F1512">
        <v>275.88</v>
      </c>
      <c r="G1512">
        <v>0</v>
      </c>
      <c r="H1512">
        <v>0</v>
      </c>
      <c r="I1512">
        <v>0</v>
      </c>
      <c r="J1512">
        <v>0</v>
      </c>
      <c r="K1512">
        <v>276.36529999999999</v>
      </c>
      <c r="L1512">
        <v>0</v>
      </c>
      <c r="M1512">
        <v>0</v>
      </c>
      <c r="N1512">
        <v>280.83</v>
      </c>
      <c r="O1512">
        <v>270.19299999999998</v>
      </c>
      <c r="P1512">
        <v>266.78280000000001</v>
      </c>
      <c r="Q1512">
        <v>275.88</v>
      </c>
      <c r="R1512">
        <v>266.78280000000001</v>
      </c>
    </row>
    <row r="1513" spans="1:18" hidden="1" x14ac:dyDescent="0.25">
      <c r="A1513" t="s">
        <v>1641</v>
      </c>
      <c r="B1513" t="s">
        <v>37</v>
      </c>
      <c r="C1513" t="s">
        <v>783</v>
      </c>
      <c r="D1513" t="s">
        <v>35</v>
      </c>
      <c r="E1513">
        <v>477.411</v>
      </c>
      <c r="F1513">
        <v>0</v>
      </c>
      <c r="G1513">
        <v>0</v>
      </c>
      <c r="H1513">
        <v>0</v>
      </c>
      <c r="I1513">
        <v>463.98</v>
      </c>
      <c r="J1513">
        <v>0</v>
      </c>
      <c r="K1513">
        <v>0</v>
      </c>
      <c r="L1513">
        <v>0</v>
      </c>
      <c r="M1513">
        <v>0</v>
      </c>
      <c r="N1513">
        <v>463.98</v>
      </c>
      <c r="O1513">
        <v>500.45600000000002</v>
      </c>
      <c r="P1513">
        <v>430.06819999999999</v>
      </c>
      <c r="Q1513">
        <v>0</v>
      </c>
      <c r="R1513">
        <v>430.06819999999999</v>
      </c>
    </row>
    <row r="1514" spans="1:18" hidden="1" x14ac:dyDescent="0.25">
      <c r="A1514" t="s">
        <v>1642</v>
      </c>
      <c r="B1514" t="s">
        <v>37</v>
      </c>
      <c r="C1514" t="s">
        <v>792</v>
      </c>
      <c r="D1514" t="s">
        <v>21</v>
      </c>
      <c r="E1514">
        <v>259.32499999999999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279.15300000000002</v>
      </c>
      <c r="L1514">
        <v>0</v>
      </c>
      <c r="M1514">
        <v>0</v>
      </c>
      <c r="N1514">
        <v>286.935</v>
      </c>
      <c r="O1514">
        <v>254.221</v>
      </c>
      <c r="P1514">
        <v>0</v>
      </c>
      <c r="R1514">
        <v>0</v>
      </c>
    </row>
    <row r="1515" spans="1:18" hidden="1" x14ac:dyDescent="0.25">
      <c r="A1515" t="s">
        <v>1643</v>
      </c>
      <c r="B1515" t="s">
        <v>37</v>
      </c>
      <c r="C1515" t="s">
        <v>792</v>
      </c>
      <c r="D1515" t="s">
        <v>23</v>
      </c>
      <c r="E1515">
        <v>442.66199999999998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555.51819999999998</v>
      </c>
      <c r="L1515">
        <v>0</v>
      </c>
      <c r="M1515">
        <v>0</v>
      </c>
      <c r="N1515">
        <v>567.76499999999999</v>
      </c>
      <c r="O1515">
        <v>441.892</v>
      </c>
      <c r="P1515">
        <v>438.73649999999998</v>
      </c>
      <c r="R1515">
        <v>438.73649999999998</v>
      </c>
    </row>
    <row r="1516" spans="1:18" hidden="1" x14ac:dyDescent="0.25">
      <c r="A1516" t="s">
        <v>1644</v>
      </c>
      <c r="B1516" t="s">
        <v>37</v>
      </c>
      <c r="C1516" t="s">
        <v>792</v>
      </c>
      <c r="D1516" t="s">
        <v>25</v>
      </c>
      <c r="E1516">
        <v>474.012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635.12189999999998</v>
      </c>
      <c r="L1516">
        <v>0</v>
      </c>
      <c r="M1516">
        <v>0</v>
      </c>
      <c r="N1516">
        <v>592.18499999999995</v>
      </c>
      <c r="O1516">
        <v>512.43499999999995</v>
      </c>
      <c r="P1516">
        <v>479.07659999999998</v>
      </c>
      <c r="R1516">
        <v>479.07670000000002</v>
      </c>
    </row>
    <row r="1517" spans="1:18" hidden="1" x14ac:dyDescent="0.25">
      <c r="A1517" t="s">
        <v>1645</v>
      </c>
      <c r="B1517" t="s">
        <v>37</v>
      </c>
      <c r="C1517" t="s">
        <v>792</v>
      </c>
      <c r="D1517" t="s">
        <v>27</v>
      </c>
      <c r="E1517">
        <v>611.952</v>
      </c>
      <c r="F1517">
        <v>0</v>
      </c>
      <c r="G1517">
        <v>0</v>
      </c>
      <c r="H1517">
        <v>0</v>
      </c>
      <c r="I1517">
        <v>677.65499999999997</v>
      </c>
      <c r="J1517">
        <v>0</v>
      </c>
      <c r="K1517">
        <v>0</v>
      </c>
      <c r="L1517">
        <v>0</v>
      </c>
      <c r="M1517">
        <v>0</v>
      </c>
      <c r="N1517">
        <v>647.13</v>
      </c>
      <c r="O1517">
        <v>601.61199999999997</v>
      </c>
      <c r="P1517">
        <v>598.98850000000004</v>
      </c>
      <c r="R1517">
        <v>598.98850000000004</v>
      </c>
    </row>
    <row r="1518" spans="1:18" hidden="1" x14ac:dyDescent="0.25">
      <c r="A1518" t="s">
        <v>1646</v>
      </c>
      <c r="B1518" t="s">
        <v>37</v>
      </c>
      <c r="C1518" t="s">
        <v>792</v>
      </c>
      <c r="D1518" t="s">
        <v>29</v>
      </c>
      <c r="E1518">
        <v>284.38659999999999</v>
      </c>
      <c r="F1518">
        <v>0</v>
      </c>
      <c r="G1518">
        <v>377.88670000000002</v>
      </c>
      <c r="H1518">
        <v>0</v>
      </c>
      <c r="I1518">
        <v>0</v>
      </c>
      <c r="J1518">
        <v>0</v>
      </c>
      <c r="K1518">
        <v>312.38900000000001</v>
      </c>
      <c r="L1518">
        <v>0</v>
      </c>
      <c r="M1518">
        <v>0</v>
      </c>
      <c r="N1518">
        <v>325.08300000000003</v>
      </c>
      <c r="O1518">
        <v>330.08800000000002</v>
      </c>
      <c r="P1518">
        <v>278.78930000000003</v>
      </c>
      <c r="R1518">
        <v>278.78930000000003</v>
      </c>
    </row>
    <row r="1519" spans="1:18" hidden="1" x14ac:dyDescent="0.25">
      <c r="A1519" t="s">
        <v>1647</v>
      </c>
      <c r="B1519" t="s">
        <v>37</v>
      </c>
      <c r="C1519" t="s">
        <v>792</v>
      </c>
      <c r="D1519" t="s">
        <v>31</v>
      </c>
      <c r="E1519">
        <v>354.88200000000001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470.50369999999998</v>
      </c>
      <c r="L1519">
        <v>0</v>
      </c>
      <c r="M1519">
        <v>0</v>
      </c>
      <c r="N1519">
        <v>482.29500000000002</v>
      </c>
      <c r="O1519">
        <v>380.666</v>
      </c>
      <c r="P1519">
        <v>359.56990000000002</v>
      </c>
      <c r="R1519">
        <v>359.56990000000002</v>
      </c>
    </row>
    <row r="1520" spans="1:18" hidden="1" x14ac:dyDescent="0.25">
      <c r="A1520" t="s">
        <v>1648</v>
      </c>
      <c r="B1520" t="s">
        <v>37</v>
      </c>
      <c r="C1520" t="s">
        <v>792</v>
      </c>
      <c r="D1520" t="s">
        <v>33</v>
      </c>
      <c r="E1520">
        <v>408.80399999999997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493.66800000000001</v>
      </c>
      <c r="L1520">
        <v>0</v>
      </c>
      <c r="M1520">
        <v>0</v>
      </c>
      <c r="N1520">
        <v>500.61</v>
      </c>
      <c r="O1520">
        <v>412.33499999999998</v>
      </c>
      <c r="P1520">
        <v>408.62869999999998</v>
      </c>
      <c r="R1520">
        <v>408.62860000000001</v>
      </c>
    </row>
    <row r="1521" spans="1:18" hidden="1" x14ac:dyDescent="0.25">
      <c r="A1521" t="s">
        <v>1649</v>
      </c>
      <c r="B1521" t="s">
        <v>37</v>
      </c>
      <c r="C1521" t="s">
        <v>792</v>
      </c>
      <c r="D1521" t="s">
        <v>35</v>
      </c>
      <c r="E1521">
        <v>706.2</v>
      </c>
      <c r="F1521">
        <v>0</v>
      </c>
      <c r="G1521">
        <v>754.44290000000001</v>
      </c>
      <c r="H1521">
        <v>0</v>
      </c>
      <c r="I1521">
        <v>700.97500000000002</v>
      </c>
      <c r="J1521">
        <v>0</v>
      </c>
      <c r="K1521">
        <v>0</v>
      </c>
      <c r="L1521">
        <v>0</v>
      </c>
      <c r="M1521">
        <v>0</v>
      </c>
      <c r="N1521">
        <v>677.65499999999997</v>
      </c>
      <c r="O1521">
        <v>724.06399999999996</v>
      </c>
      <c r="P1521">
        <v>667.17819999999995</v>
      </c>
      <c r="R1521">
        <v>667.17819999999995</v>
      </c>
    </row>
    <row r="1522" spans="1:18" hidden="1" x14ac:dyDescent="0.25">
      <c r="A1522" t="s">
        <v>1650</v>
      </c>
      <c r="B1522" t="s">
        <v>37</v>
      </c>
      <c r="C1522" t="s">
        <v>801</v>
      </c>
      <c r="D1522" t="s">
        <v>21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</row>
    <row r="1523" spans="1:18" hidden="1" x14ac:dyDescent="0.25">
      <c r="A1523" t="s">
        <v>1651</v>
      </c>
      <c r="B1523" t="s">
        <v>37</v>
      </c>
      <c r="C1523" t="s">
        <v>801</v>
      </c>
      <c r="D1523" t="s">
        <v>23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311.61610000000002</v>
      </c>
      <c r="Q1523">
        <v>0</v>
      </c>
      <c r="R1523">
        <v>311.61610000000002</v>
      </c>
    </row>
    <row r="1524" spans="1:18" hidden="1" x14ac:dyDescent="0.25">
      <c r="A1524" t="s">
        <v>1652</v>
      </c>
      <c r="B1524" t="s">
        <v>37</v>
      </c>
      <c r="C1524" t="s">
        <v>801</v>
      </c>
      <c r="D1524" t="s">
        <v>25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337.6105</v>
      </c>
      <c r="Q1524">
        <v>0</v>
      </c>
      <c r="R1524">
        <v>337.6105</v>
      </c>
    </row>
    <row r="1525" spans="1:18" hidden="1" x14ac:dyDescent="0.25">
      <c r="A1525" t="s">
        <v>1653</v>
      </c>
      <c r="B1525" t="s">
        <v>37</v>
      </c>
      <c r="C1525" t="s">
        <v>801</v>
      </c>
      <c r="D1525" t="s">
        <v>27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418.61130000000003</v>
      </c>
      <c r="Q1525">
        <v>0</v>
      </c>
      <c r="R1525">
        <v>418.6112</v>
      </c>
    </row>
    <row r="1526" spans="1:18" hidden="1" x14ac:dyDescent="0.25">
      <c r="A1526" t="s">
        <v>1654</v>
      </c>
      <c r="B1526" t="s">
        <v>37</v>
      </c>
      <c r="C1526" t="s">
        <v>801</v>
      </c>
      <c r="D1526" t="s">
        <v>29</v>
      </c>
      <c r="E1526">
        <v>0</v>
      </c>
      <c r="F1526">
        <v>206.91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207.66239999999999</v>
      </c>
      <c r="Q1526">
        <v>206.91</v>
      </c>
      <c r="R1526">
        <v>207.66239999999999</v>
      </c>
    </row>
    <row r="1527" spans="1:18" hidden="1" x14ac:dyDescent="0.25">
      <c r="A1527" t="s">
        <v>1655</v>
      </c>
      <c r="B1527" t="s">
        <v>37</v>
      </c>
      <c r="C1527" t="s">
        <v>801</v>
      </c>
      <c r="D1527" t="s">
        <v>31</v>
      </c>
      <c r="E1527">
        <v>0</v>
      </c>
      <c r="F1527">
        <v>269.61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254.89570000000001</v>
      </c>
      <c r="Q1527">
        <v>269.61</v>
      </c>
      <c r="R1527">
        <v>254.89580000000001</v>
      </c>
    </row>
    <row r="1528" spans="1:18" hidden="1" x14ac:dyDescent="0.25">
      <c r="A1528" t="s">
        <v>1656</v>
      </c>
      <c r="B1528" t="s">
        <v>37</v>
      </c>
      <c r="C1528" t="s">
        <v>801</v>
      </c>
      <c r="D1528" t="s">
        <v>33</v>
      </c>
      <c r="E1528">
        <v>0</v>
      </c>
      <c r="F1528">
        <v>288.42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275.68459999999999</v>
      </c>
      <c r="Q1528">
        <v>288.42</v>
      </c>
      <c r="R1528">
        <v>275.68459999999999</v>
      </c>
    </row>
    <row r="1529" spans="1:18" hidden="1" x14ac:dyDescent="0.25">
      <c r="A1529" t="s">
        <v>1657</v>
      </c>
      <c r="B1529" t="s">
        <v>37</v>
      </c>
      <c r="C1529" t="s">
        <v>801</v>
      </c>
      <c r="D1529" t="s">
        <v>35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469.60340000000002</v>
      </c>
      <c r="Q1529">
        <v>0</v>
      </c>
      <c r="R1529">
        <v>469.60340000000002</v>
      </c>
    </row>
    <row r="1530" spans="1:18" hidden="1" x14ac:dyDescent="0.25">
      <c r="A1530" t="s">
        <v>1658</v>
      </c>
      <c r="B1530" t="s">
        <v>37</v>
      </c>
      <c r="C1530" t="s">
        <v>810</v>
      </c>
      <c r="D1530" t="s">
        <v>21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</row>
    <row r="1531" spans="1:18" hidden="1" x14ac:dyDescent="0.25">
      <c r="A1531" t="s">
        <v>1659</v>
      </c>
      <c r="B1531" t="s">
        <v>37</v>
      </c>
      <c r="C1531" t="s">
        <v>810</v>
      </c>
      <c r="D1531" t="s">
        <v>23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210.2619</v>
      </c>
      <c r="Q1531">
        <v>0</v>
      </c>
      <c r="R1531">
        <v>210.2619</v>
      </c>
    </row>
    <row r="1532" spans="1:18" hidden="1" x14ac:dyDescent="0.25">
      <c r="A1532" t="s">
        <v>1660</v>
      </c>
      <c r="B1532" t="s">
        <v>37</v>
      </c>
      <c r="C1532" t="s">
        <v>810</v>
      </c>
      <c r="D1532" t="s">
        <v>25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245.91929999999999</v>
      </c>
      <c r="Q1532">
        <v>0</v>
      </c>
      <c r="R1532">
        <v>245.91929999999999</v>
      </c>
    </row>
    <row r="1533" spans="1:18" hidden="1" x14ac:dyDescent="0.25">
      <c r="A1533" t="s">
        <v>1661</v>
      </c>
      <c r="B1533" t="s">
        <v>37</v>
      </c>
      <c r="C1533" t="s">
        <v>810</v>
      </c>
      <c r="D1533" t="s">
        <v>27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352.34890000000001</v>
      </c>
      <c r="Q1533">
        <v>0</v>
      </c>
      <c r="R1533">
        <v>352.34890000000001</v>
      </c>
    </row>
    <row r="1534" spans="1:18" hidden="1" x14ac:dyDescent="0.25">
      <c r="A1534" t="s">
        <v>1662</v>
      </c>
      <c r="B1534" t="s">
        <v>37</v>
      </c>
      <c r="C1534" t="s">
        <v>810</v>
      </c>
      <c r="D1534" t="s">
        <v>29</v>
      </c>
      <c r="E1534">
        <v>0</v>
      </c>
      <c r="F1534">
        <v>190.96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135.35929999999999</v>
      </c>
      <c r="Q1534">
        <v>190.96</v>
      </c>
      <c r="R1534">
        <v>135.35929999999999</v>
      </c>
    </row>
    <row r="1535" spans="1:18" hidden="1" x14ac:dyDescent="0.25">
      <c r="A1535" t="s">
        <v>1663</v>
      </c>
      <c r="B1535" t="s">
        <v>37</v>
      </c>
      <c r="C1535" t="s">
        <v>810</v>
      </c>
      <c r="D1535" t="s">
        <v>31</v>
      </c>
      <c r="E1535">
        <v>0</v>
      </c>
      <c r="F1535">
        <v>246.4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152.66909999999999</v>
      </c>
      <c r="Q1535">
        <v>246.4</v>
      </c>
      <c r="R1535">
        <v>152.66909999999999</v>
      </c>
    </row>
    <row r="1536" spans="1:18" hidden="1" x14ac:dyDescent="0.25">
      <c r="A1536" t="s">
        <v>1664</v>
      </c>
      <c r="B1536" t="s">
        <v>37</v>
      </c>
      <c r="C1536" t="s">
        <v>810</v>
      </c>
      <c r="D1536" t="s">
        <v>33</v>
      </c>
      <c r="E1536">
        <v>0</v>
      </c>
      <c r="F1536">
        <v>258.72000000000003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174.5581</v>
      </c>
      <c r="Q1536">
        <v>258.72000000000003</v>
      </c>
      <c r="R1536">
        <v>174.5581</v>
      </c>
    </row>
    <row r="1537" spans="1:18" hidden="1" x14ac:dyDescent="0.25">
      <c r="A1537" t="s">
        <v>1665</v>
      </c>
      <c r="B1537" t="s">
        <v>37</v>
      </c>
      <c r="C1537" t="s">
        <v>810</v>
      </c>
      <c r="D1537" t="s">
        <v>35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384.82749999999999</v>
      </c>
      <c r="Q1537">
        <v>0</v>
      </c>
      <c r="R1537">
        <v>384.82749999999999</v>
      </c>
    </row>
    <row r="1538" spans="1:18" hidden="1" x14ac:dyDescent="0.25">
      <c r="A1538" t="s">
        <v>1666</v>
      </c>
      <c r="B1538" t="s">
        <v>37</v>
      </c>
      <c r="C1538" t="s">
        <v>819</v>
      </c>
      <c r="D1538" t="s">
        <v>21</v>
      </c>
      <c r="E1538">
        <v>210.17339999999999</v>
      </c>
      <c r="F1538">
        <v>0</v>
      </c>
      <c r="G1538">
        <v>266.27330000000001</v>
      </c>
      <c r="H1538">
        <v>0</v>
      </c>
      <c r="I1538">
        <v>0</v>
      </c>
      <c r="J1538">
        <v>0</v>
      </c>
      <c r="K1538">
        <v>223.34200000000001</v>
      </c>
      <c r="L1538">
        <v>0</v>
      </c>
      <c r="M1538">
        <v>0</v>
      </c>
      <c r="N1538">
        <v>214.577</v>
      </c>
      <c r="O1538">
        <v>210.298</v>
      </c>
      <c r="P1538">
        <v>0</v>
      </c>
      <c r="R1538">
        <v>0</v>
      </c>
    </row>
    <row r="1539" spans="1:18" hidden="1" x14ac:dyDescent="0.25">
      <c r="A1539" t="s">
        <v>1667</v>
      </c>
      <c r="B1539" t="s">
        <v>37</v>
      </c>
      <c r="C1539" t="s">
        <v>819</v>
      </c>
      <c r="D1539" t="s">
        <v>23</v>
      </c>
      <c r="E1539">
        <v>318.26659999999998</v>
      </c>
      <c r="F1539">
        <v>0</v>
      </c>
      <c r="G1539">
        <v>333.66669999999999</v>
      </c>
      <c r="H1539">
        <v>0</v>
      </c>
      <c r="I1539">
        <v>0</v>
      </c>
      <c r="J1539">
        <v>0</v>
      </c>
      <c r="K1539">
        <v>332.44400000000002</v>
      </c>
      <c r="L1539">
        <v>0</v>
      </c>
      <c r="M1539">
        <v>0</v>
      </c>
      <c r="N1539">
        <v>344.96</v>
      </c>
      <c r="O1539">
        <v>318.10899999999998</v>
      </c>
      <c r="P1539">
        <v>316.71379999999999</v>
      </c>
      <c r="R1539">
        <v>316.71379999999999</v>
      </c>
    </row>
    <row r="1540" spans="1:18" hidden="1" x14ac:dyDescent="0.25">
      <c r="A1540" t="s">
        <v>1668</v>
      </c>
      <c r="B1540" t="s">
        <v>37</v>
      </c>
      <c r="C1540" t="s">
        <v>819</v>
      </c>
      <c r="D1540" t="s">
        <v>25</v>
      </c>
      <c r="E1540">
        <v>340.56</v>
      </c>
      <c r="F1540">
        <v>0</v>
      </c>
      <c r="G1540">
        <v>375.76</v>
      </c>
      <c r="H1540">
        <v>0</v>
      </c>
      <c r="I1540">
        <v>0</v>
      </c>
      <c r="J1540">
        <v>0</v>
      </c>
      <c r="K1540">
        <v>367.43279999999999</v>
      </c>
      <c r="L1540">
        <v>0</v>
      </c>
      <c r="M1540">
        <v>0</v>
      </c>
      <c r="N1540">
        <v>382.36</v>
      </c>
      <c r="O1540">
        <v>416.60300000000001</v>
      </c>
      <c r="P1540">
        <v>336.99639999999999</v>
      </c>
      <c r="R1540">
        <v>336.99639999999999</v>
      </c>
    </row>
    <row r="1541" spans="1:18" hidden="1" x14ac:dyDescent="0.25">
      <c r="A1541" t="s">
        <v>1669</v>
      </c>
      <c r="B1541" t="s">
        <v>37</v>
      </c>
      <c r="C1541" t="s">
        <v>819</v>
      </c>
      <c r="D1541" t="s">
        <v>27</v>
      </c>
      <c r="E1541">
        <v>461.56</v>
      </c>
      <c r="F1541">
        <v>0</v>
      </c>
      <c r="G1541">
        <v>517.66</v>
      </c>
      <c r="H1541">
        <v>0</v>
      </c>
      <c r="I1541">
        <v>492.36</v>
      </c>
      <c r="J1541">
        <v>0</v>
      </c>
      <c r="K1541">
        <v>0</v>
      </c>
      <c r="L1541">
        <v>0</v>
      </c>
      <c r="M1541">
        <v>478.46370000000002</v>
      </c>
      <c r="N1541">
        <v>554.4</v>
      </c>
      <c r="O1541">
        <v>493.80099999999999</v>
      </c>
      <c r="P1541">
        <v>467.45609999999999</v>
      </c>
      <c r="R1541">
        <v>467.45609999999999</v>
      </c>
    </row>
    <row r="1542" spans="1:18" hidden="1" x14ac:dyDescent="0.25">
      <c r="A1542" t="s">
        <v>1670</v>
      </c>
      <c r="B1542" t="s">
        <v>37</v>
      </c>
      <c r="C1542" t="s">
        <v>819</v>
      </c>
      <c r="D1542" t="s">
        <v>29</v>
      </c>
      <c r="E1542">
        <v>225.57339999999999</v>
      </c>
      <c r="F1542">
        <v>0</v>
      </c>
      <c r="G1542">
        <v>273.97329999999999</v>
      </c>
      <c r="H1542">
        <v>0</v>
      </c>
      <c r="I1542">
        <v>0</v>
      </c>
      <c r="J1542">
        <v>0</v>
      </c>
      <c r="K1542">
        <v>227.899</v>
      </c>
      <c r="L1542">
        <v>0</v>
      </c>
      <c r="M1542">
        <v>0</v>
      </c>
      <c r="N1542">
        <v>236.577</v>
      </c>
      <c r="O1542">
        <v>246.23500000000001</v>
      </c>
      <c r="P1542">
        <v>225.72</v>
      </c>
      <c r="R1542">
        <v>225.72</v>
      </c>
    </row>
    <row r="1543" spans="1:18" hidden="1" x14ac:dyDescent="0.25">
      <c r="A1543" t="s">
        <v>1671</v>
      </c>
      <c r="B1543" t="s">
        <v>37</v>
      </c>
      <c r="C1543" t="s">
        <v>819</v>
      </c>
      <c r="D1543" t="s">
        <v>31</v>
      </c>
      <c r="E1543">
        <v>266.56659999999999</v>
      </c>
      <c r="F1543">
        <v>0</v>
      </c>
      <c r="G1543">
        <v>301.76670000000001</v>
      </c>
      <c r="H1543">
        <v>0</v>
      </c>
      <c r="I1543">
        <v>297.55</v>
      </c>
      <c r="J1543">
        <v>0</v>
      </c>
      <c r="K1543">
        <v>288.37549999999999</v>
      </c>
      <c r="L1543">
        <v>0</v>
      </c>
      <c r="M1543">
        <v>0</v>
      </c>
      <c r="N1543">
        <v>265.46300000000002</v>
      </c>
      <c r="O1543">
        <v>274.18599999999998</v>
      </c>
      <c r="P1543">
        <v>263.60329999999999</v>
      </c>
      <c r="R1543">
        <v>263.60329999999999</v>
      </c>
    </row>
    <row r="1544" spans="1:18" hidden="1" x14ac:dyDescent="0.25">
      <c r="A1544" t="s">
        <v>1672</v>
      </c>
      <c r="B1544" t="s">
        <v>37</v>
      </c>
      <c r="C1544" t="s">
        <v>819</v>
      </c>
      <c r="D1544" t="s">
        <v>33</v>
      </c>
      <c r="E1544">
        <v>292.96660000000003</v>
      </c>
      <c r="F1544">
        <v>0</v>
      </c>
      <c r="G1544">
        <v>314.9667</v>
      </c>
      <c r="H1544">
        <v>0</v>
      </c>
      <c r="I1544">
        <v>297.55</v>
      </c>
      <c r="J1544">
        <v>0</v>
      </c>
      <c r="K1544">
        <v>303.71600000000001</v>
      </c>
      <c r="L1544">
        <v>0</v>
      </c>
      <c r="M1544">
        <v>0</v>
      </c>
      <c r="N1544">
        <v>287.46300000000002</v>
      </c>
      <c r="O1544">
        <v>300.80599999999998</v>
      </c>
      <c r="P1544">
        <v>289.73669999999998</v>
      </c>
      <c r="R1544">
        <v>289.73669999999998</v>
      </c>
    </row>
    <row r="1545" spans="1:18" hidden="1" x14ac:dyDescent="0.25">
      <c r="A1545" t="s">
        <v>1673</v>
      </c>
      <c r="B1545" t="s">
        <v>37</v>
      </c>
      <c r="C1545" t="s">
        <v>819</v>
      </c>
      <c r="D1545" t="s">
        <v>35</v>
      </c>
      <c r="E1545">
        <v>581.9</v>
      </c>
      <c r="F1545">
        <v>0</v>
      </c>
      <c r="G1545">
        <v>561.78570000000002</v>
      </c>
      <c r="H1545">
        <v>0</v>
      </c>
      <c r="I1545">
        <v>504.07499999999999</v>
      </c>
      <c r="J1545">
        <v>0</v>
      </c>
      <c r="K1545">
        <v>0</v>
      </c>
      <c r="L1545">
        <v>0</v>
      </c>
      <c r="M1545">
        <v>533.63969999999995</v>
      </c>
      <c r="N1545">
        <v>579.04</v>
      </c>
      <c r="O1545">
        <v>616.25300000000004</v>
      </c>
      <c r="P1545">
        <v>493.57440000000003</v>
      </c>
      <c r="R1545">
        <v>520.27800000000002</v>
      </c>
    </row>
    <row r="1546" spans="1:18" hidden="1" x14ac:dyDescent="0.25">
      <c r="A1546" t="s">
        <v>1674</v>
      </c>
      <c r="B1546" t="s">
        <v>37</v>
      </c>
      <c r="C1546" t="s">
        <v>828</v>
      </c>
      <c r="D1546" t="s">
        <v>21</v>
      </c>
      <c r="E1546">
        <v>164.45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176.13890000000001</v>
      </c>
      <c r="L1546">
        <v>0</v>
      </c>
      <c r="M1546">
        <v>0</v>
      </c>
      <c r="N1546">
        <v>152.625</v>
      </c>
      <c r="O1546">
        <v>179.685</v>
      </c>
      <c r="P1546">
        <v>0</v>
      </c>
      <c r="R1546">
        <v>0</v>
      </c>
    </row>
    <row r="1547" spans="1:18" hidden="1" x14ac:dyDescent="0.25">
      <c r="A1547" t="s">
        <v>1675</v>
      </c>
      <c r="B1547" t="s">
        <v>37</v>
      </c>
      <c r="C1547" t="s">
        <v>828</v>
      </c>
      <c r="D1547" t="s">
        <v>23</v>
      </c>
      <c r="E1547">
        <v>274.505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289.13369999999998</v>
      </c>
      <c r="L1547">
        <v>0</v>
      </c>
      <c r="M1547">
        <v>0</v>
      </c>
      <c r="N1547">
        <v>293.04000000000002</v>
      </c>
      <c r="O1547">
        <v>326.09500000000003</v>
      </c>
      <c r="P1547">
        <v>247.82490000000001</v>
      </c>
      <c r="R1547">
        <v>250.55799999999999</v>
      </c>
    </row>
    <row r="1548" spans="1:18" hidden="1" x14ac:dyDescent="0.25">
      <c r="A1548" t="s">
        <v>1676</v>
      </c>
      <c r="B1548" t="s">
        <v>37</v>
      </c>
      <c r="C1548" t="s">
        <v>828</v>
      </c>
      <c r="D1548" t="s">
        <v>25</v>
      </c>
      <c r="E1548">
        <v>316.00799999999998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315.46050000000002</v>
      </c>
      <c r="L1548">
        <v>0</v>
      </c>
      <c r="M1548">
        <v>0</v>
      </c>
      <c r="N1548">
        <v>305.25</v>
      </c>
      <c r="O1548">
        <v>464.51900000000001</v>
      </c>
      <c r="P1548">
        <v>251.524</v>
      </c>
      <c r="R1548">
        <v>274.87900000000002</v>
      </c>
    </row>
    <row r="1549" spans="1:18" hidden="1" x14ac:dyDescent="0.25">
      <c r="A1549" t="s">
        <v>1677</v>
      </c>
      <c r="B1549" t="s">
        <v>37</v>
      </c>
      <c r="C1549" t="s">
        <v>828</v>
      </c>
      <c r="D1549" t="s">
        <v>27</v>
      </c>
      <c r="E1549">
        <v>528.69299999999998</v>
      </c>
      <c r="F1549">
        <v>0</v>
      </c>
      <c r="G1549">
        <v>0</v>
      </c>
      <c r="H1549">
        <v>0</v>
      </c>
      <c r="I1549">
        <v>378.51</v>
      </c>
      <c r="J1549">
        <v>0</v>
      </c>
      <c r="K1549">
        <v>0</v>
      </c>
      <c r="L1549">
        <v>0</v>
      </c>
      <c r="M1549">
        <v>0</v>
      </c>
      <c r="N1549">
        <v>366.3</v>
      </c>
      <c r="O1549">
        <v>576.32299999999998</v>
      </c>
      <c r="P1549">
        <v>360.7758</v>
      </c>
      <c r="R1549">
        <v>438.57</v>
      </c>
    </row>
    <row r="1550" spans="1:18" hidden="1" x14ac:dyDescent="0.25">
      <c r="A1550" t="s">
        <v>1678</v>
      </c>
      <c r="B1550" t="s">
        <v>37</v>
      </c>
      <c r="C1550" t="s">
        <v>828</v>
      </c>
      <c r="D1550" t="s">
        <v>29</v>
      </c>
      <c r="E1550">
        <v>157.08000000000001</v>
      </c>
      <c r="F1550">
        <v>0</v>
      </c>
      <c r="G1550">
        <v>186.78</v>
      </c>
      <c r="H1550">
        <v>0</v>
      </c>
      <c r="I1550">
        <v>0</v>
      </c>
      <c r="J1550">
        <v>0</v>
      </c>
      <c r="K1550">
        <v>161.553</v>
      </c>
      <c r="L1550">
        <v>0</v>
      </c>
      <c r="M1550">
        <v>0</v>
      </c>
      <c r="N1550">
        <v>158.72999999999999</v>
      </c>
      <c r="O1550">
        <v>210.298</v>
      </c>
      <c r="P1550">
        <v>163.02000000000001</v>
      </c>
      <c r="R1550">
        <v>163.02000000000001</v>
      </c>
    </row>
    <row r="1551" spans="1:18" hidden="1" x14ac:dyDescent="0.25">
      <c r="A1551" t="s">
        <v>1679</v>
      </c>
      <c r="B1551" t="s">
        <v>37</v>
      </c>
      <c r="C1551" t="s">
        <v>828</v>
      </c>
      <c r="D1551" t="s">
        <v>31</v>
      </c>
      <c r="E1551">
        <v>215.6</v>
      </c>
      <c r="F1551">
        <v>0</v>
      </c>
      <c r="G1551">
        <v>212.3</v>
      </c>
      <c r="H1551">
        <v>0</v>
      </c>
      <c r="I1551">
        <v>236.68700000000001</v>
      </c>
      <c r="J1551">
        <v>0</v>
      </c>
      <c r="K1551">
        <v>238.42910000000001</v>
      </c>
      <c r="L1551">
        <v>0</v>
      </c>
      <c r="M1551">
        <v>0</v>
      </c>
      <c r="N1551">
        <v>244.2</v>
      </c>
      <c r="O1551">
        <v>240.911</v>
      </c>
      <c r="P1551">
        <v>222.74799999999999</v>
      </c>
      <c r="R1551">
        <v>222.74799999999999</v>
      </c>
    </row>
    <row r="1552" spans="1:18" hidden="1" x14ac:dyDescent="0.25">
      <c r="A1552" t="s">
        <v>1680</v>
      </c>
      <c r="B1552" t="s">
        <v>37</v>
      </c>
      <c r="C1552" t="s">
        <v>828</v>
      </c>
      <c r="D1552" t="s">
        <v>33</v>
      </c>
      <c r="E1552">
        <v>258.32400000000001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251.46879999999999</v>
      </c>
      <c r="L1552">
        <v>0</v>
      </c>
      <c r="M1552">
        <v>0</v>
      </c>
      <c r="N1552">
        <v>256.41000000000003</v>
      </c>
      <c r="O1552">
        <v>279.51</v>
      </c>
      <c r="P1552">
        <v>232.6421</v>
      </c>
      <c r="R1552">
        <v>232.6421</v>
      </c>
    </row>
    <row r="1553" spans="1:18" hidden="1" x14ac:dyDescent="0.25">
      <c r="A1553" t="s">
        <v>1681</v>
      </c>
      <c r="B1553" t="s">
        <v>37</v>
      </c>
      <c r="C1553" t="s">
        <v>828</v>
      </c>
      <c r="D1553" t="s">
        <v>35</v>
      </c>
      <c r="E1553">
        <v>630.03599999999994</v>
      </c>
      <c r="F1553">
        <v>0</v>
      </c>
      <c r="G1553">
        <v>0</v>
      </c>
      <c r="H1553">
        <v>0</v>
      </c>
      <c r="I1553">
        <v>378.51</v>
      </c>
      <c r="J1553">
        <v>0</v>
      </c>
      <c r="K1553">
        <v>0</v>
      </c>
      <c r="L1553">
        <v>0</v>
      </c>
      <c r="M1553">
        <v>0</v>
      </c>
      <c r="N1553">
        <v>378.51</v>
      </c>
      <c r="O1553">
        <v>686.79600000000005</v>
      </c>
      <c r="P1553">
        <v>372.28750000000002</v>
      </c>
      <c r="R1553">
        <v>526.65800000000002</v>
      </c>
    </row>
    <row r="1554" spans="1:18" hidden="1" x14ac:dyDescent="0.25">
      <c r="A1554" t="s">
        <v>1682</v>
      </c>
      <c r="B1554" t="s">
        <v>37</v>
      </c>
      <c r="C1554" t="s">
        <v>837</v>
      </c>
      <c r="D1554" t="s">
        <v>21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R1554">
        <v>0</v>
      </c>
    </row>
    <row r="1555" spans="1:18" hidden="1" x14ac:dyDescent="0.25">
      <c r="A1555" t="s">
        <v>1683</v>
      </c>
      <c r="B1555" t="s">
        <v>37</v>
      </c>
      <c r="C1555" t="s">
        <v>837</v>
      </c>
      <c r="D1555" t="s">
        <v>23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281.22199999999998</v>
      </c>
      <c r="R1555">
        <v>281.22199999999998</v>
      </c>
    </row>
    <row r="1556" spans="1:18" hidden="1" x14ac:dyDescent="0.25">
      <c r="A1556" t="s">
        <v>1684</v>
      </c>
      <c r="B1556" t="s">
        <v>37</v>
      </c>
      <c r="C1556" t="s">
        <v>837</v>
      </c>
      <c r="D1556" t="s">
        <v>25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293.08550000000002</v>
      </c>
      <c r="R1556">
        <v>293.08550000000002</v>
      </c>
    </row>
    <row r="1557" spans="1:18" hidden="1" x14ac:dyDescent="0.25">
      <c r="A1557" t="s">
        <v>1685</v>
      </c>
      <c r="B1557" t="s">
        <v>37</v>
      </c>
      <c r="C1557" t="s">
        <v>837</v>
      </c>
      <c r="D1557" t="s">
        <v>27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397.36750000000001</v>
      </c>
      <c r="R1557">
        <v>397.36750000000001</v>
      </c>
    </row>
    <row r="1558" spans="1:18" hidden="1" x14ac:dyDescent="0.25">
      <c r="A1558" t="s">
        <v>1686</v>
      </c>
      <c r="B1558" t="s">
        <v>37</v>
      </c>
      <c r="C1558" t="s">
        <v>837</v>
      </c>
      <c r="D1558" t="s">
        <v>29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163.02000000000001</v>
      </c>
      <c r="R1558">
        <v>163.02000000000001</v>
      </c>
    </row>
    <row r="1559" spans="1:18" hidden="1" x14ac:dyDescent="0.25">
      <c r="A1559" t="s">
        <v>1687</v>
      </c>
      <c r="B1559" t="s">
        <v>37</v>
      </c>
      <c r="C1559" t="s">
        <v>837</v>
      </c>
      <c r="D1559" t="s">
        <v>31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221.75739999999999</v>
      </c>
      <c r="R1559">
        <v>221.75739999999999</v>
      </c>
    </row>
    <row r="1560" spans="1:18" hidden="1" x14ac:dyDescent="0.25">
      <c r="A1560" t="s">
        <v>1688</v>
      </c>
      <c r="B1560" t="s">
        <v>37</v>
      </c>
      <c r="C1560" t="s">
        <v>837</v>
      </c>
      <c r="D1560" t="s">
        <v>33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235.9401</v>
      </c>
      <c r="R1560">
        <v>235.9401</v>
      </c>
    </row>
    <row r="1561" spans="1:18" hidden="1" x14ac:dyDescent="0.25">
      <c r="A1561" t="s">
        <v>1689</v>
      </c>
      <c r="B1561" t="s">
        <v>37</v>
      </c>
      <c r="C1561" t="s">
        <v>837</v>
      </c>
      <c r="D1561" t="s">
        <v>35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420.39100000000002</v>
      </c>
      <c r="R1561">
        <v>420.39100000000002</v>
      </c>
    </row>
    <row r="1562" spans="1:18" x14ac:dyDescent="0.25">
      <c r="A1562" t="s">
        <v>1690</v>
      </c>
      <c r="B1562" t="s">
        <v>37</v>
      </c>
      <c r="C1562" t="s">
        <v>846</v>
      </c>
      <c r="D1562" t="s">
        <v>21</v>
      </c>
      <c r="E1562">
        <v>113.3</v>
      </c>
      <c r="F1562">
        <v>0</v>
      </c>
      <c r="G1562">
        <v>133.1</v>
      </c>
      <c r="H1562">
        <v>0</v>
      </c>
      <c r="I1562">
        <v>0</v>
      </c>
      <c r="J1562">
        <v>0</v>
      </c>
      <c r="K1562">
        <v>100.5937</v>
      </c>
      <c r="L1562">
        <v>0</v>
      </c>
      <c r="M1562">
        <v>0</v>
      </c>
      <c r="N1562">
        <v>103.785</v>
      </c>
      <c r="O1562">
        <v>97.162999999999997</v>
      </c>
      <c r="P1562">
        <v>0</v>
      </c>
      <c r="Q1562">
        <v>0</v>
      </c>
      <c r="R1562">
        <v>0</v>
      </c>
    </row>
    <row r="1563" spans="1:18" x14ac:dyDescent="0.25">
      <c r="A1563" t="s">
        <v>1691</v>
      </c>
      <c r="B1563" t="s">
        <v>37</v>
      </c>
      <c r="C1563" t="s">
        <v>846</v>
      </c>
      <c r="D1563" t="s">
        <v>23</v>
      </c>
      <c r="E1563">
        <v>154</v>
      </c>
      <c r="F1563">
        <v>0</v>
      </c>
      <c r="G1563">
        <v>167.2</v>
      </c>
      <c r="H1563">
        <v>0</v>
      </c>
      <c r="I1563">
        <v>0</v>
      </c>
      <c r="J1563">
        <v>0</v>
      </c>
      <c r="K1563">
        <v>213.68459999999999</v>
      </c>
      <c r="L1563">
        <v>0</v>
      </c>
      <c r="M1563">
        <v>0</v>
      </c>
      <c r="N1563">
        <v>170.94</v>
      </c>
      <c r="O1563">
        <v>163.35</v>
      </c>
      <c r="P1563">
        <v>152.52930000000001</v>
      </c>
      <c r="Q1563">
        <v>0</v>
      </c>
      <c r="R1563">
        <v>152.52930000000001</v>
      </c>
    </row>
    <row r="1564" spans="1:18" x14ac:dyDescent="0.25">
      <c r="A1564" t="s">
        <v>1692</v>
      </c>
      <c r="B1564" t="s">
        <v>37</v>
      </c>
      <c r="C1564" t="s">
        <v>846</v>
      </c>
      <c r="D1564" t="s">
        <v>25</v>
      </c>
      <c r="E1564">
        <v>166.1</v>
      </c>
      <c r="F1564">
        <v>0</v>
      </c>
      <c r="G1564">
        <v>166.1</v>
      </c>
      <c r="H1564">
        <v>0</v>
      </c>
      <c r="I1564">
        <v>0</v>
      </c>
      <c r="J1564">
        <v>0</v>
      </c>
      <c r="K1564">
        <v>224.92160000000001</v>
      </c>
      <c r="L1564">
        <v>0</v>
      </c>
      <c r="M1564">
        <v>0</v>
      </c>
      <c r="N1564">
        <v>197.12</v>
      </c>
      <c r="O1564">
        <v>175.45</v>
      </c>
      <c r="P1564">
        <v>159.3158</v>
      </c>
      <c r="Q1564">
        <v>0</v>
      </c>
      <c r="R1564">
        <v>159.3158</v>
      </c>
    </row>
    <row r="1565" spans="1:18" x14ac:dyDescent="0.25">
      <c r="A1565" t="s">
        <v>1693</v>
      </c>
      <c r="B1565" t="s">
        <v>37</v>
      </c>
      <c r="C1565" t="s">
        <v>846</v>
      </c>
      <c r="D1565" t="s">
        <v>27</v>
      </c>
      <c r="E1565">
        <v>326.7</v>
      </c>
      <c r="F1565">
        <v>0</v>
      </c>
      <c r="G1565">
        <v>291.5</v>
      </c>
      <c r="H1565">
        <v>0</v>
      </c>
      <c r="I1565">
        <v>281.60000000000002</v>
      </c>
      <c r="J1565">
        <v>0</v>
      </c>
      <c r="K1565">
        <v>0</v>
      </c>
      <c r="L1565">
        <v>0</v>
      </c>
      <c r="M1565">
        <v>132</v>
      </c>
      <c r="N1565">
        <v>258.72000000000003</v>
      </c>
      <c r="O1565">
        <v>255.55199999999999</v>
      </c>
      <c r="P1565">
        <v>255.0489</v>
      </c>
      <c r="Q1565">
        <v>0</v>
      </c>
      <c r="R1565">
        <v>255.0488</v>
      </c>
    </row>
    <row r="1566" spans="1:18" x14ac:dyDescent="0.25">
      <c r="A1566" t="s">
        <v>1694</v>
      </c>
      <c r="B1566" t="s">
        <v>37</v>
      </c>
      <c r="C1566" t="s">
        <v>846</v>
      </c>
      <c r="D1566" t="s">
        <v>29</v>
      </c>
      <c r="E1566">
        <v>113.3</v>
      </c>
      <c r="F1566">
        <v>114.95</v>
      </c>
      <c r="G1566">
        <v>138.6</v>
      </c>
      <c r="H1566">
        <v>0</v>
      </c>
      <c r="I1566">
        <v>0</v>
      </c>
      <c r="J1566">
        <v>0</v>
      </c>
      <c r="K1566">
        <v>110.0613</v>
      </c>
      <c r="L1566">
        <v>0</v>
      </c>
      <c r="M1566">
        <v>0</v>
      </c>
      <c r="N1566">
        <v>109.89</v>
      </c>
      <c r="O1566">
        <v>117.128</v>
      </c>
      <c r="P1566">
        <v>108.8974</v>
      </c>
      <c r="Q1566">
        <v>114.95</v>
      </c>
      <c r="R1566">
        <v>108.8974</v>
      </c>
    </row>
    <row r="1567" spans="1:18" x14ac:dyDescent="0.25">
      <c r="A1567" t="s">
        <v>1695</v>
      </c>
      <c r="B1567" t="s">
        <v>37</v>
      </c>
      <c r="C1567" t="s">
        <v>846</v>
      </c>
      <c r="D1567" t="s">
        <v>31</v>
      </c>
      <c r="E1567">
        <v>121</v>
      </c>
      <c r="F1567">
        <v>152.46</v>
      </c>
      <c r="G1567">
        <v>144.1</v>
      </c>
      <c r="H1567">
        <v>0</v>
      </c>
      <c r="I1567">
        <v>136.58699999999999</v>
      </c>
      <c r="J1567">
        <v>0</v>
      </c>
      <c r="K1567">
        <v>130.18010000000001</v>
      </c>
      <c r="L1567">
        <v>0</v>
      </c>
      <c r="M1567">
        <v>0</v>
      </c>
      <c r="N1567">
        <v>123.2</v>
      </c>
      <c r="O1567">
        <v>102.85</v>
      </c>
      <c r="P1567">
        <v>107.5514</v>
      </c>
      <c r="Q1567">
        <v>152.46</v>
      </c>
      <c r="R1567">
        <v>107.5514</v>
      </c>
    </row>
    <row r="1568" spans="1:18" x14ac:dyDescent="0.25">
      <c r="A1568" t="s">
        <v>1696</v>
      </c>
      <c r="B1568" t="s">
        <v>37</v>
      </c>
      <c r="C1568" t="s">
        <v>846</v>
      </c>
      <c r="D1568" t="s">
        <v>33</v>
      </c>
      <c r="E1568">
        <v>126.5</v>
      </c>
      <c r="F1568">
        <v>157.30000000000001</v>
      </c>
      <c r="G1568">
        <v>145.19999999999999</v>
      </c>
      <c r="H1568">
        <v>0</v>
      </c>
      <c r="I1568">
        <v>136.58699999999999</v>
      </c>
      <c r="J1568">
        <v>0</v>
      </c>
      <c r="K1568">
        <v>124.2628</v>
      </c>
      <c r="L1568">
        <v>0</v>
      </c>
      <c r="M1568">
        <v>0</v>
      </c>
      <c r="N1568">
        <v>135.52000000000001</v>
      </c>
      <c r="O1568">
        <v>114.95</v>
      </c>
      <c r="P1568">
        <v>118.1686</v>
      </c>
      <c r="Q1568">
        <v>157.30000000000001</v>
      </c>
      <c r="R1568">
        <v>118.1686</v>
      </c>
    </row>
    <row r="1569" spans="1:18" x14ac:dyDescent="0.25">
      <c r="A1569" t="s">
        <v>1697</v>
      </c>
      <c r="B1569" t="s">
        <v>37</v>
      </c>
      <c r="C1569" t="s">
        <v>846</v>
      </c>
      <c r="D1569" t="s">
        <v>35</v>
      </c>
      <c r="E1569">
        <v>388.85</v>
      </c>
      <c r="F1569">
        <v>0</v>
      </c>
      <c r="G1569">
        <v>298.72859999999997</v>
      </c>
      <c r="H1569">
        <v>0</v>
      </c>
      <c r="I1569">
        <v>284.625</v>
      </c>
      <c r="J1569">
        <v>0</v>
      </c>
      <c r="K1569">
        <v>0</v>
      </c>
      <c r="L1569">
        <v>0</v>
      </c>
      <c r="M1569">
        <v>132</v>
      </c>
      <c r="N1569">
        <v>283.36</v>
      </c>
      <c r="O1569">
        <v>302.137</v>
      </c>
      <c r="P1569">
        <v>275.63330000000002</v>
      </c>
      <c r="Q1569">
        <v>0</v>
      </c>
      <c r="R1569">
        <v>275.63319999999999</v>
      </c>
    </row>
    <row r="1570" spans="1:18" hidden="1" x14ac:dyDescent="0.25">
      <c r="A1570" t="s">
        <v>1698</v>
      </c>
      <c r="B1570" t="s">
        <v>37</v>
      </c>
      <c r="C1570" t="s">
        <v>855</v>
      </c>
      <c r="D1570" t="s">
        <v>21</v>
      </c>
      <c r="E1570">
        <v>189.05340000000001</v>
      </c>
      <c r="F1570">
        <v>0</v>
      </c>
      <c r="G1570">
        <v>237.45330000000001</v>
      </c>
      <c r="H1570">
        <v>0</v>
      </c>
      <c r="I1570">
        <v>0</v>
      </c>
      <c r="J1570">
        <v>0</v>
      </c>
      <c r="K1570">
        <v>192.97239999999999</v>
      </c>
      <c r="L1570">
        <v>0</v>
      </c>
      <c r="M1570">
        <v>0</v>
      </c>
      <c r="N1570">
        <v>186.857</v>
      </c>
      <c r="O1570">
        <v>185.00899999999999</v>
      </c>
      <c r="P1570">
        <v>0</v>
      </c>
      <c r="R1570">
        <v>0</v>
      </c>
    </row>
    <row r="1571" spans="1:18" hidden="1" x14ac:dyDescent="0.25">
      <c r="A1571" t="s">
        <v>1699</v>
      </c>
      <c r="B1571" t="s">
        <v>37</v>
      </c>
      <c r="C1571" t="s">
        <v>855</v>
      </c>
      <c r="D1571" t="s">
        <v>23</v>
      </c>
      <c r="E1571">
        <v>287.166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314.75470000000001</v>
      </c>
      <c r="L1571">
        <v>0</v>
      </c>
      <c r="M1571">
        <v>0</v>
      </c>
      <c r="N1571">
        <v>280.83</v>
      </c>
      <c r="O1571">
        <v>290.15800000000002</v>
      </c>
      <c r="P1571">
        <v>285.81299999999999</v>
      </c>
      <c r="R1571">
        <v>285.81299999999999</v>
      </c>
    </row>
    <row r="1572" spans="1:18" hidden="1" x14ac:dyDescent="0.25">
      <c r="A1572" t="s">
        <v>1700</v>
      </c>
      <c r="B1572" t="s">
        <v>37</v>
      </c>
      <c r="C1572" t="s">
        <v>855</v>
      </c>
      <c r="D1572" t="s">
        <v>25</v>
      </c>
      <c r="E1572">
        <v>306.68</v>
      </c>
      <c r="F1572">
        <v>0</v>
      </c>
      <c r="G1572">
        <v>334.18</v>
      </c>
      <c r="H1572">
        <v>0</v>
      </c>
      <c r="I1572">
        <v>0</v>
      </c>
      <c r="J1572">
        <v>0</v>
      </c>
      <c r="K1572">
        <v>346.20569999999998</v>
      </c>
      <c r="L1572">
        <v>0</v>
      </c>
      <c r="M1572">
        <v>0</v>
      </c>
      <c r="N1572">
        <v>308</v>
      </c>
      <c r="O1572">
        <v>296.45</v>
      </c>
      <c r="P1572">
        <v>286.7518</v>
      </c>
      <c r="R1572">
        <v>286.7518</v>
      </c>
    </row>
    <row r="1573" spans="1:18" hidden="1" x14ac:dyDescent="0.25">
      <c r="A1573" t="s">
        <v>1701</v>
      </c>
      <c r="B1573" t="s">
        <v>37</v>
      </c>
      <c r="C1573" t="s">
        <v>855</v>
      </c>
      <c r="D1573" t="s">
        <v>27</v>
      </c>
      <c r="E1573">
        <v>422.59800000000001</v>
      </c>
      <c r="F1573">
        <v>0</v>
      </c>
      <c r="G1573">
        <v>0</v>
      </c>
      <c r="H1573">
        <v>523.38</v>
      </c>
      <c r="I1573">
        <v>457.875</v>
      </c>
      <c r="J1573">
        <v>0</v>
      </c>
      <c r="K1573">
        <v>0</v>
      </c>
      <c r="L1573">
        <v>0</v>
      </c>
      <c r="M1573">
        <v>427.6454</v>
      </c>
      <c r="N1573">
        <v>463.98</v>
      </c>
      <c r="O1573">
        <v>435.23700000000002</v>
      </c>
      <c r="P1573">
        <v>398.7971</v>
      </c>
      <c r="R1573">
        <v>398.7971</v>
      </c>
    </row>
    <row r="1574" spans="1:18" hidden="1" x14ac:dyDescent="0.25">
      <c r="A1574" t="s">
        <v>1702</v>
      </c>
      <c r="B1574" t="s">
        <v>37</v>
      </c>
      <c r="C1574" t="s">
        <v>855</v>
      </c>
      <c r="D1574" t="s">
        <v>29</v>
      </c>
      <c r="E1574">
        <v>195.6534</v>
      </c>
      <c r="F1574">
        <v>0</v>
      </c>
      <c r="G1574">
        <v>245.1533</v>
      </c>
      <c r="H1574">
        <v>0</v>
      </c>
      <c r="I1574">
        <v>0</v>
      </c>
      <c r="J1574">
        <v>0</v>
      </c>
      <c r="K1574">
        <v>218.26849999999999</v>
      </c>
      <c r="L1574">
        <v>0</v>
      </c>
      <c r="M1574">
        <v>0</v>
      </c>
      <c r="N1574">
        <v>208.857</v>
      </c>
      <c r="O1574">
        <v>247.566</v>
      </c>
      <c r="P1574">
        <v>200.84059999999999</v>
      </c>
      <c r="R1574">
        <v>200.84059999999999</v>
      </c>
    </row>
    <row r="1575" spans="1:18" hidden="1" x14ac:dyDescent="0.25">
      <c r="A1575" t="s">
        <v>1703</v>
      </c>
      <c r="B1575" t="s">
        <v>37</v>
      </c>
      <c r="C1575" t="s">
        <v>855</v>
      </c>
      <c r="D1575" t="s">
        <v>31</v>
      </c>
      <c r="E1575">
        <v>231.91659999999999</v>
      </c>
      <c r="F1575">
        <v>0</v>
      </c>
      <c r="G1575">
        <v>268.2167</v>
      </c>
      <c r="H1575">
        <v>0</v>
      </c>
      <c r="I1575">
        <v>262.89999999999998</v>
      </c>
      <c r="J1575">
        <v>0</v>
      </c>
      <c r="K1575">
        <v>257.01960000000003</v>
      </c>
      <c r="L1575">
        <v>0</v>
      </c>
      <c r="M1575">
        <v>0</v>
      </c>
      <c r="N1575">
        <v>247.31299999999999</v>
      </c>
      <c r="O1575">
        <v>252.89</v>
      </c>
      <c r="P1575">
        <v>226.54140000000001</v>
      </c>
      <c r="R1575">
        <v>226.54140000000001</v>
      </c>
    </row>
    <row r="1576" spans="1:18" hidden="1" x14ac:dyDescent="0.25">
      <c r="A1576" t="s">
        <v>1704</v>
      </c>
      <c r="B1576" t="s">
        <v>37</v>
      </c>
      <c r="C1576" t="s">
        <v>855</v>
      </c>
      <c r="D1576" t="s">
        <v>33</v>
      </c>
      <c r="E1576">
        <v>266.01659999999998</v>
      </c>
      <c r="F1576">
        <v>0</v>
      </c>
      <c r="G1576">
        <v>278.11669999999998</v>
      </c>
      <c r="H1576">
        <v>0</v>
      </c>
      <c r="I1576">
        <v>262.89999999999998</v>
      </c>
      <c r="J1576">
        <v>0</v>
      </c>
      <c r="K1576">
        <v>270.4271</v>
      </c>
      <c r="L1576">
        <v>0</v>
      </c>
      <c r="M1576">
        <v>0</v>
      </c>
      <c r="N1576">
        <v>258.31299999999999</v>
      </c>
      <c r="O1576">
        <v>267.53100000000001</v>
      </c>
      <c r="P1576">
        <v>262.34930000000003</v>
      </c>
      <c r="R1576">
        <v>262.34930000000003</v>
      </c>
    </row>
    <row r="1577" spans="1:18" hidden="1" x14ac:dyDescent="0.25">
      <c r="A1577" t="s">
        <v>1705</v>
      </c>
      <c r="B1577" t="s">
        <v>37</v>
      </c>
      <c r="C1577" t="s">
        <v>855</v>
      </c>
      <c r="D1577" t="s">
        <v>35</v>
      </c>
      <c r="E1577">
        <v>477.411</v>
      </c>
      <c r="F1577">
        <v>0</v>
      </c>
      <c r="G1577">
        <v>0</v>
      </c>
      <c r="H1577">
        <v>523.38</v>
      </c>
      <c r="I1577">
        <v>457.875</v>
      </c>
      <c r="J1577">
        <v>0</v>
      </c>
      <c r="K1577">
        <v>0</v>
      </c>
      <c r="L1577">
        <v>0</v>
      </c>
      <c r="M1577">
        <v>461.5034</v>
      </c>
      <c r="N1577">
        <v>488.4</v>
      </c>
      <c r="O1577">
        <v>500.45600000000002</v>
      </c>
      <c r="P1577">
        <v>399.47300000000001</v>
      </c>
      <c r="R1577">
        <v>399.47309999999999</v>
      </c>
    </row>
    <row r="1578" spans="1:18" hidden="1" x14ac:dyDescent="0.25">
      <c r="A1578" t="s">
        <v>1706</v>
      </c>
      <c r="B1578" t="s">
        <v>37</v>
      </c>
      <c r="C1578" t="s">
        <v>864</v>
      </c>
      <c r="D1578" t="s">
        <v>21</v>
      </c>
      <c r="E1578">
        <v>174.46</v>
      </c>
      <c r="F1578">
        <v>0</v>
      </c>
      <c r="G1578">
        <v>220.66</v>
      </c>
      <c r="H1578">
        <v>0</v>
      </c>
      <c r="I1578">
        <v>0</v>
      </c>
      <c r="J1578">
        <v>0</v>
      </c>
      <c r="K1578">
        <v>184.6858</v>
      </c>
      <c r="L1578">
        <v>0</v>
      </c>
      <c r="M1578">
        <v>0</v>
      </c>
      <c r="N1578">
        <v>173.36</v>
      </c>
      <c r="O1578">
        <v>171.69900000000001</v>
      </c>
      <c r="P1578">
        <v>0</v>
      </c>
      <c r="R1578">
        <v>0</v>
      </c>
    </row>
    <row r="1579" spans="1:18" hidden="1" x14ac:dyDescent="0.25">
      <c r="A1579" t="s">
        <v>1707</v>
      </c>
      <c r="B1579" t="s">
        <v>37</v>
      </c>
      <c r="C1579" t="s">
        <v>864</v>
      </c>
      <c r="D1579" t="s">
        <v>23</v>
      </c>
      <c r="E1579">
        <v>233.2</v>
      </c>
      <c r="F1579">
        <v>0</v>
      </c>
      <c r="G1579">
        <v>261.8</v>
      </c>
      <c r="H1579">
        <v>0</v>
      </c>
      <c r="I1579">
        <v>0</v>
      </c>
      <c r="J1579">
        <v>0</v>
      </c>
      <c r="K1579">
        <v>301.60309999999998</v>
      </c>
      <c r="L1579">
        <v>0</v>
      </c>
      <c r="M1579">
        <v>0</v>
      </c>
      <c r="N1579">
        <v>268.62</v>
      </c>
      <c r="O1579">
        <v>246.84</v>
      </c>
      <c r="P1579">
        <v>238.26</v>
      </c>
      <c r="R1579">
        <v>238.26</v>
      </c>
    </row>
    <row r="1580" spans="1:18" hidden="1" x14ac:dyDescent="0.25">
      <c r="A1580" t="s">
        <v>1708</v>
      </c>
      <c r="B1580" t="s">
        <v>37</v>
      </c>
      <c r="C1580" t="s">
        <v>864</v>
      </c>
      <c r="D1580" t="s">
        <v>25</v>
      </c>
      <c r="E1580">
        <v>244.2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330.4237</v>
      </c>
      <c r="L1580">
        <v>0</v>
      </c>
      <c r="M1580">
        <v>0</v>
      </c>
      <c r="N1580">
        <v>293.04000000000002</v>
      </c>
      <c r="O1580">
        <v>255.91499999999999</v>
      </c>
      <c r="P1580">
        <v>250.8</v>
      </c>
      <c r="R1580">
        <v>250.8</v>
      </c>
    </row>
    <row r="1581" spans="1:18" hidden="1" x14ac:dyDescent="0.25">
      <c r="A1581" t="s">
        <v>1709</v>
      </c>
      <c r="B1581" t="s">
        <v>37</v>
      </c>
      <c r="C1581" t="s">
        <v>864</v>
      </c>
      <c r="D1581" t="s">
        <v>27</v>
      </c>
      <c r="E1581">
        <v>363.858</v>
      </c>
      <c r="F1581">
        <v>0</v>
      </c>
      <c r="G1581">
        <v>457.072</v>
      </c>
      <c r="H1581">
        <v>0</v>
      </c>
      <c r="I1581">
        <v>415.14</v>
      </c>
      <c r="J1581">
        <v>0</v>
      </c>
      <c r="K1581">
        <v>0</v>
      </c>
      <c r="L1581">
        <v>0</v>
      </c>
      <c r="M1581">
        <v>403.19240000000002</v>
      </c>
      <c r="N1581">
        <v>451.77</v>
      </c>
      <c r="O1581">
        <v>367.35599999999999</v>
      </c>
      <c r="P1581">
        <v>366.33850000000001</v>
      </c>
      <c r="R1581">
        <v>366.33850000000001</v>
      </c>
    </row>
    <row r="1582" spans="1:18" hidden="1" x14ac:dyDescent="0.25">
      <c r="A1582" t="s">
        <v>1710</v>
      </c>
      <c r="B1582" t="s">
        <v>37</v>
      </c>
      <c r="C1582" t="s">
        <v>864</v>
      </c>
      <c r="D1582" t="s">
        <v>29</v>
      </c>
      <c r="E1582">
        <v>181.06</v>
      </c>
      <c r="F1582">
        <v>0</v>
      </c>
      <c r="G1582">
        <v>227.26</v>
      </c>
      <c r="H1582">
        <v>0</v>
      </c>
      <c r="I1582">
        <v>0</v>
      </c>
      <c r="J1582">
        <v>0</v>
      </c>
      <c r="K1582">
        <v>199.61949999999999</v>
      </c>
      <c r="L1582">
        <v>0</v>
      </c>
      <c r="M1582">
        <v>0</v>
      </c>
      <c r="N1582">
        <v>195.36</v>
      </c>
      <c r="O1582">
        <v>193.6</v>
      </c>
      <c r="P1582">
        <v>185.6884</v>
      </c>
      <c r="R1582">
        <v>185.6884</v>
      </c>
    </row>
    <row r="1583" spans="1:18" hidden="1" x14ac:dyDescent="0.25">
      <c r="A1583" t="s">
        <v>1711</v>
      </c>
      <c r="B1583" t="s">
        <v>37</v>
      </c>
      <c r="C1583" t="s">
        <v>864</v>
      </c>
      <c r="D1583" t="s">
        <v>31</v>
      </c>
      <c r="E1583">
        <v>200.2</v>
      </c>
      <c r="F1583">
        <v>0</v>
      </c>
      <c r="G1583">
        <v>242</v>
      </c>
      <c r="H1583">
        <v>0</v>
      </c>
      <c r="I1583">
        <v>243.28700000000001</v>
      </c>
      <c r="J1583">
        <v>0</v>
      </c>
      <c r="K1583">
        <v>206.75550000000001</v>
      </c>
      <c r="L1583">
        <v>0</v>
      </c>
      <c r="M1583">
        <v>0</v>
      </c>
      <c r="N1583">
        <v>205.7</v>
      </c>
      <c r="O1583">
        <v>205.7</v>
      </c>
      <c r="P1583">
        <v>194.3288</v>
      </c>
      <c r="R1583">
        <v>194.3288</v>
      </c>
    </row>
    <row r="1584" spans="1:18" hidden="1" x14ac:dyDescent="0.25">
      <c r="A1584" t="s">
        <v>1712</v>
      </c>
      <c r="B1584" t="s">
        <v>37</v>
      </c>
      <c r="C1584" t="s">
        <v>864</v>
      </c>
      <c r="D1584" t="s">
        <v>33</v>
      </c>
      <c r="E1584">
        <v>209</v>
      </c>
      <c r="F1584">
        <v>0</v>
      </c>
      <c r="G1584">
        <v>247.5</v>
      </c>
      <c r="H1584">
        <v>0</v>
      </c>
      <c r="I1584">
        <v>243.28700000000001</v>
      </c>
      <c r="J1584">
        <v>0</v>
      </c>
      <c r="K1584">
        <v>212.6628</v>
      </c>
      <c r="L1584">
        <v>0</v>
      </c>
      <c r="M1584">
        <v>0</v>
      </c>
      <c r="N1584">
        <v>211.2</v>
      </c>
      <c r="O1584">
        <v>205.7</v>
      </c>
      <c r="P1584">
        <v>205.26679999999999</v>
      </c>
      <c r="R1584">
        <v>205.26679999999999</v>
      </c>
    </row>
    <row r="1585" spans="1:18" hidden="1" x14ac:dyDescent="0.25">
      <c r="A1585" t="s">
        <v>1713</v>
      </c>
      <c r="B1585" t="s">
        <v>37</v>
      </c>
      <c r="C1585" t="s">
        <v>864</v>
      </c>
      <c r="D1585" t="s">
        <v>35</v>
      </c>
      <c r="E1585">
        <v>418.803</v>
      </c>
      <c r="F1585">
        <v>0</v>
      </c>
      <c r="G1585">
        <v>476.78399999999999</v>
      </c>
      <c r="H1585">
        <v>0</v>
      </c>
      <c r="I1585">
        <v>415.14</v>
      </c>
      <c r="J1585">
        <v>0</v>
      </c>
      <c r="K1585">
        <v>0</v>
      </c>
      <c r="L1585">
        <v>0</v>
      </c>
      <c r="M1585">
        <v>431.4074</v>
      </c>
      <c r="N1585">
        <v>451.77</v>
      </c>
      <c r="O1585">
        <v>439.23</v>
      </c>
      <c r="P1585">
        <v>409.40589999999997</v>
      </c>
      <c r="R1585">
        <v>409.40589999999997</v>
      </c>
    </row>
    <row r="1586" spans="1:18" hidden="1" x14ac:dyDescent="0.25">
      <c r="A1586" t="s">
        <v>1714</v>
      </c>
      <c r="B1586" t="s">
        <v>37</v>
      </c>
      <c r="C1586" t="s">
        <v>873</v>
      </c>
      <c r="D1586" t="s">
        <v>21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R1586">
        <v>0</v>
      </c>
    </row>
    <row r="1587" spans="1:18" hidden="1" x14ac:dyDescent="0.25">
      <c r="A1587" t="s">
        <v>1715</v>
      </c>
      <c r="B1587" t="s">
        <v>37</v>
      </c>
      <c r="C1587" t="s">
        <v>873</v>
      </c>
      <c r="D1587" t="s">
        <v>23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637.88469999999995</v>
      </c>
      <c r="R1587">
        <v>637.88469999999995</v>
      </c>
    </row>
    <row r="1588" spans="1:18" hidden="1" x14ac:dyDescent="0.25">
      <c r="A1588" t="s">
        <v>1716</v>
      </c>
      <c r="B1588" t="s">
        <v>37</v>
      </c>
      <c r="C1588" t="s">
        <v>873</v>
      </c>
      <c r="D1588" t="s">
        <v>25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659.85479999999995</v>
      </c>
      <c r="R1588">
        <v>659.85479999999995</v>
      </c>
    </row>
    <row r="1589" spans="1:18" hidden="1" x14ac:dyDescent="0.25">
      <c r="A1589" t="s">
        <v>1717</v>
      </c>
      <c r="B1589" t="s">
        <v>37</v>
      </c>
      <c r="C1589" t="s">
        <v>873</v>
      </c>
      <c r="D1589" t="s">
        <v>27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868.37390000000005</v>
      </c>
      <c r="R1589">
        <v>868.37390000000005</v>
      </c>
    </row>
    <row r="1590" spans="1:18" hidden="1" x14ac:dyDescent="0.25">
      <c r="A1590" t="s">
        <v>1718</v>
      </c>
      <c r="B1590" t="s">
        <v>37</v>
      </c>
      <c r="C1590" t="s">
        <v>873</v>
      </c>
      <c r="D1590" t="s">
        <v>29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456.98270000000002</v>
      </c>
      <c r="R1590">
        <v>456.98270000000002</v>
      </c>
    </row>
    <row r="1591" spans="1:18" hidden="1" x14ac:dyDescent="0.25">
      <c r="A1591" t="s">
        <v>1719</v>
      </c>
      <c r="B1591" t="s">
        <v>37</v>
      </c>
      <c r="C1591" t="s">
        <v>873</v>
      </c>
      <c r="D1591" t="s">
        <v>31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529.96550000000002</v>
      </c>
      <c r="R1591">
        <v>529.96550000000002</v>
      </c>
    </row>
    <row r="1592" spans="1:18" hidden="1" x14ac:dyDescent="0.25">
      <c r="A1592" t="s">
        <v>1720</v>
      </c>
      <c r="B1592" t="s">
        <v>37</v>
      </c>
      <c r="C1592" t="s">
        <v>873</v>
      </c>
      <c r="D1592" t="s">
        <v>33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548.78800000000001</v>
      </c>
      <c r="R1592">
        <v>548.78800000000001</v>
      </c>
    </row>
    <row r="1593" spans="1:18" hidden="1" x14ac:dyDescent="0.25">
      <c r="A1593" t="s">
        <v>1721</v>
      </c>
      <c r="B1593" t="s">
        <v>37</v>
      </c>
      <c r="C1593" t="s">
        <v>873</v>
      </c>
      <c r="D1593" t="s">
        <v>35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882.76980000000003</v>
      </c>
      <c r="R1593">
        <v>882.76980000000003</v>
      </c>
    </row>
    <row r="1594" spans="1:18" hidden="1" x14ac:dyDescent="0.25">
      <c r="A1594" t="s">
        <v>1722</v>
      </c>
      <c r="B1594" t="s">
        <v>37</v>
      </c>
      <c r="C1594" t="s">
        <v>882</v>
      </c>
      <c r="D1594" t="s">
        <v>21</v>
      </c>
      <c r="E1594">
        <v>334.55399999999997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343.35700000000003</v>
      </c>
      <c r="L1594">
        <v>0</v>
      </c>
      <c r="M1594">
        <v>0</v>
      </c>
      <c r="N1594">
        <v>354.09</v>
      </c>
      <c r="O1594">
        <v>336.74299999999999</v>
      </c>
      <c r="P1594">
        <v>0</v>
      </c>
      <c r="R1594">
        <v>0</v>
      </c>
    </row>
    <row r="1595" spans="1:18" hidden="1" x14ac:dyDescent="0.25">
      <c r="A1595" t="s">
        <v>1723</v>
      </c>
      <c r="B1595" t="s">
        <v>37</v>
      </c>
      <c r="C1595" t="s">
        <v>882</v>
      </c>
      <c r="D1595" t="s">
        <v>23</v>
      </c>
      <c r="E1595">
        <v>483.51600000000002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531.04129999999998</v>
      </c>
      <c r="L1595">
        <v>0</v>
      </c>
      <c r="M1595">
        <v>0</v>
      </c>
      <c r="N1595">
        <v>537.24</v>
      </c>
      <c r="O1595">
        <v>525.745</v>
      </c>
      <c r="P1595">
        <v>432.78809999999999</v>
      </c>
      <c r="R1595">
        <v>432.78800000000001</v>
      </c>
    </row>
    <row r="1596" spans="1:18" hidden="1" x14ac:dyDescent="0.25">
      <c r="A1596" t="s">
        <v>1724</v>
      </c>
      <c r="B1596" t="s">
        <v>37</v>
      </c>
      <c r="C1596" t="s">
        <v>882</v>
      </c>
      <c r="D1596" t="s">
        <v>25</v>
      </c>
      <c r="E1596">
        <v>549.45000000000005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605.74950000000001</v>
      </c>
      <c r="L1596">
        <v>0</v>
      </c>
      <c r="M1596">
        <v>0</v>
      </c>
      <c r="N1596">
        <v>561.66</v>
      </c>
      <c r="O1596">
        <v>601.61199999999997</v>
      </c>
      <c r="P1596">
        <v>439.52409999999998</v>
      </c>
      <c r="R1596">
        <v>439.52409999999998</v>
      </c>
    </row>
    <row r="1597" spans="1:18" hidden="1" x14ac:dyDescent="0.25">
      <c r="A1597" t="s">
        <v>1725</v>
      </c>
      <c r="B1597" t="s">
        <v>37</v>
      </c>
      <c r="C1597" t="s">
        <v>882</v>
      </c>
      <c r="D1597" t="s">
        <v>27</v>
      </c>
      <c r="E1597">
        <v>622.71</v>
      </c>
      <c r="F1597">
        <v>0</v>
      </c>
      <c r="G1597">
        <v>0</v>
      </c>
      <c r="H1597">
        <v>0</v>
      </c>
      <c r="I1597">
        <v>647.13</v>
      </c>
      <c r="J1597">
        <v>0</v>
      </c>
      <c r="K1597">
        <v>0</v>
      </c>
      <c r="L1597">
        <v>0</v>
      </c>
      <c r="M1597">
        <v>0</v>
      </c>
      <c r="N1597">
        <v>616.60500000000002</v>
      </c>
      <c r="O1597">
        <v>658.84500000000003</v>
      </c>
      <c r="P1597">
        <v>607.56299999999999</v>
      </c>
      <c r="R1597">
        <v>607.56299999999999</v>
      </c>
    </row>
    <row r="1598" spans="1:18" hidden="1" x14ac:dyDescent="0.25">
      <c r="A1598" t="s">
        <v>1726</v>
      </c>
      <c r="B1598" t="s">
        <v>37</v>
      </c>
      <c r="C1598" t="s">
        <v>882</v>
      </c>
      <c r="D1598" t="s">
        <v>29</v>
      </c>
      <c r="E1598">
        <v>356.84</v>
      </c>
      <c r="F1598">
        <v>0</v>
      </c>
      <c r="G1598">
        <v>354.64</v>
      </c>
      <c r="H1598">
        <v>0</v>
      </c>
      <c r="I1598">
        <v>0</v>
      </c>
      <c r="J1598">
        <v>0</v>
      </c>
      <c r="K1598">
        <v>358.25490000000002</v>
      </c>
      <c r="L1598">
        <v>0</v>
      </c>
      <c r="M1598">
        <v>0</v>
      </c>
      <c r="N1598">
        <v>370.04</v>
      </c>
      <c r="O1598">
        <v>366.02499999999998</v>
      </c>
      <c r="P1598">
        <v>305.67930000000001</v>
      </c>
      <c r="R1598">
        <v>305.67930000000001</v>
      </c>
    </row>
    <row r="1599" spans="1:18" hidden="1" x14ac:dyDescent="0.25">
      <c r="A1599" t="s">
        <v>1727</v>
      </c>
      <c r="B1599" t="s">
        <v>37</v>
      </c>
      <c r="C1599" t="s">
        <v>882</v>
      </c>
      <c r="D1599" t="s">
        <v>31</v>
      </c>
      <c r="E1599">
        <v>395.45</v>
      </c>
      <c r="F1599">
        <v>0</v>
      </c>
      <c r="G1599">
        <v>392.15</v>
      </c>
      <c r="H1599">
        <v>0</v>
      </c>
      <c r="I1599">
        <v>461.637</v>
      </c>
      <c r="J1599">
        <v>0</v>
      </c>
      <c r="K1599">
        <v>443.89370000000002</v>
      </c>
      <c r="L1599">
        <v>0</v>
      </c>
      <c r="M1599">
        <v>0</v>
      </c>
      <c r="N1599">
        <v>457.05</v>
      </c>
      <c r="O1599">
        <v>405.71300000000002</v>
      </c>
      <c r="P1599">
        <v>390.78399999999999</v>
      </c>
      <c r="R1599">
        <v>390.78399999999999</v>
      </c>
    </row>
    <row r="1600" spans="1:18" hidden="1" x14ac:dyDescent="0.25">
      <c r="A1600" t="s">
        <v>1728</v>
      </c>
      <c r="B1600" t="s">
        <v>37</v>
      </c>
      <c r="C1600" t="s">
        <v>882</v>
      </c>
      <c r="D1600" t="s">
        <v>33</v>
      </c>
      <c r="E1600">
        <v>449.32799999999997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458.43799999999999</v>
      </c>
      <c r="L1600">
        <v>0</v>
      </c>
      <c r="M1600">
        <v>0</v>
      </c>
      <c r="N1600">
        <v>470.08499999999998</v>
      </c>
      <c r="O1600">
        <v>461.94499999999999</v>
      </c>
      <c r="P1600">
        <v>421.06130000000002</v>
      </c>
      <c r="R1600">
        <v>421.06130000000002</v>
      </c>
    </row>
    <row r="1601" spans="1:18" hidden="1" x14ac:dyDescent="0.25">
      <c r="A1601" t="s">
        <v>1729</v>
      </c>
      <c r="B1601" t="s">
        <v>37</v>
      </c>
      <c r="C1601" t="s">
        <v>882</v>
      </c>
      <c r="D1601" t="s">
        <v>35</v>
      </c>
      <c r="E1601">
        <v>655.67700000000002</v>
      </c>
      <c r="F1601">
        <v>0</v>
      </c>
      <c r="G1601">
        <v>0</v>
      </c>
      <c r="H1601">
        <v>0</v>
      </c>
      <c r="I1601">
        <v>647.13</v>
      </c>
      <c r="J1601">
        <v>0</v>
      </c>
      <c r="K1601">
        <v>0</v>
      </c>
      <c r="L1601">
        <v>0</v>
      </c>
      <c r="M1601">
        <v>0</v>
      </c>
      <c r="N1601">
        <v>647.13</v>
      </c>
      <c r="O1601">
        <v>686.79600000000005</v>
      </c>
      <c r="P1601">
        <v>637.88469999999995</v>
      </c>
      <c r="R1601">
        <v>637.88469999999995</v>
      </c>
    </row>
    <row r="1602" spans="1:18" hidden="1" x14ac:dyDescent="0.25">
      <c r="A1602" t="s">
        <v>1730</v>
      </c>
      <c r="B1602" t="s">
        <v>37</v>
      </c>
      <c r="C1602" t="s">
        <v>891</v>
      </c>
      <c r="D1602" t="s">
        <v>21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R1602">
        <v>0</v>
      </c>
    </row>
    <row r="1603" spans="1:18" hidden="1" x14ac:dyDescent="0.25">
      <c r="A1603" t="s">
        <v>1731</v>
      </c>
      <c r="B1603" t="s">
        <v>37</v>
      </c>
      <c r="C1603" t="s">
        <v>891</v>
      </c>
      <c r="D1603" t="s">
        <v>23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215.16589999999999</v>
      </c>
      <c r="R1603">
        <v>209.07</v>
      </c>
    </row>
    <row r="1604" spans="1:18" hidden="1" x14ac:dyDescent="0.25">
      <c r="A1604" t="s">
        <v>1732</v>
      </c>
      <c r="B1604" t="s">
        <v>37</v>
      </c>
      <c r="C1604" t="s">
        <v>891</v>
      </c>
      <c r="D1604" t="s">
        <v>25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209.07</v>
      </c>
      <c r="R1604">
        <v>215.17099999999999</v>
      </c>
    </row>
    <row r="1605" spans="1:18" hidden="1" x14ac:dyDescent="0.25">
      <c r="A1605" t="s">
        <v>1733</v>
      </c>
      <c r="B1605" t="s">
        <v>37</v>
      </c>
      <c r="C1605" t="s">
        <v>891</v>
      </c>
      <c r="D1605" t="s">
        <v>27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284.88909999999998</v>
      </c>
      <c r="R1605">
        <v>284.88909999999998</v>
      </c>
    </row>
    <row r="1606" spans="1:18" hidden="1" x14ac:dyDescent="0.25">
      <c r="A1606" t="s">
        <v>1734</v>
      </c>
      <c r="B1606" t="s">
        <v>37</v>
      </c>
      <c r="C1606" t="s">
        <v>891</v>
      </c>
      <c r="D1606" t="s">
        <v>29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141.7578</v>
      </c>
      <c r="R1606">
        <v>141.7578</v>
      </c>
    </row>
    <row r="1607" spans="1:18" hidden="1" x14ac:dyDescent="0.25">
      <c r="A1607" t="s">
        <v>1735</v>
      </c>
      <c r="B1607" t="s">
        <v>37</v>
      </c>
      <c r="C1607" t="s">
        <v>891</v>
      </c>
      <c r="D1607" t="s">
        <v>31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178.3184</v>
      </c>
      <c r="R1607">
        <v>178.31829999999999</v>
      </c>
    </row>
    <row r="1608" spans="1:18" hidden="1" x14ac:dyDescent="0.25">
      <c r="A1608" t="s">
        <v>1736</v>
      </c>
      <c r="B1608" t="s">
        <v>37</v>
      </c>
      <c r="C1608" t="s">
        <v>891</v>
      </c>
      <c r="D1608" t="s">
        <v>33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193.83</v>
      </c>
      <c r="R1608">
        <v>193.83</v>
      </c>
    </row>
    <row r="1609" spans="1:18" hidden="1" x14ac:dyDescent="0.25">
      <c r="A1609" t="s">
        <v>1737</v>
      </c>
      <c r="B1609" t="s">
        <v>37</v>
      </c>
      <c r="C1609" t="s">
        <v>891</v>
      </c>
      <c r="D1609" t="s">
        <v>35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333.78969999999998</v>
      </c>
      <c r="R1609">
        <v>333.78969999999998</v>
      </c>
    </row>
    <row r="1610" spans="1:18" hidden="1" x14ac:dyDescent="0.25">
      <c r="A1610" t="s">
        <v>1738</v>
      </c>
      <c r="B1610" t="s">
        <v>37</v>
      </c>
      <c r="C1610" t="s">
        <v>900</v>
      </c>
      <c r="D1610" t="s">
        <v>21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R1610">
        <v>0</v>
      </c>
    </row>
    <row r="1611" spans="1:18" hidden="1" x14ac:dyDescent="0.25">
      <c r="A1611" t="s">
        <v>1739</v>
      </c>
      <c r="B1611" t="s">
        <v>37</v>
      </c>
      <c r="C1611" t="s">
        <v>900</v>
      </c>
      <c r="D1611" t="s">
        <v>23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161.83459999999999</v>
      </c>
      <c r="R1611">
        <v>161.83459999999999</v>
      </c>
    </row>
    <row r="1612" spans="1:18" hidden="1" x14ac:dyDescent="0.25">
      <c r="A1612" t="s">
        <v>1740</v>
      </c>
      <c r="B1612" t="s">
        <v>37</v>
      </c>
      <c r="C1612" t="s">
        <v>900</v>
      </c>
      <c r="D1612" t="s">
        <v>25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170.874</v>
      </c>
      <c r="R1612">
        <v>170.874</v>
      </c>
    </row>
    <row r="1613" spans="1:18" hidden="1" x14ac:dyDescent="0.25">
      <c r="A1613" t="s">
        <v>1741</v>
      </c>
      <c r="B1613" t="s">
        <v>37</v>
      </c>
      <c r="C1613" t="s">
        <v>900</v>
      </c>
      <c r="D1613" t="s">
        <v>27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259.56330000000003</v>
      </c>
      <c r="R1613">
        <v>259.56319999999999</v>
      </c>
    </row>
    <row r="1614" spans="1:18" hidden="1" x14ac:dyDescent="0.25">
      <c r="A1614" t="s">
        <v>1742</v>
      </c>
      <c r="B1614" t="s">
        <v>37</v>
      </c>
      <c r="C1614" t="s">
        <v>900</v>
      </c>
      <c r="D1614" t="s">
        <v>29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118.8724</v>
      </c>
      <c r="R1614">
        <v>118.8724</v>
      </c>
    </row>
    <row r="1615" spans="1:18" hidden="1" x14ac:dyDescent="0.25">
      <c r="A1615" t="s">
        <v>1743</v>
      </c>
      <c r="B1615" t="s">
        <v>37</v>
      </c>
      <c r="C1615" t="s">
        <v>900</v>
      </c>
      <c r="D1615" t="s">
        <v>31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114.2163</v>
      </c>
      <c r="R1615">
        <v>114.2163</v>
      </c>
    </row>
    <row r="1616" spans="1:18" hidden="1" x14ac:dyDescent="0.25">
      <c r="A1616" t="s">
        <v>1744</v>
      </c>
      <c r="B1616" t="s">
        <v>37</v>
      </c>
      <c r="C1616" t="s">
        <v>900</v>
      </c>
      <c r="D1616" t="s">
        <v>33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125.0051</v>
      </c>
      <c r="R1616">
        <v>125.0051</v>
      </c>
    </row>
    <row r="1617" spans="1:18" hidden="1" x14ac:dyDescent="0.25">
      <c r="A1617" t="s">
        <v>1745</v>
      </c>
      <c r="B1617" t="s">
        <v>37</v>
      </c>
      <c r="C1617" t="s">
        <v>900</v>
      </c>
      <c r="D1617" t="s">
        <v>35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300.31909999999999</v>
      </c>
      <c r="R1617">
        <v>300.31909999999999</v>
      </c>
    </row>
    <row r="1618" spans="1:18" hidden="1" x14ac:dyDescent="0.25">
      <c r="A1618" t="s">
        <v>1746</v>
      </c>
      <c r="B1618" t="s">
        <v>37</v>
      </c>
      <c r="C1618" t="s">
        <v>909</v>
      </c>
      <c r="D1618" t="s">
        <v>21</v>
      </c>
      <c r="E1618">
        <v>83.526600000000002</v>
      </c>
      <c r="F1618">
        <v>0</v>
      </c>
      <c r="G1618">
        <v>131.92670000000001</v>
      </c>
      <c r="H1618">
        <v>0</v>
      </c>
      <c r="I1618">
        <v>0</v>
      </c>
      <c r="J1618">
        <v>0</v>
      </c>
      <c r="K1618">
        <v>96.915599999999998</v>
      </c>
      <c r="L1618">
        <v>0</v>
      </c>
      <c r="M1618">
        <v>0</v>
      </c>
      <c r="N1618">
        <v>97.68</v>
      </c>
      <c r="O1618">
        <v>85.183999999999997</v>
      </c>
      <c r="P1618">
        <v>0</v>
      </c>
      <c r="Q1618">
        <v>0</v>
      </c>
      <c r="R1618">
        <v>0</v>
      </c>
    </row>
    <row r="1619" spans="1:18" hidden="1" x14ac:dyDescent="0.25">
      <c r="A1619" t="s">
        <v>1747</v>
      </c>
      <c r="B1619" t="s">
        <v>37</v>
      </c>
      <c r="C1619" t="s">
        <v>909</v>
      </c>
      <c r="D1619" t="s">
        <v>23</v>
      </c>
      <c r="E1619">
        <v>114.0334</v>
      </c>
      <c r="F1619">
        <v>0</v>
      </c>
      <c r="G1619">
        <v>154.73330000000001</v>
      </c>
      <c r="H1619">
        <v>0</v>
      </c>
      <c r="I1619">
        <v>0</v>
      </c>
      <c r="J1619">
        <v>0</v>
      </c>
      <c r="K1619">
        <v>187.9676</v>
      </c>
      <c r="L1619">
        <v>0</v>
      </c>
      <c r="M1619">
        <v>0</v>
      </c>
      <c r="N1619">
        <v>158.72999999999999</v>
      </c>
      <c r="O1619">
        <v>130.68</v>
      </c>
      <c r="P1619">
        <v>125.4</v>
      </c>
      <c r="Q1619">
        <v>0</v>
      </c>
      <c r="R1619">
        <v>125.4</v>
      </c>
    </row>
    <row r="1620" spans="1:18" hidden="1" x14ac:dyDescent="0.25">
      <c r="A1620" t="s">
        <v>1748</v>
      </c>
      <c r="B1620" t="s">
        <v>37</v>
      </c>
      <c r="C1620" t="s">
        <v>909</v>
      </c>
      <c r="D1620" t="s">
        <v>25</v>
      </c>
      <c r="E1620">
        <v>134.31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214.28299999999999</v>
      </c>
      <c r="L1620">
        <v>0</v>
      </c>
      <c r="M1620">
        <v>0</v>
      </c>
      <c r="N1620">
        <v>195.36</v>
      </c>
      <c r="O1620">
        <v>135.52000000000001</v>
      </c>
      <c r="P1620">
        <v>132.06270000000001</v>
      </c>
      <c r="Q1620">
        <v>0</v>
      </c>
      <c r="R1620">
        <v>132.06270000000001</v>
      </c>
    </row>
    <row r="1621" spans="1:18" hidden="1" x14ac:dyDescent="0.25">
      <c r="A1621" t="s">
        <v>1749</v>
      </c>
      <c r="B1621" t="s">
        <v>37</v>
      </c>
      <c r="C1621" t="s">
        <v>909</v>
      </c>
      <c r="D1621" t="s">
        <v>27</v>
      </c>
      <c r="E1621">
        <v>223.44300000000001</v>
      </c>
      <c r="F1621">
        <v>0</v>
      </c>
      <c r="G1621">
        <v>0</v>
      </c>
      <c r="H1621">
        <v>278.3</v>
      </c>
      <c r="I1621">
        <v>244.2</v>
      </c>
      <c r="J1621">
        <v>0</v>
      </c>
      <c r="K1621">
        <v>0</v>
      </c>
      <c r="L1621">
        <v>0</v>
      </c>
      <c r="M1621">
        <v>0</v>
      </c>
      <c r="N1621">
        <v>231.99</v>
      </c>
      <c r="O1621">
        <v>236.91800000000001</v>
      </c>
      <c r="P1621">
        <v>176.51300000000001</v>
      </c>
      <c r="Q1621">
        <v>0</v>
      </c>
      <c r="R1621">
        <v>198.858</v>
      </c>
    </row>
    <row r="1622" spans="1:18" hidden="1" x14ac:dyDescent="0.25">
      <c r="A1622" t="s">
        <v>1750</v>
      </c>
      <c r="B1622" t="s">
        <v>37</v>
      </c>
      <c r="C1622" t="s">
        <v>909</v>
      </c>
      <c r="D1622" t="s">
        <v>29</v>
      </c>
      <c r="E1622">
        <v>83.526600000000002</v>
      </c>
      <c r="F1622">
        <v>102.85</v>
      </c>
      <c r="G1622">
        <v>136.32669999999999</v>
      </c>
      <c r="H1622">
        <v>0</v>
      </c>
      <c r="I1622">
        <v>0</v>
      </c>
      <c r="J1622">
        <v>0</v>
      </c>
      <c r="K1622">
        <v>110.19110000000001</v>
      </c>
      <c r="L1622">
        <v>0</v>
      </c>
      <c r="M1622">
        <v>0</v>
      </c>
      <c r="N1622">
        <v>109.89</v>
      </c>
      <c r="O1622">
        <v>105.149</v>
      </c>
      <c r="P1622">
        <v>92.331999999999994</v>
      </c>
      <c r="Q1622">
        <v>102.85</v>
      </c>
      <c r="R1622">
        <v>92.331999999999994</v>
      </c>
    </row>
    <row r="1623" spans="1:18" hidden="1" x14ac:dyDescent="0.25">
      <c r="A1623" t="s">
        <v>1751</v>
      </c>
      <c r="B1623" t="s">
        <v>37</v>
      </c>
      <c r="C1623" t="s">
        <v>909</v>
      </c>
      <c r="D1623" t="s">
        <v>31</v>
      </c>
      <c r="E1623">
        <v>97.5334</v>
      </c>
      <c r="F1623">
        <v>106.48</v>
      </c>
      <c r="G1623">
        <v>136.0333</v>
      </c>
      <c r="H1623">
        <v>0</v>
      </c>
      <c r="I1623">
        <v>129.613</v>
      </c>
      <c r="J1623">
        <v>0</v>
      </c>
      <c r="K1623">
        <v>110.238</v>
      </c>
      <c r="L1623">
        <v>0</v>
      </c>
      <c r="M1623">
        <v>0</v>
      </c>
      <c r="N1623">
        <v>122.1</v>
      </c>
      <c r="O1623">
        <v>118.459</v>
      </c>
      <c r="P1623">
        <v>107.49290000000001</v>
      </c>
      <c r="Q1623">
        <v>106.48</v>
      </c>
      <c r="R1623">
        <v>107.49290000000001</v>
      </c>
    </row>
    <row r="1624" spans="1:18" hidden="1" x14ac:dyDescent="0.25">
      <c r="A1624" t="s">
        <v>1752</v>
      </c>
      <c r="B1624" t="s">
        <v>37</v>
      </c>
      <c r="C1624" t="s">
        <v>909</v>
      </c>
      <c r="D1624" t="s">
        <v>33</v>
      </c>
      <c r="E1624">
        <v>101.93340000000001</v>
      </c>
      <c r="F1624">
        <v>108.9</v>
      </c>
      <c r="G1624">
        <v>142.63329999999999</v>
      </c>
      <c r="H1624">
        <v>0</v>
      </c>
      <c r="I1624">
        <v>129.613</v>
      </c>
      <c r="J1624">
        <v>0</v>
      </c>
      <c r="K1624">
        <v>116.1018</v>
      </c>
      <c r="L1624">
        <v>0</v>
      </c>
      <c r="M1624">
        <v>0</v>
      </c>
      <c r="N1624">
        <v>134.31</v>
      </c>
      <c r="O1624">
        <v>126.44499999999999</v>
      </c>
      <c r="P1624">
        <v>111.907</v>
      </c>
      <c r="Q1624">
        <v>108.9</v>
      </c>
      <c r="R1624">
        <v>111.907</v>
      </c>
    </row>
    <row r="1625" spans="1:18" hidden="1" x14ac:dyDescent="0.25">
      <c r="A1625" t="s">
        <v>1753</v>
      </c>
      <c r="B1625" t="s">
        <v>37</v>
      </c>
      <c r="C1625" t="s">
        <v>909</v>
      </c>
      <c r="D1625" t="s">
        <v>35</v>
      </c>
      <c r="E1625">
        <v>290.59800000000001</v>
      </c>
      <c r="F1625">
        <v>0</v>
      </c>
      <c r="G1625">
        <v>0</v>
      </c>
      <c r="H1625">
        <v>278.3</v>
      </c>
      <c r="I1625">
        <v>244.2</v>
      </c>
      <c r="J1625">
        <v>0</v>
      </c>
      <c r="K1625">
        <v>0</v>
      </c>
      <c r="L1625">
        <v>0</v>
      </c>
      <c r="M1625">
        <v>0</v>
      </c>
      <c r="N1625">
        <v>256.41000000000003</v>
      </c>
      <c r="O1625">
        <v>304.79899999999998</v>
      </c>
      <c r="P1625">
        <v>184.2878</v>
      </c>
      <c r="Q1625">
        <v>0</v>
      </c>
      <c r="R1625">
        <v>246.84</v>
      </c>
    </row>
    <row r="1626" spans="1:18" hidden="1" x14ac:dyDescent="0.25">
      <c r="A1626" t="s">
        <v>1754</v>
      </c>
      <c r="B1626" t="s">
        <v>1755</v>
      </c>
      <c r="C1626" t="s">
        <v>639</v>
      </c>
      <c r="D1626" t="s">
        <v>21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R1626">
        <v>0</v>
      </c>
    </row>
    <row r="1627" spans="1:18" hidden="1" x14ac:dyDescent="0.25">
      <c r="A1627" t="s">
        <v>1756</v>
      </c>
      <c r="B1627" t="s">
        <v>1755</v>
      </c>
      <c r="C1627" t="s">
        <v>639</v>
      </c>
      <c r="D1627" t="s">
        <v>23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R1627">
        <v>0</v>
      </c>
    </row>
    <row r="1628" spans="1:18" hidden="1" x14ac:dyDescent="0.25">
      <c r="A1628" t="s">
        <v>1757</v>
      </c>
      <c r="B1628" t="s">
        <v>1755</v>
      </c>
      <c r="C1628" t="s">
        <v>639</v>
      </c>
      <c r="D1628" t="s">
        <v>25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739.2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R1628">
        <v>0</v>
      </c>
    </row>
    <row r="1629" spans="1:18" hidden="1" x14ac:dyDescent="0.25">
      <c r="A1629" t="s">
        <v>1758</v>
      </c>
      <c r="B1629" t="s">
        <v>1755</v>
      </c>
      <c r="C1629" t="s">
        <v>639</v>
      </c>
      <c r="D1629" t="s">
        <v>27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739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R1629">
        <v>0</v>
      </c>
    </row>
    <row r="1630" spans="1:18" hidden="1" x14ac:dyDescent="0.25">
      <c r="A1630" t="s">
        <v>1759</v>
      </c>
      <c r="B1630" t="s">
        <v>1755</v>
      </c>
      <c r="C1630" t="s">
        <v>639</v>
      </c>
      <c r="D1630" t="s">
        <v>29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R1630">
        <v>0</v>
      </c>
    </row>
    <row r="1631" spans="1:18" hidden="1" x14ac:dyDescent="0.25">
      <c r="A1631" t="s">
        <v>1760</v>
      </c>
      <c r="B1631" t="s">
        <v>1755</v>
      </c>
      <c r="C1631" t="s">
        <v>639</v>
      </c>
      <c r="D1631" t="s">
        <v>31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R1631">
        <v>0</v>
      </c>
    </row>
    <row r="1632" spans="1:18" hidden="1" x14ac:dyDescent="0.25">
      <c r="A1632" t="s">
        <v>1761</v>
      </c>
      <c r="B1632" t="s">
        <v>1755</v>
      </c>
      <c r="C1632" t="s">
        <v>639</v>
      </c>
      <c r="D1632" t="s">
        <v>33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R1632">
        <v>0</v>
      </c>
    </row>
    <row r="1633" spans="1:18" hidden="1" x14ac:dyDescent="0.25">
      <c r="A1633" t="s">
        <v>1762</v>
      </c>
      <c r="B1633" t="s">
        <v>333</v>
      </c>
      <c r="C1633" t="s">
        <v>47</v>
      </c>
      <c r="D1633" t="s">
        <v>21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R1633">
        <v>0</v>
      </c>
    </row>
    <row r="1634" spans="1:18" hidden="1" x14ac:dyDescent="0.25">
      <c r="A1634" t="s">
        <v>1763</v>
      </c>
      <c r="B1634" t="s">
        <v>333</v>
      </c>
      <c r="C1634" t="s">
        <v>47</v>
      </c>
      <c r="D1634" t="s">
        <v>23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245.05510000000001</v>
      </c>
      <c r="R1634">
        <v>245.05799999999999</v>
      </c>
    </row>
    <row r="1635" spans="1:18" hidden="1" x14ac:dyDescent="0.25">
      <c r="A1635" t="s">
        <v>1764</v>
      </c>
      <c r="B1635" t="s">
        <v>333</v>
      </c>
      <c r="C1635" t="s">
        <v>47</v>
      </c>
      <c r="D1635" t="s">
        <v>25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251.33590000000001</v>
      </c>
      <c r="R1635">
        <v>251.339</v>
      </c>
    </row>
    <row r="1636" spans="1:18" hidden="1" x14ac:dyDescent="0.25">
      <c r="A1636" t="s">
        <v>1765</v>
      </c>
      <c r="B1636" t="s">
        <v>333</v>
      </c>
      <c r="C1636" t="s">
        <v>47</v>
      </c>
      <c r="D1636" t="s">
        <v>27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347.76080000000002</v>
      </c>
      <c r="R1636">
        <v>347.76499999999999</v>
      </c>
    </row>
    <row r="1637" spans="1:18" hidden="1" x14ac:dyDescent="0.25">
      <c r="A1637" t="s">
        <v>1766</v>
      </c>
      <c r="B1637" t="s">
        <v>333</v>
      </c>
      <c r="C1637" t="s">
        <v>47</v>
      </c>
      <c r="D1637" t="s">
        <v>29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168.08539999999999</v>
      </c>
      <c r="R1637">
        <v>168.08</v>
      </c>
    </row>
    <row r="1638" spans="1:18" hidden="1" x14ac:dyDescent="0.25">
      <c r="A1638" t="s">
        <v>1767</v>
      </c>
      <c r="B1638" t="s">
        <v>333</v>
      </c>
      <c r="C1638" t="s">
        <v>47</v>
      </c>
      <c r="D1638" t="s">
        <v>31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204.20140000000001</v>
      </c>
      <c r="R1638">
        <v>204.20400000000001</v>
      </c>
    </row>
    <row r="1639" spans="1:18" hidden="1" x14ac:dyDescent="0.25">
      <c r="A1639" t="s">
        <v>1768</v>
      </c>
      <c r="B1639" t="s">
        <v>333</v>
      </c>
      <c r="C1639" t="s">
        <v>47</v>
      </c>
      <c r="D1639" t="s">
        <v>33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214.4967</v>
      </c>
      <c r="R1639">
        <v>214.5</v>
      </c>
    </row>
    <row r="1640" spans="1:18" hidden="1" x14ac:dyDescent="0.25">
      <c r="A1640" t="s">
        <v>1769</v>
      </c>
      <c r="B1640" t="s">
        <v>333</v>
      </c>
      <c r="C1640" t="s">
        <v>47</v>
      </c>
      <c r="D1640" t="s">
        <v>35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355.68349999999998</v>
      </c>
      <c r="R1640">
        <v>355.685</v>
      </c>
    </row>
    <row r="1641" spans="1:18" hidden="1" x14ac:dyDescent="0.25">
      <c r="A1641" t="s">
        <v>1770</v>
      </c>
      <c r="B1641" t="s">
        <v>333</v>
      </c>
      <c r="C1641" t="s">
        <v>56</v>
      </c>
      <c r="D1641" t="s">
        <v>21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</row>
    <row r="1642" spans="1:18" hidden="1" x14ac:dyDescent="0.25">
      <c r="A1642" t="s">
        <v>1771</v>
      </c>
      <c r="B1642" t="s">
        <v>333</v>
      </c>
      <c r="C1642" t="s">
        <v>56</v>
      </c>
      <c r="D1642" t="s">
        <v>23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258.1986</v>
      </c>
      <c r="Q1642">
        <v>0</v>
      </c>
      <c r="R1642">
        <v>258.20299999999997</v>
      </c>
    </row>
    <row r="1643" spans="1:18" hidden="1" x14ac:dyDescent="0.25">
      <c r="A1643" t="s">
        <v>1772</v>
      </c>
      <c r="B1643" t="s">
        <v>333</v>
      </c>
      <c r="C1643" t="s">
        <v>56</v>
      </c>
      <c r="D1643" t="s">
        <v>25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298.995</v>
      </c>
      <c r="Q1643">
        <v>0</v>
      </c>
      <c r="R1643">
        <v>298.99099999999999</v>
      </c>
    </row>
    <row r="1644" spans="1:18" hidden="1" x14ac:dyDescent="0.25">
      <c r="A1644" t="s">
        <v>1773</v>
      </c>
      <c r="B1644" t="s">
        <v>333</v>
      </c>
      <c r="C1644" t="s">
        <v>56</v>
      </c>
      <c r="D1644" t="s">
        <v>27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389.57479999999998</v>
      </c>
      <c r="Q1644">
        <v>0</v>
      </c>
      <c r="R1644">
        <v>389.57600000000002</v>
      </c>
    </row>
    <row r="1645" spans="1:18" hidden="1" x14ac:dyDescent="0.25">
      <c r="A1645" t="s">
        <v>1774</v>
      </c>
      <c r="B1645" t="s">
        <v>333</v>
      </c>
      <c r="C1645" t="s">
        <v>56</v>
      </c>
      <c r="D1645" t="s">
        <v>29</v>
      </c>
      <c r="E1645">
        <v>0</v>
      </c>
      <c r="F1645">
        <v>153.75800000000001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151.2011</v>
      </c>
      <c r="Q1645">
        <v>153.75800000000001</v>
      </c>
      <c r="R1645">
        <v>151.20599999999999</v>
      </c>
    </row>
    <row r="1646" spans="1:18" hidden="1" x14ac:dyDescent="0.25">
      <c r="A1646" t="s">
        <v>1775</v>
      </c>
      <c r="B1646" t="s">
        <v>333</v>
      </c>
      <c r="C1646" t="s">
        <v>56</v>
      </c>
      <c r="D1646" t="s">
        <v>31</v>
      </c>
      <c r="E1646">
        <v>0</v>
      </c>
      <c r="F1646">
        <v>206.63499999999999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211.2739</v>
      </c>
      <c r="Q1646">
        <v>206.63499999999999</v>
      </c>
      <c r="R1646">
        <v>211.27699999999999</v>
      </c>
    </row>
    <row r="1647" spans="1:18" hidden="1" x14ac:dyDescent="0.25">
      <c r="A1647" t="s">
        <v>1776</v>
      </c>
      <c r="B1647" t="s">
        <v>333</v>
      </c>
      <c r="C1647" t="s">
        <v>56</v>
      </c>
      <c r="D1647" t="s">
        <v>33</v>
      </c>
      <c r="E1647">
        <v>0</v>
      </c>
      <c r="F1647">
        <v>224.87299999999999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227.22479999999999</v>
      </c>
      <c r="Q1647">
        <v>224.87299999999999</v>
      </c>
      <c r="R1647">
        <v>227.227</v>
      </c>
    </row>
    <row r="1648" spans="1:18" hidden="1" x14ac:dyDescent="0.25">
      <c r="A1648" t="s">
        <v>1777</v>
      </c>
      <c r="B1648" t="s">
        <v>333</v>
      </c>
      <c r="C1648" t="s">
        <v>56</v>
      </c>
      <c r="D1648" t="s">
        <v>35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411.76339999999999</v>
      </c>
      <c r="Q1648">
        <v>0</v>
      </c>
      <c r="R1648">
        <v>411.76299999999998</v>
      </c>
    </row>
    <row r="1649" spans="1:18" hidden="1" x14ac:dyDescent="0.25">
      <c r="A1649" t="s">
        <v>1778</v>
      </c>
      <c r="B1649" t="s">
        <v>333</v>
      </c>
      <c r="C1649" t="s">
        <v>46</v>
      </c>
      <c r="D1649" t="s">
        <v>21</v>
      </c>
      <c r="E1649">
        <v>333.33300000000003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322.05599999999998</v>
      </c>
      <c r="L1649">
        <v>0</v>
      </c>
      <c r="M1649">
        <v>0</v>
      </c>
      <c r="N1649">
        <v>329.67</v>
      </c>
      <c r="O1649">
        <v>379.33499999999998</v>
      </c>
      <c r="P1649">
        <v>0</v>
      </c>
      <c r="R1649">
        <v>0</v>
      </c>
    </row>
    <row r="1650" spans="1:18" hidden="1" x14ac:dyDescent="0.25">
      <c r="A1650" t="s">
        <v>1779</v>
      </c>
      <c r="B1650" t="s">
        <v>333</v>
      </c>
      <c r="C1650" t="s">
        <v>46</v>
      </c>
      <c r="D1650" t="s">
        <v>23</v>
      </c>
      <c r="E1650">
        <v>488.4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538.13030000000003</v>
      </c>
      <c r="L1650">
        <v>0</v>
      </c>
      <c r="M1650">
        <v>0</v>
      </c>
      <c r="N1650">
        <v>506.71499999999997</v>
      </c>
      <c r="O1650">
        <v>565.67499999999995</v>
      </c>
      <c r="P1650">
        <v>427.27550000000002</v>
      </c>
      <c r="R1650">
        <v>427.27300000000002</v>
      </c>
    </row>
    <row r="1651" spans="1:18" hidden="1" x14ac:dyDescent="0.25">
      <c r="A1651" t="s">
        <v>1780</v>
      </c>
      <c r="B1651" t="s">
        <v>333</v>
      </c>
      <c r="C1651" t="s">
        <v>46</v>
      </c>
      <c r="D1651" t="s">
        <v>25</v>
      </c>
      <c r="E1651">
        <v>518.92499999999995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614.25630000000001</v>
      </c>
      <c r="L1651">
        <v>0</v>
      </c>
      <c r="M1651">
        <v>0</v>
      </c>
      <c r="N1651">
        <v>525.03</v>
      </c>
      <c r="O1651">
        <v>696.11300000000006</v>
      </c>
      <c r="P1651">
        <v>438.77170000000001</v>
      </c>
      <c r="R1651">
        <v>438.76799999999997</v>
      </c>
    </row>
    <row r="1652" spans="1:18" hidden="1" x14ac:dyDescent="0.25">
      <c r="A1652" t="s">
        <v>1781</v>
      </c>
      <c r="B1652" t="s">
        <v>333</v>
      </c>
      <c r="C1652" t="s">
        <v>46</v>
      </c>
      <c r="D1652" t="s">
        <v>27</v>
      </c>
      <c r="E1652">
        <v>680.09699999999998</v>
      </c>
      <c r="F1652">
        <v>0</v>
      </c>
      <c r="G1652">
        <v>0</v>
      </c>
      <c r="H1652">
        <v>771.65</v>
      </c>
      <c r="I1652">
        <v>689.86500000000001</v>
      </c>
      <c r="J1652">
        <v>0</v>
      </c>
      <c r="K1652">
        <v>0</v>
      </c>
      <c r="L1652">
        <v>0</v>
      </c>
      <c r="M1652">
        <v>572.7645</v>
      </c>
      <c r="N1652">
        <v>622.71</v>
      </c>
      <c r="O1652">
        <v>741.36699999999996</v>
      </c>
      <c r="P1652">
        <v>590.79390000000001</v>
      </c>
      <c r="R1652">
        <v>590.79899999999998</v>
      </c>
    </row>
    <row r="1653" spans="1:18" hidden="1" x14ac:dyDescent="0.25">
      <c r="A1653" t="s">
        <v>1782</v>
      </c>
      <c r="B1653" t="s">
        <v>333</v>
      </c>
      <c r="C1653" t="s">
        <v>46</v>
      </c>
      <c r="D1653" t="s">
        <v>29</v>
      </c>
      <c r="E1653">
        <v>347.98500000000001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335.42779999999999</v>
      </c>
      <c r="L1653">
        <v>0</v>
      </c>
      <c r="M1653">
        <v>0</v>
      </c>
      <c r="N1653">
        <v>341.88</v>
      </c>
      <c r="O1653">
        <v>439.23</v>
      </c>
      <c r="P1653">
        <v>301.39060000000001</v>
      </c>
      <c r="R1653">
        <v>301.38900000000001</v>
      </c>
    </row>
    <row r="1654" spans="1:18" hidden="1" x14ac:dyDescent="0.25">
      <c r="A1654" t="s">
        <v>1783</v>
      </c>
      <c r="B1654" t="s">
        <v>333</v>
      </c>
      <c r="C1654" t="s">
        <v>46</v>
      </c>
      <c r="D1654" t="s">
        <v>31</v>
      </c>
      <c r="E1654">
        <v>402.93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438.97609999999997</v>
      </c>
      <c r="L1654">
        <v>0</v>
      </c>
      <c r="M1654">
        <v>0</v>
      </c>
      <c r="N1654">
        <v>415.14</v>
      </c>
      <c r="O1654">
        <v>479.16</v>
      </c>
      <c r="P1654">
        <v>382.01060000000001</v>
      </c>
      <c r="R1654">
        <v>382.00799999999998</v>
      </c>
    </row>
    <row r="1655" spans="1:18" hidden="1" x14ac:dyDescent="0.25">
      <c r="A1655" t="s">
        <v>1784</v>
      </c>
      <c r="B1655" t="s">
        <v>333</v>
      </c>
      <c r="C1655" t="s">
        <v>46</v>
      </c>
      <c r="D1655" t="s">
        <v>33</v>
      </c>
      <c r="E1655">
        <v>439.56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458.23050000000001</v>
      </c>
      <c r="L1655">
        <v>0</v>
      </c>
      <c r="M1655">
        <v>0</v>
      </c>
      <c r="N1655">
        <v>439.56</v>
      </c>
      <c r="O1655">
        <v>492.47</v>
      </c>
      <c r="P1655">
        <v>388.41879999999998</v>
      </c>
      <c r="R1655">
        <v>388.42099999999999</v>
      </c>
    </row>
    <row r="1656" spans="1:18" hidden="1" x14ac:dyDescent="0.25">
      <c r="A1656" t="s">
        <v>1785</v>
      </c>
      <c r="B1656" t="s">
        <v>333</v>
      </c>
      <c r="C1656" t="s">
        <v>46</v>
      </c>
      <c r="D1656" t="s">
        <v>35</v>
      </c>
      <c r="E1656">
        <v>721.61099999999999</v>
      </c>
      <c r="F1656">
        <v>0</v>
      </c>
      <c r="G1656">
        <v>0</v>
      </c>
      <c r="H1656">
        <v>771.65</v>
      </c>
      <c r="I1656">
        <v>689.86500000000001</v>
      </c>
      <c r="J1656">
        <v>0</v>
      </c>
      <c r="K1656">
        <v>0</v>
      </c>
      <c r="L1656">
        <v>0</v>
      </c>
      <c r="M1656">
        <v>585.30449999999996</v>
      </c>
      <c r="N1656">
        <v>647.13</v>
      </c>
      <c r="O1656">
        <v>786.62099999999998</v>
      </c>
      <c r="P1656">
        <v>606.71969999999999</v>
      </c>
      <c r="R1656">
        <v>606.71600000000001</v>
      </c>
    </row>
    <row r="1657" spans="1:18" hidden="1" x14ac:dyDescent="0.25">
      <c r="A1657" t="s">
        <v>1786</v>
      </c>
      <c r="B1657" t="s">
        <v>333</v>
      </c>
      <c r="C1657" t="s">
        <v>73</v>
      </c>
      <c r="D1657" t="s">
        <v>21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R1657">
        <v>0</v>
      </c>
    </row>
    <row r="1658" spans="1:18" hidden="1" x14ac:dyDescent="0.25">
      <c r="A1658" t="s">
        <v>1787</v>
      </c>
      <c r="B1658" t="s">
        <v>333</v>
      </c>
      <c r="C1658" t="s">
        <v>73</v>
      </c>
      <c r="D1658" t="s">
        <v>23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737.5951</v>
      </c>
      <c r="R1658">
        <v>737.59400000000005</v>
      </c>
    </row>
    <row r="1659" spans="1:18" hidden="1" x14ac:dyDescent="0.25">
      <c r="A1659" t="s">
        <v>1788</v>
      </c>
      <c r="B1659" t="s">
        <v>333</v>
      </c>
      <c r="C1659" t="s">
        <v>73</v>
      </c>
      <c r="D1659" t="s">
        <v>25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739.02160000000003</v>
      </c>
      <c r="R1659">
        <v>739.024</v>
      </c>
    </row>
    <row r="1660" spans="1:18" hidden="1" x14ac:dyDescent="0.25">
      <c r="A1660" t="s">
        <v>1789</v>
      </c>
      <c r="B1660" t="s">
        <v>333</v>
      </c>
      <c r="C1660" t="s">
        <v>73</v>
      </c>
      <c r="D1660" t="s">
        <v>27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938.01710000000003</v>
      </c>
      <c r="R1660">
        <v>938.01400000000001</v>
      </c>
    </row>
    <row r="1661" spans="1:18" hidden="1" x14ac:dyDescent="0.25">
      <c r="A1661" t="s">
        <v>1790</v>
      </c>
      <c r="B1661" t="s">
        <v>333</v>
      </c>
      <c r="C1661" t="s">
        <v>73</v>
      </c>
      <c r="D1661" t="s">
        <v>29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599.82010000000002</v>
      </c>
      <c r="R1661">
        <v>599.81899999999996</v>
      </c>
    </row>
    <row r="1662" spans="1:18" hidden="1" x14ac:dyDescent="0.25">
      <c r="A1662" t="s">
        <v>1791</v>
      </c>
      <c r="B1662" t="s">
        <v>333</v>
      </c>
      <c r="C1662" t="s">
        <v>73</v>
      </c>
      <c r="D1662" t="s">
        <v>31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626.32280000000003</v>
      </c>
      <c r="R1662">
        <v>626.31799999999998</v>
      </c>
    </row>
    <row r="1663" spans="1:18" hidden="1" x14ac:dyDescent="0.25">
      <c r="A1663" t="s">
        <v>1792</v>
      </c>
      <c r="B1663" t="s">
        <v>333</v>
      </c>
      <c r="C1663" t="s">
        <v>73</v>
      </c>
      <c r="D1663" t="s">
        <v>33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650.09870000000001</v>
      </c>
      <c r="R1663">
        <v>650.1</v>
      </c>
    </row>
    <row r="1664" spans="1:18" hidden="1" x14ac:dyDescent="0.25">
      <c r="A1664" t="s">
        <v>1793</v>
      </c>
      <c r="B1664" t="s">
        <v>333</v>
      </c>
      <c r="C1664" t="s">
        <v>73</v>
      </c>
      <c r="D1664" t="s">
        <v>35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955.79880000000003</v>
      </c>
      <c r="R1664">
        <v>955.80100000000004</v>
      </c>
    </row>
    <row r="1665" spans="1:18" hidden="1" x14ac:dyDescent="0.25">
      <c r="A1665" t="s">
        <v>1794</v>
      </c>
      <c r="B1665" t="s">
        <v>333</v>
      </c>
      <c r="C1665" t="s">
        <v>82</v>
      </c>
      <c r="D1665" t="s">
        <v>21</v>
      </c>
      <c r="E1665">
        <v>152.625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153.5625</v>
      </c>
      <c r="L1665">
        <v>0</v>
      </c>
      <c r="M1665">
        <v>0</v>
      </c>
      <c r="N1665">
        <v>158.72999999999999</v>
      </c>
      <c r="O1665">
        <v>171.69900000000001</v>
      </c>
      <c r="P1665">
        <v>0</v>
      </c>
      <c r="Q1665">
        <v>0</v>
      </c>
      <c r="R1665">
        <v>0</v>
      </c>
    </row>
    <row r="1666" spans="1:18" hidden="1" x14ac:dyDescent="0.25">
      <c r="A1666" t="s">
        <v>1795</v>
      </c>
      <c r="B1666" t="s">
        <v>333</v>
      </c>
      <c r="C1666" t="s">
        <v>82</v>
      </c>
      <c r="D1666" t="s">
        <v>23</v>
      </c>
      <c r="E1666">
        <v>305.25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301.54950000000002</v>
      </c>
      <c r="L1666">
        <v>0</v>
      </c>
      <c r="M1666">
        <v>0</v>
      </c>
      <c r="N1666">
        <v>244.2</v>
      </c>
      <c r="O1666">
        <v>287.49599999999998</v>
      </c>
      <c r="P1666">
        <v>241.97030000000001</v>
      </c>
      <c r="Q1666">
        <v>0</v>
      </c>
      <c r="R1666">
        <v>241.96700000000001</v>
      </c>
    </row>
    <row r="1667" spans="1:18" hidden="1" x14ac:dyDescent="0.25">
      <c r="A1667" t="s">
        <v>1796</v>
      </c>
      <c r="B1667" t="s">
        <v>333</v>
      </c>
      <c r="C1667" t="s">
        <v>82</v>
      </c>
      <c r="D1667" t="s">
        <v>25</v>
      </c>
      <c r="E1667">
        <v>323.565</v>
      </c>
      <c r="F1667">
        <v>0</v>
      </c>
      <c r="G1667">
        <v>252.89</v>
      </c>
      <c r="H1667">
        <v>0</v>
      </c>
      <c r="I1667">
        <v>0</v>
      </c>
      <c r="J1667">
        <v>0</v>
      </c>
      <c r="K1667">
        <v>330.35939999999999</v>
      </c>
      <c r="L1667">
        <v>0</v>
      </c>
      <c r="M1667">
        <v>0</v>
      </c>
      <c r="N1667">
        <v>305.25</v>
      </c>
      <c r="O1667">
        <v>363.363</v>
      </c>
      <c r="P1667">
        <v>249.643</v>
      </c>
      <c r="Q1667">
        <v>0</v>
      </c>
      <c r="R1667">
        <v>249.64500000000001</v>
      </c>
    </row>
    <row r="1668" spans="1:18" hidden="1" x14ac:dyDescent="0.25">
      <c r="A1668" t="s">
        <v>1797</v>
      </c>
      <c r="B1668" t="s">
        <v>333</v>
      </c>
      <c r="C1668" t="s">
        <v>82</v>
      </c>
      <c r="D1668" t="s">
        <v>27</v>
      </c>
      <c r="E1668">
        <v>384.61500000000001</v>
      </c>
      <c r="F1668">
        <v>0</v>
      </c>
      <c r="G1668">
        <v>364.21</v>
      </c>
      <c r="H1668">
        <v>0</v>
      </c>
      <c r="I1668">
        <v>415.14</v>
      </c>
      <c r="J1668">
        <v>0</v>
      </c>
      <c r="K1668">
        <v>0</v>
      </c>
      <c r="L1668">
        <v>0</v>
      </c>
      <c r="M1668">
        <v>0</v>
      </c>
      <c r="N1668">
        <v>366.3</v>
      </c>
      <c r="O1668">
        <v>408.61700000000002</v>
      </c>
      <c r="P1668">
        <v>375.17169999999999</v>
      </c>
      <c r="Q1668">
        <v>0</v>
      </c>
      <c r="R1668">
        <v>375.17700000000002</v>
      </c>
    </row>
    <row r="1669" spans="1:18" hidden="1" x14ac:dyDescent="0.25">
      <c r="A1669" t="s">
        <v>1798</v>
      </c>
      <c r="B1669" t="s">
        <v>333</v>
      </c>
      <c r="C1669" t="s">
        <v>82</v>
      </c>
      <c r="D1669" t="s">
        <v>29</v>
      </c>
      <c r="E1669">
        <v>158.72999999999999</v>
      </c>
      <c r="F1669">
        <v>151.94300000000001</v>
      </c>
      <c r="G1669">
        <v>0</v>
      </c>
      <c r="H1669">
        <v>0</v>
      </c>
      <c r="I1669">
        <v>0</v>
      </c>
      <c r="J1669">
        <v>0</v>
      </c>
      <c r="K1669">
        <v>161.8313</v>
      </c>
      <c r="L1669">
        <v>0</v>
      </c>
      <c r="M1669">
        <v>0</v>
      </c>
      <c r="N1669">
        <v>164.83500000000001</v>
      </c>
      <c r="O1669">
        <v>216.953</v>
      </c>
      <c r="P1669">
        <v>158.0667</v>
      </c>
      <c r="Q1669">
        <v>151.94300000000001</v>
      </c>
      <c r="R1669">
        <v>158.07</v>
      </c>
    </row>
    <row r="1670" spans="1:18" hidden="1" x14ac:dyDescent="0.25">
      <c r="A1670" t="s">
        <v>1799</v>
      </c>
      <c r="B1670" t="s">
        <v>333</v>
      </c>
      <c r="C1670" t="s">
        <v>82</v>
      </c>
      <c r="D1670" t="s">
        <v>31</v>
      </c>
      <c r="E1670">
        <v>244.2</v>
      </c>
      <c r="F1670">
        <v>194.48</v>
      </c>
      <c r="G1670">
        <v>0</v>
      </c>
      <c r="H1670">
        <v>0</v>
      </c>
      <c r="I1670">
        <v>0</v>
      </c>
      <c r="J1670">
        <v>0</v>
      </c>
      <c r="K1670">
        <v>244.06989999999999</v>
      </c>
      <c r="L1670">
        <v>0</v>
      </c>
      <c r="M1670">
        <v>0</v>
      </c>
      <c r="N1670">
        <v>207.57</v>
      </c>
      <c r="O1670">
        <v>232.92500000000001</v>
      </c>
      <c r="P1670">
        <v>203.64959999999999</v>
      </c>
      <c r="Q1670">
        <v>194.48</v>
      </c>
      <c r="R1670">
        <v>203.654</v>
      </c>
    </row>
    <row r="1671" spans="1:18" hidden="1" x14ac:dyDescent="0.25">
      <c r="A1671" t="s">
        <v>1800</v>
      </c>
      <c r="B1671" t="s">
        <v>333</v>
      </c>
      <c r="C1671" t="s">
        <v>82</v>
      </c>
      <c r="D1671" t="s">
        <v>33</v>
      </c>
      <c r="E1671">
        <v>262.51499999999999</v>
      </c>
      <c r="F1671">
        <v>218.79</v>
      </c>
      <c r="G1671">
        <v>0</v>
      </c>
      <c r="H1671">
        <v>0</v>
      </c>
      <c r="I1671">
        <v>0</v>
      </c>
      <c r="J1671">
        <v>0</v>
      </c>
      <c r="K1671">
        <v>263.32429999999999</v>
      </c>
      <c r="L1671">
        <v>0</v>
      </c>
      <c r="M1671">
        <v>0</v>
      </c>
      <c r="N1671">
        <v>219.78</v>
      </c>
      <c r="O1671">
        <v>242.24199999999999</v>
      </c>
      <c r="P1671">
        <v>220.0018</v>
      </c>
      <c r="Q1671">
        <v>218.79</v>
      </c>
      <c r="R1671">
        <v>220</v>
      </c>
    </row>
    <row r="1672" spans="1:18" hidden="1" x14ac:dyDescent="0.25">
      <c r="A1672" t="s">
        <v>1801</v>
      </c>
      <c r="B1672" t="s">
        <v>333</v>
      </c>
      <c r="C1672" t="s">
        <v>82</v>
      </c>
      <c r="D1672" t="s">
        <v>35</v>
      </c>
      <c r="E1672">
        <v>415.14</v>
      </c>
      <c r="F1672">
        <v>0</v>
      </c>
      <c r="G1672">
        <v>377.52</v>
      </c>
      <c r="H1672">
        <v>0</v>
      </c>
      <c r="I1672">
        <v>415.14</v>
      </c>
      <c r="J1672">
        <v>0</v>
      </c>
      <c r="K1672">
        <v>0</v>
      </c>
      <c r="L1672">
        <v>0</v>
      </c>
      <c r="M1672">
        <v>0</v>
      </c>
      <c r="N1672">
        <v>366.3</v>
      </c>
      <c r="O1672">
        <v>439.23</v>
      </c>
      <c r="P1672">
        <v>378.90859999999998</v>
      </c>
      <c r="Q1672">
        <v>0</v>
      </c>
      <c r="R1672">
        <v>378.90600000000001</v>
      </c>
    </row>
    <row r="1673" spans="1:18" hidden="1" x14ac:dyDescent="0.25">
      <c r="A1673" t="s">
        <v>1802</v>
      </c>
      <c r="B1673" t="s">
        <v>333</v>
      </c>
      <c r="C1673" t="s">
        <v>91</v>
      </c>
      <c r="D1673" t="s">
        <v>21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</row>
    <row r="1674" spans="1:18" hidden="1" x14ac:dyDescent="0.25">
      <c r="A1674" t="s">
        <v>1803</v>
      </c>
      <c r="B1674" t="s">
        <v>333</v>
      </c>
      <c r="C1674" t="s">
        <v>91</v>
      </c>
      <c r="D1674" t="s">
        <v>23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257.0489</v>
      </c>
      <c r="Q1674">
        <v>0</v>
      </c>
      <c r="R1674">
        <v>257.048</v>
      </c>
    </row>
    <row r="1675" spans="1:18" hidden="1" x14ac:dyDescent="0.25">
      <c r="A1675" t="s">
        <v>1804</v>
      </c>
      <c r="B1675" t="s">
        <v>333</v>
      </c>
      <c r="C1675" t="s">
        <v>91</v>
      </c>
      <c r="D1675" t="s">
        <v>25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289.71359999999999</v>
      </c>
      <c r="Q1675">
        <v>0</v>
      </c>
      <c r="R1675">
        <v>289.71800000000002</v>
      </c>
    </row>
    <row r="1676" spans="1:18" hidden="1" x14ac:dyDescent="0.25">
      <c r="A1676" t="s">
        <v>1805</v>
      </c>
      <c r="B1676" t="s">
        <v>333</v>
      </c>
      <c r="C1676" t="s">
        <v>91</v>
      </c>
      <c r="D1676" t="s">
        <v>27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385.00229999999999</v>
      </c>
      <c r="Q1676">
        <v>0</v>
      </c>
      <c r="R1676">
        <v>385</v>
      </c>
    </row>
    <row r="1677" spans="1:18" hidden="1" x14ac:dyDescent="0.25">
      <c r="A1677" t="s">
        <v>1806</v>
      </c>
      <c r="B1677" t="s">
        <v>333</v>
      </c>
      <c r="C1677" t="s">
        <v>91</v>
      </c>
      <c r="D1677" t="s">
        <v>29</v>
      </c>
      <c r="E1677">
        <v>0</v>
      </c>
      <c r="F1677">
        <v>187.429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186.0497</v>
      </c>
      <c r="Q1677">
        <v>187.429</v>
      </c>
      <c r="R1677">
        <v>186.054</v>
      </c>
    </row>
    <row r="1678" spans="1:18" hidden="1" x14ac:dyDescent="0.25">
      <c r="A1678" t="s">
        <v>1807</v>
      </c>
      <c r="B1678" t="s">
        <v>333</v>
      </c>
      <c r="C1678" t="s">
        <v>91</v>
      </c>
      <c r="D1678" t="s">
        <v>31</v>
      </c>
      <c r="E1678">
        <v>0</v>
      </c>
      <c r="F1678">
        <v>213.67500000000001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214.6848</v>
      </c>
      <c r="Q1678">
        <v>213.67500000000001</v>
      </c>
      <c r="R1678">
        <v>214.68700000000001</v>
      </c>
    </row>
    <row r="1679" spans="1:18" hidden="1" x14ac:dyDescent="0.25">
      <c r="A1679" t="s">
        <v>1808</v>
      </c>
      <c r="B1679" t="s">
        <v>333</v>
      </c>
      <c r="C1679" t="s">
        <v>91</v>
      </c>
      <c r="D1679" t="s">
        <v>33</v>
      </c>
      <c r="E1679">
        <v>0</v>
      </c>
      <c r="F1679">
        <v>231.99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228.7296</v>
      </c>
      <c r="Q1679">
        <v>231.99</v>
      </c>
      <c r="R1679">
        <v>228.73400000000001</v>
      </c>
    </row>
    <row r="1680" spans="1:18" hidden="1" x14ac:dyDescent="0.25">
      <c r="A1680" t="s">
        <v>1809</v>
      </c>
      <c r="B1680" t="s">
        <v>333</v>
      </c>
      <c r="C1680" t="s">
        <v>91</v>
      </c>
      <c r="D1680" t="s">
        <v>35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388.84030000000001</v>
      </c>
      <c r="Q1680">
        <v>0</v>
      </c>
      <c r="R1680">
        <v>388.839</v>
      </c>
    </row>
    <row r="1681" spans="1:18" hidden="1" x14ac:dyDescent="0.25">
      <c r="A1681" t="s">
        <v>1810</v>
      </c>
      <c r="B1681" t="s">
        <v>333</v>
      </c>
      <c r="C1681" t="s">
        <v>100</v>
      </c>
      <c r="D1681" t="s">
        <v>21</v>
      </c>
      <c r="E1681">
        <v>332.31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316.14980000000003</v>
      </c>
      <c r="L1681">
        <v>0</v>
      </c>
      <c r="M1681">
        <v>0</v>
      </c>
      <c r="N1681">
        <v>323.565</v>
      </c>
      <c r="O1681">
        <v>393.976</v>
      </c>
      <c r="P1681">
        <v>0</v>
      </c>
      <c r="R1681">
        <v>0</v>
      </c>
    </row>
    <row r="1682" spans="1:18" hidden="1" x14ac:dyDescent="0.25">
      <c r="A1682" t="s">
        <v>1811</v>
      </c>
      <c r="B1682" t="s">
        <v>333</v>
      </c>
      <c r="C1682" t="s">
        <v>100</v>
      </c>
      <c r="D1682" t="s">
        <v>23</v>
      </c>
      <c r="E1682">
        <v>507.87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484.64330000000001</v>
      </c>
      <c r="L1682">
        <v>0</v>
      </c>
      <c r="M1682">
        <v>0</v>
      </c>
      <c r="N1682">
        <v>494.505</v>
      </c>
      <c r="O1682">
        <v>568.33699999999999</v>
      </c>
      <c r="P1682">
        <v>453.9982</v>
      </c>
      <c r="R1682">
        <v>454.00299999999999</v>
      </c>
    </row>
    <row r="1683" spans="1:18" hidden="1" x14ac:dyDescent="0.25">
      <c r="A1683" t="s">
        <v>1812</v>
      </c>
      <c r="B1683" t="s">
        <v>333</v>
      </c>
      <c r="C1683" t="s">
        <v>100</v>
      </c>
      <c r="D1683" t="s">
        <v>25</v>
      </c>
      <c r="E1683">
        <v>526.67999999999995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550.07190000000003</v>
      </c>
      <c r="L1683">
        <v>0</v>
      </c>
      <c r="M1683">
        <v>0</v>
      </c>
      <c r="N1683">
        <v>512.82000000000005</v>
      </c>
      <c r="O1683">
        <v>650.85900000000004</v>
      </c>
      <c r="P1683">
        <v>495.01650000000001</v>
      </c>
      <c r="R1683">
        <v>495.02199999999999</v>
      </c>
    </row>
    <row r="1684" spans="1:18" hidden="1" x14ac:dyDescent="0.25">
      <c r="A1684" t="s">
        <v>1813</v>
      </c>
      <c r="B1684" t="s">
        <v>333</v>
      </c>
      <c r="C1684" t="s">
        <v>100</v>
      </c>
      <c r="D1684" t="s">
        <v>27</v>
      </c>
      <c r="E1684">
        <v>677.16</v>
      </c>
      <c r="F1684">
        <v>0</v>
      </c>
      <c r="G1684">
        <v>0</v>
      </c>
      <c r="H1684">
        <v>0</v>
      </c>
      <c r="I1684">
        <v>665.44500000000005</v>
      </c>
      <c r="J1684">
        <v>0</v>
      </c>
      <c r="K1684">
        <v>0</v>
      </c>
      <c r="L1684">
        <v>0</v>
      </c>
      <c r="M1684">
        <v>0</v>
      </c>
      <c r="N1684">
        <v>659.34</v>
      </c>
      <c r="O1684">
        <v>712.08500000000004</v>
      </c>
      <c r="P1684">
        <v>636.06799999999998</v>
      </c>
      <c r="R1684">
        <v>636.06399999999996</v>
      </c>
    </row>
    <row r="1685" spans="1:18" hidden="1" x14ac:dyDescent="0.25">
      <c r="A1685" t="s">
        <v>1814</v>
      </c>
      <c r="B1685" t="s">
        <v>333</v>
      </c>
      <c r="C1685" t="s">
        <v>100</v>
      </c>
      <c r="D1685" t="s">
        <v>29</v>
      </c>
      <c r="E1685">
        <v>344.85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327.18259999999998</v>
      </c>
      <c r="L1685">
        <v>0</v>
      </c>
      <c r="M1685">
        <v>0</v>
      </c>
      <c r="N1685">
        <v>335.77499999999998</v>
      </c>
      <c r="O1685">
        <v>453.87099999999998</v>
      </c>
      <c r="P1685">
        <v>330.45409999999998</v>
      </c>
      <c r="R1685">
        <v>330.45100000000002</v>
      </c>
    </row>
    <row r="1686" spans="1:18" hidden="1" x14ac:dyDescent="0.25">
      <c r="A1686" t="s">
        <v>1815</v>
      </c>
      <c r="B1686" t="s">
        <v>333</v>
      </c>
      <c r="C1686" t="s">
        <v>100</v>
      </c>
      <c r="D1686" t="s">
        <v>31</v>
      </c>
      <c r="E1686">
        <v>457.71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438.97609999999997</v>
      </c>
      <c r="L1686">
        <v>0</v>
      </c>
      <c r="M1686">
        <v>0</v>
      </c>
      <c r="N1686">
        <v>445.66500000000002</v>
      </c>
      <c r="O1686">
        <v>499.125</v>
      </c>
      <c r="P1686">
        <v>405.41820000000001</v>
      </c>
      <c r="R1686">
        <v>405.416</v>
      </c>
    </row>
    <row r="1687" spans="1:18" hidden="1" x14ac:dyDescent="0.25">
      <c r="A1687" t="s">
        <v>1816</v>
      </c>
      <c r="B1687" t="s">
        <v>333</v>
      </c>
      <c r="C1687" t="s">
        <v>100</v>
      </c>
      <c r="D1687" t="s">
        <v>33</v>
      </c>
      <c r="E1687">
        <v>470.25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452.32429999999999</v>
      </c>
      <c r="L1687">
        <v>0</v>
      </c>
      <c r="M1687">
        <v>0</v>
      </c>
      <c r="N1687">
        <v>457.875</v>
      </c>
      <c r="O1687">
        <v>523.08299999999997</v>
      </c>
      <c r="P1687">
        <v>423.6388</v>
      </c>
      <c r="R1687">
        <v>423.64299999999997</v>
      </c>
    </row>
    <row r="1688" spans="1:18" hidden="1" x14ac:dyDescent="0.25">
      <c r="A1688" t="s">
        <v>1817</v>
      </c>
      <c r="B1688" t="s">
        <v>333</v>
      </c>
      <c r="C1688" t="s">
        <v>100</v>
      </c>
      <c r="D1688" t="s">
        <v>35</v>
      </c>
      <c r="E1688">
        <v>683.43</v>
      </c>
      <c r="F1688">
        <v>0</v>
      </c>
      <c r="G1688">
        <v>0</v>
      </c>
      <c r="H1688">
        <v>0</v>
      </c>
      <c r="I1688">
        <v>665.44500000000005</v>
      </c>
      <c r="J1688">
        <v>0</v>
      </c>
      <c r="K1688">
        <v>0</v>
      </c>
      <c r="L1688">
        <v>0</v>
      </c>
      <c r="M1688">
        <v>0</v>
      </c>
      <c r="N1688">
        <v>665.44500000000005</v>
      </c>
      <c r="O1688">
        <v>786.62099999999998</v>
      </c>
      <c r="P1688">
        <v>655.66639999999995</v>
      </c>
      <c r="R1688">
        <v>655.66600000000005</v>
      </c>
    </row>
    <row r="1689" spans="1:18" hidden="1" x14ac:dyDescent="0.25">
      <c r="A1689" t="s">
        <v>1818</v>
      </c>
      <c r="B1689" t="s">
        <v>333</v>
      </c>
      <c r="C1689" t="s">
        <v>109</v>
      </c>
      <c r="D1689" t="s">
        <v>21</v>
      </c>
      <c r="E1689">
        <v>213.18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202.3717</v>
      </c>
      <c r="L1689">
        <v>0</v>
      </c>
      <c r="M1689">
        <v>0</v>
      </c>
      <c r="N1689">
        <v>207.57</v>
      </c>
      <c r="O1689">
        <v>295.48200000000003</v>
      </c>
      <c r="P1689">
        <v>0</v>
      </c>
      <c r="R1689">
        <v>0</v>
      </c>
    </row>
    <row r="1690" spans="1:18" hidden="1" x14ac:dyDescent="0.25">
      <c r="A1690" t="s">
        <v>1819</v>
      </c>
      <c r="B1690" t="s">
        <v>333</v>
      </c>
      <c r="C1690" t="s">
        <v>109</v>
      </c>
      <c r="D1690" t="s">
        <v>23</v>
      </c>
      <c r="E1690">
        <v>313.5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301.54950000000002</v>
      </c>
      <c r="L1690">
        <v>0</v>
      </c>
      <c r="M1690">
        <v>0</v>
      </c>
      <c r="N1690">
        <v>305.25</v>
      </c>
      <c r="O1690">
        <v>469.84300000000002</v>
      </c>
      <c r="P1690">
        <v>301.16059999999999</v>
      </c>
      <c r="R1690">
        <v>301.15800000000002</v>
      </c>
    </row>
    <row r="1691" spans="1:18" hidden="1" x14ac:dyDescent="0.25">
      <c r="A1691" t="s">
        <v>1820</v>
      </c>
      <c r="B1691" t="s">
        <v>333</v>
      </c>
      <c r="C1691" t="s">
        <v>109</v>
      </c>
      <c r="D1691" t="s">
        <v>25</v>
      </c>
      <c r="E1691">
        <v>332.31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330.35939999999999</v>
      </c>
      <c r="L1691">
        <v>0</v>
      </c>
      <c r="M1691">
        <v>0</v>
      </c>
      <c r="N1691">
        <v>323.565</v>
      </c>
      <c r="O1691">
        <v>582.97799999999995</v>
      </c>
      <c r="P1691">
        <v>318.45330000000001</v>
      </c>
      <c r="R1691">
        <v>318.45</v>
      </c>
    </row>
    <row r="1692" spans="1:18" hidden="1" x14ac:dyDescent="0.25">
      <c r="A1692" t="s">
        <v>1821</v>
      </c>
      <c r="B1692" t="s">
        <v>333</v>
      </c>
      <c r="C1692" t="s">
        <v>109</v>
      </c>
      <c r="D1692" t="s">
        <v>27</v>
      </c>
      <c r="E1692">
        <v>488.4</v>
      </c>
      <c r="F1692">
        <v>0</v>
      </c>
      <c r="G1692">
        <v>0</v>
      </c>
      <c r="H1692">
        <v>0</v>
      </c>
      <c r="I1692">
        <v>500.61</v>
      </c>
      <c r="J1692">
        <v>0</v>
      </c>
      <c r="K1692">
        <v>0</v>
      </c>
      <c r="L1692">
        <v>0</v>
      </c>
      <c r="M1692">
        <v>460.90769999999998</v>
      </c>
      <c r="N1692">
        <v>488.4</v>
      </c>
      <c r="O1692">
        <v>620.24599999999998</v>
      </c>
      <c r="P1692">
        <v>462.71530000000001</v>
      </c>
      <c r="R1692">
        <v>462.71499999999997</v>
      </c>
    </row>
    <row r="1693" spans="1:18" hidden="1" x14ac:dyDescent="0.25">
      <c r="A1693" t="s">
        <v>1822</v>
      </c>
      <c r="B1693" t="s">
        <v>333</v>
      </c>
      <c r="C1693" t="s">
        <v>109</v>
      </c>
      <c r="D1693" t="s">
        <v>29</v>
      </c>
      <c r="E1693">
        <v>225.72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217.30279999999999</v>
      </c>
      <c r="L1693">
        <v>0</v>
      </c>
      <c r="M1693">
        <v>0</v>
      </c>
      <c r="N1693">
        <v>219.78</v>
      </c>
      <c r="O1693">
        <v>348.72199999999998</v>
      </c>
      <c r="P1693">
        <v>216.46549999999999</v>
      </c>
      <c r="R1693">
        <v>216.46899999999999</v>
      </c>
    </row>
    <row r="1694" spans="1:18" hidden="1" x14ac:dyDescent="0.25">
      <c r="A1694" t="s">
        <v>1823</v>
      </c>
      <c r="B1694" t="s">
        <v>333</v>
      </c>
      <c r="C1694" t="s">
        <v>109</v>
      </c>
      <c r="D1694" t="s">
        <v>31</v>
      </c>
      <c r="E1694">
        <v>263.33999999999997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255.88239999999999</v>
      </c>
      <c r="L1694">
        <v>0</v>
      </c>
      <c r="M1694">
        <v>0</v>
      </c>
      <c r="N1694">
        <v>256.41000000000003</v>
      </c>
      <c r="O1694">
        <v>379.33499999999998</v>
      </c>
      <c r="P1694">
        <v>252.0744</v>
      </c>
      <c r="R1694">
        <v>252.07599999999999</v>
      </c>
    </row>
    <row r="1695" spans="1:18" hidden="1" x14ac:dyDescent="0.25">
      <c r="A1695" t="s">
        <v>1824</v>
      </c>
      <c r="B1695" t="s">
        <v>333</v>
      </c>
      <c r="C1695" t="s">
        <v>109</v>
      </c>
      <c r="D1695" t="s">
        <v>33</v>
      </c>
      <c r="E1695">
        <v>282.14999999999998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270.459</v>
      </c>
      <c r="L1695">
        <v>0</v>
      </c>
      <c r="M1695">
        <v>0</v>
      </c>
      <c r="N1695">
        <v>274.72500000000002</v>
      </c>
      <c r="O1695">
        <v>393.976</v>
      </c>
      <c r="P1695">
        <v>264.39339999999999</v>
      </c>
      <c r="R1695">
        <v>264.39600000000002</v>
      </c>
    </row>
    <row r="1696" spans="1:18" hidden="1" x14ac:dyDescent="0.25">
      <c r="A1696" t="s">
        <v>1825</v>
      </c>
      <c r="B1696" t="s">
        <v>333</v>
      </c>
      <c r="C1696" t="s">
        <v>109</v>
      </c>
      <c r="D1696" t="s">
        <v>35</v>
      </c>
      <c r="E1696">
        <v>500.61</v>
      </c>
      <c r="F1696">
        <v>0</v>
      </c>
      <c r="G1696">
        <v>0</v>
      </c>
      <c r="H1696">
        <v>0</v>
      </c>
      <c r="I1696">
        <v>500.61</v>
      </c>
      <c r="J1696">
        <v>0</v>
      </c>
      <c r="K1696">
        <v>0</v>
      </c>
      <c r="L1696">
        <v>0</v>
      </c>
      <c r="M1696">
        <v>495.39269999999999</v>
      </c>
      <c r="N1696">
        <v>500.61</v>
      </c>
      <c r="O1696">
        <v>636.21799999999996</v>
      </c>
      <c r="P1696">
        <v>490.38990000000001</v>
      </c>
      <c r="R1696">
        <v>490.39100000000002</v>
      </c>
    </row>
    <row r="1697" spans="1:18" hidden="1" x14ac:dyDescent="0.25">
      <c r="A1697" t="s">
        <v>1826</v>
      </c>
      <c r="B1697" t="s">
        <v>333</v>
      </c>
      <c r="C1697" t="s">
        <v>118</v>
      </c>
      <c r="D1697" t="s">
        <v>21</v>
      </c>
      <c r="E1697">
        <v>256.41000000000003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248.29040000000001</v>
      </c>
      <c r="L1697">
        <v>0</v>
      </c>
      <c r="M1697">
        <v>0</v>
      </c>
      <c r="N1697">
        <v>256.41000000000003</v>
      </c>
      <c r="O1697">
        <v>359.37</v>
      </c>
      <c r="P1697">
        <v>0</v>
      </c>
      <c r="Q1697">
        <v>0</v>
      </c>
      <c r="R1697">
        <v>0</v>
      </c>
    </row>
    <row r="1698" spans="1:18" hidden="1" x14ac:dyDescent="0.25">
      <c r="A1698" t="s">
        <v>1827</v>
      </c>
      <c r="B1698" t="s">
        <v>333</v>
      </c>
      <c r="C1698" t="s">
        <v>118</v>
      </c>
      <c r="D1698" t="s">
        <v>23</v>
      </c>
      <c r="E1698">
        <v>383.39400000000001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394.26620000000003</v>
      </c>
      <c r="L1698">
        <v>0</v>
      </c>
      <c r="M1698">
        <v>0</v>
      </c>
      <c r="N1698">
        <v>396.82499999999999</v>
      </c>
      <c r="O1698">
        <v>440.56099999999998</v>
      </c>
      <c r="P1698">
        <v>294.3904</v>
      </c>
      <c r="Q1698">
        <v>0</v>
      </c>
      <c r="R1698">
        <v>294.39299999999997</v>
      </c>
    </row>
    <row r="1699" spans="1:18" hidden="1" x14ac:dyDescent="0.25">
      <c r="A1699" t="s">
        <v>1828</v>
      </c>
      <c r="B1699" t="s">
        <v>333</v>
      </c>
      <c r="C1699" t="s">
        <v>118</v>
      </c>
      <c r="D1699" t="s">
        <v>25</v>
      </c>
      <c r="E1699">
        <v>404.15100000000001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441.61950000000002</v>
      </c>
      <c r="L1699">
        <v>0</v>
      </c>
      <c r="M1699">
        <v>0</v>
      </c>
      <c r="N1699">
        <v>415.14</v>
      </c>
      <c r="O1699">
        <v>464.51900000000001</v>
      </c>
      <c r="P1699">
        <v>298.74239999999998</v>
      </c>
      <c r="Q1699">
        <v>0</v>
      </c>
      <c r="R1699">
        <v>298.738</v>
      </c>
    </row>
    <row r="1700" spans="1:18" hidden="1" x14ac:dyDescent="0.25">
      <c r="A1700" t="s">
        <v>1829</v>
      </c>
      <c r="B1700" t="s">
        <v>333</v>
      </c>
      <c r="C1700" t="s">
        <v>118</v>
      </c>
      <c r="D1700" t="s">
        <v>27</v>
      </c>
      <c r="E1700">
        <v>441.76</v>
      </c>
      <c r="F1700">
        <v>0</v>
      </c>
      <c r="G1700">
        <v>500.06</v>
      </c>
      <c r="H1700">
        <v>0</v>
      </c>
      <c r="I1700">
        <v>497.31</v>
      </c>
      <c r="J1700">
        <v>0</v>
      </c>
      <c r="K1700">
        <v>0</v>
      </c>
      <c r="L1700">
        <v>0</v>
      </c>
      <c r="M1700">
        <v>359.27100000000002</v>
      </c>
      <c r="N1700">
        <v>498.96</v>
      </c>
      <c r="O1700">
        <v>487.14600000000002</v>
      </c>
      <c r="P1700">
        <v>383.19729999999998</v>
      </c>
      <c r="Q1700">
        <v>0</v>
      </c>
      <c r="R1700">
        <v>383.19600000000003</v>
      </c>
    </row>
    <row r="1701" spans="1:18" hidden="1" x14ac:dyDescent="0.25">
      <c r="A1701" t="s">
        <v>1830</v>
      </c>
      <c r="B1701" t="s">
        <v>333</v>
      </c>
      <c r="C1701" t="s">
        <v>118</v>
      </c>
      <c r="D1701" t="s">
        <v>29</v>
      </c>
      <c r="E1701">
        <v>268.62</v>
      </c>
      <c r="F1701">
        <v>270.86399999999998</v>
      </c>
      <c r="G1701">
        <v>0</v>
      </c>
      <c r="H1701">
        <v>0</v>
      </c>
      <c r="I1701">
        <v>0</v>
      </c>
      <c r="J1701">
        <v>0</v>
      </c>
      <c r="K1701">
        <v>263.14179999999999</v>
      </c>
      <c r="L1701">
        <v>0</v>
      </c>
      <c r="M1701">
        <v>0</v>
      </c>
      <c r="N1701">
        <v>268.62</v>
      </c>
      <c r="O1701">
        <v>376.673</v>
      </c>
      <c r="P1701">
        <v>232.59819999999999</v>
      </c>
      <c r="Q1701">
        <v>270.86399999999998</v>
      </c>
      <c r="R1701">
        <v>232.595</v>
      </c>
    </row>
    <row r="1702" spans="1:18" hidden="1" x14ac:dyDescent="0.25">
      <c r="A1702" t="s">
        <v>1831</v>
      </c>
      <c r="B1702" t="s">
        <v>333</v>
      </c>
      <c r="C1702" t="s">
        <v>118</v>
      </c>
      <c r="D1702" t="s">
        <v>31</v>
      </c>
      <c r="E1702">
        <v>318.63339999999999</v>
      </c>
      <c r="F1702">
        <v>326.04000000000002</v>
      </c>
      <c r="G1702">
        <v>294.43329999999997</v>
      </c>
      <c r="H1702">
        <v>0</v>
      </c>
      <c r="I1702">
        <v>314.512</v>
      </c>
      <c r="J1702">
        <v>0</v>
      </c>
      <c r="K1702">
        <v>309.37610000000001</v>
      </c>
      <c r="L1702">
        <v>0</v>
      </c>
      <c r="M1702">
        <v>0</v>
      </c>
      <c r="N1702">
        <v>320.32</v>
      </c>
      <c r="O1702">
        <v>396.63799999999998</v>
      </c>
      <c r="P1702">
        <v>300.74349999999998</v>
      </c>
      <c r="Q1702">
        <v>326.04000000000002</v>
      </c>
      <c r="R1702">
        <v>300.74</v>
      </c>
    </row>
    <row r="1703" spans="1:18" hidden="1" x14ac:dyDescent="0.25">
      <c r="A1703" t="s">
        <v>1832</v>
      </c>
      <c r="B1703" t="s">
        <v>333</v>
      </c>
      <c r="C1703" t="s">
        <v>118</v>
      </c>
      <c r="D1703" t="s">
        <v>33</v>
      </c>
      <c r="E1703">
        <v>329.63339999999999</v>
      </c>
      <c r="F1703">
        <v>351.12</v>
      </c>
      <c r="G1703">
        <v>305.43329999999997</v>
      </c>
      <c r="H1703">
        <v>0</v>
      </c>
      <c r="I1703">
        <v>314.512</v>
      </c>
      <c r="J1703">
        <v>0</v>
      </c>
      <c r="K1703">
        <v>326.5421</v>
      </c>
      <c r="L1703">
        <v>0</v>
      </c>
      <c r="M1703">
        <v>0</v>
      </c>
      <c r="N1703">
        <v>332.64</v>
      </c>
      <c r="O1703">
        <v>417.93400000000003</v>
      </c>
      <c r="P1703">
        <v>308.71809999999999</v>
      </c>
      <c r="Q1703">
        <v>351.12</v>
      </c>
      <c r="R1703">
        <v>308.71499999999997</v>
      </c>
    </row>
    <row r="1704" spans="1:18" hidden="1" x14ac:dyDescent="0.25">
      <c r="A1704" t="s">
        <v>1833</v>
      </c>
      <c r="B1704" t="s">
        <v>333</v>
      </c>
      <c r="C1704" t="s">
        <v>118</v>
      </c>
      <c r="D1704" t="s">
        <v>35</v>
      </c>
      <c r="E1704">
        <v>472.52699999999999</v>
      </c>
      <c r="F1704">
        <v>0</v>
      </c>
      <c r="G1704">
        <v>0</v>
      </c>
      <c r="H1704">
        <v>0</v>
      </c>
      <c r="I1704">
        <v>506.71499999999997</v>
      </c>
      <c r="J1704">
        <v>0</v>
      </c>
      <c r="K1704">
        <v>0</v>
      </c>
      <c r="L1704">
        <v>0</v>
      </c>
      <c r="M1704">
        <v>394.5711</v>
      </c>
      <c r="N1704">
        <v>512.82000000000005</v>
      </c>
      <c r="O1704">
        <v>515.09699999999998</v>
      </c>
      <c r="P1704">
        <v>416.34559999999999</v>
      </c>
      <c r="Q1704">
        <v>0</v>
      </c>
      <c r="R1704">
        <v>416.35</v>
      </c>
    </row>
    <row r="1705" spans="1:18" hidden="1" x14ac:dyDescent="0.25">
      <c r="A1705" t="s">
        <v>1834</v>
      </c>
      <c r="B1705" t="s">
        <v>333</v>
      </c>
      <c r="C1705" t="s">
        <v>127</v>
      </c>
      <c r="D1705" t="s">
        <v>21</v>
      </c>
      <c r="E1705">
        <v>268.62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261.43430000000001</v>
      </c>
      <c r="L1705">
        <v>0</v>
      </c>
      <c r="M1705">
        <v>0</v>
      </c>
      <c r="N1705">
        <v>268.62</v>
      </c>
      <c r="O1705">
        <v>505.78</v>
      </c>
      <c r="P1705">
        <v>0</v>
      </c>
      <c r="R1705">
        <v>0</v>
      </c>
    </row>
    <row r="1706" spans="1:18" hidden="1" x14ac:dyDescent="0.25">
      <c r="A1706" t="s">
        <v>1835</v>
      </c>
      <c r="B1706" t="s">
        <v>333</v>
      </c>
      <c r="C1706" t="s">
        <v>127</v>
      </c>
      <c r="D1706" t="s">
        <v>23</v>
      </c>
      <c r="E1706">
        <v>366.3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360.61200000000002</v>
      </c>
      <c r="L1706">
        <v>0</v>
      </c>
      <c r="M1706">
        <v>0</v>
      </c>
      <c r="N1706">
        <v>366.3</v>
      </c>
      <c r="O1706">
        <v>620.24599999999998</v>
      </c>
      <c r="P1706">
        <v>359.29950000000002</v>
      </c>
      <c r="R1706">
        <v>359.30399999999997</v>
      </c>
    </row>
    <row r="1707" spans="1:18" hidden="1" x14ac:dyDescent="0.25">
      <c r="A1707" t="s">
        <v>1836</v>
      </c>
      <c r="B1707" t="s">
        <v>333</v>
      </c>
      <c r="C1707" t="s">
        <v>127</v>
      </c>
      <c r="D1707" t="s">
        <v>25</v>
      </c>
      <c r="E1707">
        <v>378.51</v>
      </c>
      <c r="F1707">
        <v>0</v>
      </c>
      <c r="G1707">
        <v>436.81</v>
      </c>
      <c r="H1707">
        <v>0</v>
      </c>
      <c r="I1707">
        <v>0</v>
      </c>
      <c r="J1707">
        <v>0</v>
      </c>
      <c r="K1707">
        <v>401.23439999999999</v>
      </c>
      <c r="L1707">
        <v>0</v>
      </c>
      <c r="M1707">
        <v>0</v>
      </c>
      <c r="N1707">
        <v>378.51</v>
      </c>
      <c r="O1707">
        <v>656.18299999999999</v>
      </c>
      <c r="P1707">
        <v>368.1</v>
      </c>
      <c r="R1707">
        <v>368.10399999999998</v>
      </c>
    </row>
    <row r="1708" spans="1:18" hidden="1" x14ac:dyDescent="0.25">
      <c r="A1708" t="s">
        <v>1837</v>
      </c>
      <c r="B1708" t="s">
        <v>333</v>
      </c>
      <c r="C1708" t="s">
        <v>127</v>
      </c>
      <c r="D1708" t="s">
        <v>27</v>
      </c>
      <c r="E1708">
        <v>633.69899999999996</v>
      </c>
      <c r="F1708">
        <v>0</v>
      </c>
      <c r="G1708">
        <v>598.95000000000005</v>
      </c>
      <c r="H1708">
        <v>0</v>
      </c>
      <c r="I1708">
        <v>610.5</v>
      </c>
      <c r="J1708">
        <v>0</v>
      </c>
      <c r="K1708">
        <v>0</v>
      </c>
      <c r="L1708">
        <v>0</v>
      </c>
      <c r="M1708">
        <v>457.77269999999999</v>
      </c>
      <c r="N1708">
        <v>598.29</v>
      </c>
      <c r="O1708">
        <v>690.78899999999999</v>
      </c>
      <c r="P1708">
        <v>488.15460000000002</v>
      </c>
      <c r="R1708">
        <v>488.15800000000002</v>
      </c>
    </row>
    <row r="1709" spans="1:18" hidden="1" x14ac:dyDescent="0.25">
      <c r="A1709" t="s">
        <v>1838</v>
      </c>
      <c r="B1709" t="s">
        <v>333</v>
      </c>
      <c r="C1709" t="s">
        <v>127</v>
      </c>
      <c r="D1709" t="s">
        <v>29</v>
      </c>
      <c r="E1709">
        <v>280.83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274.02640000000002</v>
      </c>
      <c r="L1709">
        <v>0</v>
      </c>
      <c r="M1709">
        <v>0</v>
      </c>
      <c r="N1709">
        <v>280.83</v>
      </c>
      <c r="O1709">
        <v>532.4</v>
      </c>
      <c r="P1709">
        <v>276.0806</v>
      </c>
      <c r="R1709">
        <v>276.07799999999997</v>
      </c>
    </row>
    <row r="1710" spans="1:18" hidden="1" x14ac:dyDescent="0.25">
      <c r="A1710" t="s">
        <v>1839</v>
      </c>
      <c r="B1710" t="s">
        <v>333</v>
      </c>
      <c r="C1710" t="s">
        <v>127</v>
      </c>
      <c r="D1710" t="s">
        <v>31</v>
      </c>
      <c r="E1710">
        <v>317.45999999999998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311.03489999999999</v>
      </c>
      <c r="L1710">
        <v>0</v>
      </c>
      <c r="M1710">
        <v>0</v>
      </c>
      <c r="N1710">
        <v>317.45999999999998</v>
      </c>
      <c r="O1710">
        <v>560.351</v>
      </c>
      <c r="P1710">
        <v>313.16140000000001</v>
      </c>
      <c r="R1710">
        <v>313.15899999999999</v>
      </c>
    </row>
    <row r="1711" spans="1:18" hidden="1" x14ac:dyDescent="0.25">
      <c r="A1711" t="s">
        <v>1840</v>
      </c>
      <c r="B1711" t="s">
        <v>333</v>
      </c>
      <c r="C1711" t="s">
        <v>127</v>
      </c>
      <c r="D1711" t="s">
        <v>33</v>
      </c>
      <c r="E1711">
        <v>335.77499999999998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334.19929999999999</v>
      </c>
      <c r="L1711">
        <v>0</v>
      </c>
      <c r="M1711">
        <v>0</v>
      </c>
      <c r="N1711">
        <v>335.77499999999998</v>
      </c>
      <c r="O1711">
        <v>590.96400000000006</v>
      </c>
      <c r="P1711">
        <v>326.30329999999998</v>
      </c>
      <c r="R1711">
        <v>326.30399999999997</v>
      </c>
    </row>
    <row r="1712" spans="1:18" hidden="1" x14ac:dyDescent="0.25">
      <c r="A1712" t="s">
        <v>1841</v>
      </c>
      <c r="B1712" t="s">
        <v>333</v>
      </c>
      <c r="C1712" t="s">
        <v>127</v>
      </c>
      <c r="D1712" t="s">
        <v>35</v>
      </c>
      <c r="E1712">
        <v>666.66600000000005</v>
      </c>
      <c r="F1712">
        <v>0</v>
      </c>
      <c r="G1712">
        <v>635.25</v>
      </c>
      <c r="H1712">
        <v>0</v>
      </c>
      <c r="I1712">
        <v>610.5</v>
      </c>
      <c r="J1712">
        <v>0</v>
      </c>
      <c r="K1712">
        <v>0</v>
      </c>
      <c r="L1712">
        <v>0</v>
      </c>
      <c r="M1712">
        <v>493.51170000000002</v>
      </c>
      <c r="N1712">
        <v>616.60500000000002</v>
      </c>
      <c r="O1712">
        <v>726.726</v>
      </c>
      <c r="P1712">
        <v>519.52970000000005</v>
      </c>
      <c r="R1712">
        <v>519.53</v>
      </c>
    </row>
    <row r="1713" spans="1:18" hidden="1" x14ac:dyDescent="0.25">
      <c r="A1713" t="s">
        <v>1842</v>
      </c>
      <c r="B1713" t="s">
        <v>333</v>
      </c>
      <c r="C1713" t="s">
        <v>136</v>
      </c>
      <c r="D1713" t="s">
        <v>21</v>
      </c>
      <c r="E1713">
        <v>205.92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192.11850000000001</v>
      </c>
      <c r="L1713">
        <v>0</v>
      </c>
      <c r="M1713">
        <v>0</v>
      </c>
      <c r="N1713">
        <v>195.36</v>
      </c>
      <c r="O1713">
        <v>295.48200000000003</v>
      </c>
      <c r="P1713">
        <v>0</v>
      </c>
      <c r="R1713">
        <v>0</v>
      </c>
    </row>
    <row r="1714" spans="1:18" hidden="1" x14ac:dyDescent="0.25">
      <c r="A1714" t="s">
        <v>1843</v>
      </c>
      <c r="B1714" t="s">
        <v>333</v>
      </c>
      <c r="C1714" t="s">
        <v>136</v>
      </c>
      <c r="D1714" t="s">
        <v>23</v>
      </c>
      <c r="E1714">
        <v>321.75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301.54950000000002</v>
      </c>
      <c r="L1714">
        <v>0</v>
      </c>
      <c r="M1714">
        <v>0</v>
      </c>
      <c r="N1714">
        <v>305.25</v>
      </c>
      <c r="O1714">
        <v>469.84300000000002</v>
      </c>
      <c r="P1714">
        <v>301.16059999999999</v>
      </c>
      <c r="R1714">
        <v>301.15800000000002</v>
      </c>
    </row>
    <row r="1715" spans="1:18" hidden="1" x14ac:dyDescent="0.25">
      <c r="A1715" t="s">
        <v>1844</v>
      </c>
      <c r="B1715" t="s">
        <v>333</v>
      </c>
      <c r="C1715" t="s">
        <v>136</v>
      </c>
      <c r="D1715" t="s">
        <v>25</v>
      </c>
      <c r="E1715">
        <v>341.05500000000001</v>
      </c>
      <c r="F1715">
        <v>0</v>
      </c>
      <c r="G1715">
        <v>411.4</v>
      </c>
      <c r="H1715">
        <v>0</v>
      </c>
      <c r="I1715">
        <v>0</v>
      </c>
      <c r="J1715">
        <v>0</v>
      </c>
      <c r="K1715">
        <v>330.35939999999999</v>
      </c>
      <c r="L1715">
        <v>0</v>
      </c>
      <c r="M1715">
        <v>0</v>
      </c>
      <c r="N1715">
        <v>323.565</v>
      </c>
      <c r="O1715">
        <v>582.97799999999995</v>
      </c>
      <c r="P1715">
        <v>318.45330000000001</v>
      </c>
      <c r="R1715">
        <v>318.45</v>
      </c>
    </row>
    <row r="1716" spans="1:18" hidden="1" x14ac:dyDescent="0.25">
      <c r="A1716" t="s">
        <v>1845</v>
      </c>
      <c r="B1716" t="s">
        <v>333</v>
      </c>
      <c r="C1716" t="s">
        <v>136</v>
      </c>
      <c r="D1716" t="s">
        <v>27</v>
      </c>
      <c r="E1716">
        <v>568.98599999999999</v>
      </c>
      <c r="F1716">
        <v>0</v>
      </c>
      <c r="G1716">
        <v>569.91</v>
      </c>
      <c r="H1716">
        <v>0</v>
      </c>
      <c r="I1716">
        <v>518.92499999999995</v>
      </c>
      <c r="J1716">
        <v>0</v>
      </c>
      <c r="K1716">
        <v>0</v>
      </c>
      <c r="L1716">
        <v>0</v>
      </c>
      <c r="M1716">
        <v>462.1617</v>
      </c>
      <c r="N1716">
        <v>488.4</v>
      </c>
      <c r="O1716">
        <v>620.24599999999998</v>
      </c>
      <c r="P1716">
        <v>463.70589999999999</v>
      </c>
      <c r="R1716">
        <v>463.70499999999998</v>
      </c>
    </row>
    <row r="1717" spans="1:18" hidden="1" x14ac:dyDescent="0.25">
      <c r="A1717" t="s">
        <v>1846</v>
      </c>
      <c r="B1717" t="s">
        <v>333</v>
      </c>
      <c r="C1717" t="s">
        <v>136</v>
      </c>
      <c r="D1717" t="s">
        <v>29</v>
      </c>
      <c r="E1717">
        <v>218.79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205.49029999999999</v>
      </c>
      <c r="L1717">
        <v>0</v>
      </c>
      <c r="M1717">
        <v>0</v>
      </c>
      <c r="N1717">
        <v>207.57</v>
      </c>
      <c r="O1717">
        <v>348.72199999999998</v>
      </c>
      <c r="P1717">
        <v>204.9538</v>
      </c>
      <c r="R1717">
        <v>204.952</v>
      </c>
    </row>
    <row r="1718" spans="1:18" hidden="1" x14ac:dyDescent="0.25">
      <c r="A1718" t="s">
        <v>1847</v>
      </c>
      <c r="B1718" t="s">
        <v>333</v>
      </c>
      <c r="C1718" t="s">
        <v>136</v>
      </c>
      <c r="D1718" t="s">
        <v>31</v>
      </c>
      <c r="E1718">
        <v>270.27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255.88239999999999</v>
      </c>
      <c r="L1718">
        <v>0</v>
      </c>
      <c r="M1718">
        <v>0</v>
      </c>
      <c r="N1718">
        <v>256.41000000000003</v>
      </c>
      <c r="O1718">
        <v>379.33499999999998</v>
      </c>
      <c r="P1718">
        <v>252.0744</v>
      </c>
      <c r="R1718">
        <v>252.07599999999999</v>
      </c>
    </row>
    <row r="1719" spans="1:18" hidden="1" x14ac:dyDescent="0.25">
      <c r="A1719" t="s">
        <v>1848</v>
      </c>
      <c r="B1719" t="s">
        <v>333</v>
      </c>
      <c r="C1719" t="s">
        <v>136</v>
      </c>
      <c r="D1719" t="s">
        <v>33</v>
      </c>
      <c r="E1719">
        <v>283.14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264.55279999999999</v>
      </c>
      <c r="L1719">
        <v>0</v>
      </c>
      <c r="M1719">
        <v>0</v>
      </c>
      <c r="N1719">
        <v>268.62</v>
      </c>
      <c r="O1719">
        <v>393.976</v>
      </c>
      <c r="P1719">
        <v>262.34930000000003</v>
      </c>
      <c r="R1719">
        <v>262.35000000000002</v>
      </c>
    </row>
    <row r="1720" spans="1:18" hidden="1" x14ac:dyDescent="0.25">
      <c r="A1720" t="s">
        <v>1849</v>
      </c>
      <c r="B1720" t="s">
        <v>333</v>
      </c>
      <c r="C1720" t="s">
        <v>136</v>
      </c>
      <c r="D1720" t="s">
        <v>35</v>
      </c>
      <c r="E1720">
        <v>583.63800000000003</v>
      </c>
      <c r="F1720">
        <v>0</v>
      </c>
      <c r="G1720">
        <v>602.58000000000004</v>
      </c>
      <c r="H1720">
        <v>0</v>
      </c>
      <c r="I1720">
        <v>518.92499999999995</v>
      </c>
      <c r="J1720">
        <v>0</v>
      </c>
      <c r="K1720">
        <v>0</v>
      </c>
      <c r="L1720">
        <v>0</v>
      </c>
      <c r="M1720">
        <v>491.00369999999998</v>
      </c>
      <c r="N1720">
        <v>518.92499999999995</v>
      </c>
      <c r="O1720">
        <v>636.21799999999996</v>
      </c>
      <c r="P1720">
        <v>494.28230000000002</v>
      </c>
      <c r="R1720">
        <v>494.28500000000003</v>
      </c>
    </row>
    <row r="1721" spans="1:18" hidden="1" x14ac:dyDescent="0.25">
      <c r="A1721" t="s">
        <v>1850</v>
      </c>
      <c r="B1721" t="s">
        <v>333</v>
      </c>
      <c r="C1721" t="s">
        <v>145</v>
      </c>
      <c r="D1721" t="s">
        <v>21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R1721">
        <v>0</v>
      </c>
    </row>
    <row r="1722" spans="1:18" hidden="1" x14ac:dyDescent="0.25">
      <c r="A1722" t="s">
        <v>1851</v>
      </c>
      <c r="B1722" t="s">
        <v>333</v>
      </c>
      <c r="C1722" t="s">
        <v>145</v>
      </c>
      <c r="D1722" t="s">
        <v>23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472.28390000000002</v>
      </c>
      <c r="R1722">
        <v>472.28500000000003</v>
      </c>
    </row>
    <row r="1723" spans="1:18" hidden="1" x14ac:dyDescent="0.25">
      <c r="A1723" t="s">
        <v>1852</v>
      </c>
      <c r="B1723" t="s">
        <v>333</v>
      </c>
      <c r="C1723" t="s">
        <v>145</v>
      </c>
      <c r="D1723" t="s">
        <v>25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510.56810000000002</v>
      </c>
      <c r="R1723">
        <v>510.565</v>
      </c>
    </row>
    <row r="1724" spans="1:18" hidden="1" x14ac:dyDescent="0.25">
      <c r="A1724" t="s">
        <v>1853</v>
      </c>
      <c r="B1724" t="s">
        <v>333</v>
      </c>
      <c r="C1724" t="s">
        <v>145</v>
      </c>
      <c r="D1724" t="s">
        <v>27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676.55809999999997</v>
      </c>
      <c r="R1724">
        <v>676.55499999999995</v>
      </c>
    </row>
    <row r="1725" spans="1:18" hidden="1" x14ac:dyDescent="0.25">
      <c r="A1725" t="s">
        <v>1854</v>
      </c>
      <c r="B1725" t="s">
        <v>333</v>
      </c>
      <c r="C1725" t="s">
        <v>145</v>
      </c>
      <c r="D1725" t="s">
        <v>29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373.91770000000002</v>
      </c>
      <c r="R1725">
        <v>373.923</v>
      </c>
    </row>
    <row r="1726" spans="1:18" hidden="1" x14ac:dyDescent="0.25">
      <c r="A1726" t="s">
        <v>1855</v>
      </c>
      <c r="B1726" t="s">
        <v>333</v>
      </c>
      <c r="C1726" t="s">
        <v>145</v>
      </c>
      <c r="D1726" t="s">
        <v>31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411.86840000000001</v>
      </c>
      <c r="R1726">
        <v>411.87299999999999</v>
      </c>
    </row>
    <row r="1727" spans="1:18" hidden="1" x14ac:dyDescent="0.25">
      <c r="A1727" t="s">
        <v>1856</v>
      </c>
      <c r="B1727" t="s">
        <v>333</v>
      </c>
      <c r="C1727" t="s">
        <v>145</v>
      </c>
      <c r="D1727" t="s">
        <v>33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441.50830000000002</v>
      </c>
      <c r="R1727">
        <v>441.50700000000001</v>
      </c>
    </row>
    <row r="1728" spans="1:18" hidden="1" x14ac:dyDescent="0.25">
      <c r="A1728" t="s">
        <v>1857</v>
      </c>
      <c r="B1728" t="s">
        <v>333</v>
      </c>
      <c r="C1728" t="s">
        <v>145</v>
      </c>
      <c r="D1728" t="s">
        <v>35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705.17439999999999</v>
      </c>
      <c r="R1728">
        <v>705.17700000000002</v>
      </c>
    </row>
    <row r="1729" spans="1:18" hidden="1" x14ac:dyDescent="0.25">
      <c r="A1729" t="s">
        <v>1858</v>
      </c>
      <c r="B1729" t="s">
        <v>333</v>
      </c>
      <c r="C1729" t="s">
        <v>154</v>
      </c>
      <c r="D1729" t="s">
        <v>21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R1729">
        <v>0</v>
      </c>
    </row>
    <row r="1730" spans="1:18" hidden="1" x14ac:dyDescent="0.25">
      <c r="A1730" t="s">
        <v>1859</v>
      </c>
      <c r="B1730" t="s">
        <v>333</v>
      </c>
      <c r="C1730" t="s">
        <v>154</v>
      </c>
      <c r="D1730" t="s">
        <v>23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302.10860000000002</v>
      </c>
      <c r="R1730">
        <v>302.10399999999998</v>
      </c>
    </row>
    <row r="1731" spans="1:18" hidden="1" x14ac:dyDescent="0.25">
      <c r="A1731" t="s">
        <v>1860</v>
      </c>
      <c r="B1731" t="s">
        <v>333</v>
      </c>
      <c r="C1731" t="s">
        <v>154</v>
      </c>
      <c r="D1731" t="s">
        <v>25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321.00529999999998</v>
      </c>
      <c r="R1731">
        <v>321.00200000000001</v>
      </c>
    </row>
    <row r="1732" spans="1:18" hidden="1" x14ac:dyDescent="0.25">
      <c r="A1732" t="s">
        <v>1861</v>
      </c>
      <c r="B1732" t="s">
        <v>333</v>
      </c>
      <c r="C1732" t="s">
        <v>154</v>
      </c>
      <c r="D1732" t="s">
        <v>27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322.90499999999997</v>
      </c>
      <c r="N1732">
        <v>0</v>
      </c>
      <c r="O1732">
        <v>0</v>
      </c>
      <c r="P1732">
        <v>347.73419999999999</v>
      </c>
      <c r="R1732">
        <v>347.73200000000003</v>
      </c>
    </row>
    <row r="1733" spans="1:18" hidden="1" x14ac:dyDescent="0.25">
      <c r="A1733" t="s">
        <v>1862</v>
      </c>
      <c r="B1733" t="s">
        <v>333</v>
      </c>
      <c r="C1733" t="s">
        <v>154</v>
      </c>
      <c r="D1733" t="s">
        <v>29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221.81039999999999</v>
      </c>
      <c r="R1733">
        <v>221.815</v>
      </c>
    </row>
    <row r="1734" spans="1:18" hidden="1" x14ac:dyDescent="0.25">
      <c r="A1734" t="s">
        <v>1863</v>
      </c>
      <c r="B1734" t="s">
        <v>333</v>
      </c>
      <c r="C1734" t="s">
        <v>154</v>
      </c>
      <c r="D1734" t="s">
        <v>31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253.98679999999999</v>
      </c>
      <c r="R1734">
        <v>253.99</v>
      </c>
    </row>
    <row r="1735" spans="1:18" hidden="1" x14ac:dyDescent="0.25">
      <c r="A1735" t="s">
        <v>1864</v>
      </c>
      <c r="B1735" t="s">
        <v>333</v>
      </c>
      <c r="C1735" t="s">
        <v>154</v>
      </c>
      <c r="D1735" t="s">
        <v>33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271.53059999999999</v>
      </c>
      <c r="R1735">
        <v>271.53500000000003</v>
      </c>
    </row>
    <row r="1736" spans="1:18" hidden="1" x14ac:dyDescent="0.25">
      <c r="A1736" t="s">
        <v>1865</v>
      </c>
      <c r="B1736" t="s">
        <v>333</v>
      </c>
      <c r="C1736" t="s">
        <v>154</v>
      </c>
      <c r="D1736" t="s">
        <v>35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343.596</v>
      </c>
      <c r="N1736">
        <v>0</v>
      </c>
      <c r="O1736">
        <v>0</v>
      </c>
      <c r="P1736">
        <v>364.62099999999998</v>
      </c>
      <c r="R1736">
        <v>364.61700000000002</v>
      </c>
    </row>
    <row r="1737" spans="1:18" hidden="1" x14ac:dyDescent="0.25">
      <c r="A1737" t="s">
        <v>1866</v>
      </c>
      <c r="B1737" t="s">
        <v>333</v>
      </c>
      <c r="C1737" t="s">
        <v>163</v>
      </c>
      <c r="D1737" t="s">
        <v>21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R1737">
        <v>0</v>
      </c>
    </row>
    <row r="1738" spans="1:18" hidden="1" x14ac:dyDescent="0.25">
      <c r="A1738" t="s">
        <v>1867</v>
      </c>
      <c r="B1738" t="s">
        <v>333</v>
      </c>
      <c r="C1738" t="s">
        <v>163</v>
      </c>
      <c r="D1738" t="s">
        <v>23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805.21849999999995</v>
      </c>
      <c r="R1738">
        <v>805.22199999999998</v>
      </c>
    </row>
    <row r="1739" spans="1:18" hidden="1" x14ac:dyDescent="0.25">
      <c r="A1739" t="s">
        <v>1868</v>
      </c>
      <c r="B1739" t="s">
        <v>333</v>
      </c>
      <c r="C1739" t="s">
        <v>163</v>
      </c>
      <c r="D1739" t="s">
        <v>25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816.47940000000006</v>
      </c>
      <c r="R1739">
        <v>816.47500000000002</v>
      </c>
    </row>
    <row r="1740" spans="1:18" hidden="1" x14ac:dyDescent="0.25">
      <c r="A1740" t="s">
        <v>1869</v>
      </c>
      <c r="B1740" t="s">
        <v>333</v>
      </c>
      <c r="C1740" t="s">
        <v>163</v>
      </c>
      <c r="D1740" t="s">
        <v>27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992.39049999999997</v>
      </c>
      <c r="R1740">
        <v>992.38699999999994</v>
      </c>
    </row>
    <row r="1741" spans="1:18" hidden="1" x14ac:dyDescent="0.25">
      <c r="A1741" t="s">
        <v>1870</v>
      </c>
      <c r="B1741" t="s">
        <v>333</v>
      </c>
      <c r="C1741" t="s">
        <v>163</v>
      </c>
      <c r="D1741" t="s">
        <v>29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541.67780000000005</v>
      </c>
      <c r="R1741">
        <v>541.673</v>
      </c>
    </row>
    <row r="1742" spans="1:18" hidden="1" x14ac:dyDescent="0.25">
      <c r="A1742" t="s">
        <v>1871</v>
      </c>
      <c r="B1742" t="s">
        <v>333</v>
      </c>
      <c r="C1742" t="s">
        <v>163</v>
      </c>
      <c r="D1742" t="s">
        <v>31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683.03160000000003</v>
      </c>
      <c r="R1742">
        <v>683.03399999999999</v>
      </c>
    </row>
    <row r="1743" spans="1:18" hidden="1" x14ac:dyDescent="0.25">
      <c r="A1743" t="s">
        <v>1872</v>
      </c>
      <c r="B1743" t="s">
        <v>333</v>
      </c>
      <c r="C1743" t="s">
        <v>163</v>
      </c>
      <c r="D1743" t="s">
        <v>33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704.87339999999995</v>
      </c>
      <c r="R1743">
        <v>704.86900000000003</v>
      </c>
    </row>
    <row r="1744" spans="1:18" hidden="1" x14ac:dyDescent="0.25">
      <c r="A1744" t="s">
        <v>1873</v>
      </c>
      <c r="B1744" t="s">
        <v>333</v>
      </c>
      <c r="C1744" t="s">
        <v>163</v>
      </c>
      <c r="D1744" t="s">
        <v>35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1010.1722</v>
      </c>
      <c r="R1744">
        <v>1010.174</v>
      </c>
    </row>
    <row r="1745" spans="1:18" hidden="1" x14ac:dyDescent="0.25">
      <c r="A1745" t="s">
        <v>1874</v>
      </c>
      <c r="B1745" t="s">
        <v>333</v>
      </c>
      <c r="C1745" t="s">
        <v>172</v>
      </c>
      <c r="D1745" t="s">
        <v>21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R1745">
        <v>0</v>
      </c>
    </row>
    <row r="1746" spans="1:18" hidden="1" x14ac:dyDescent="0.25">
      <c r="A1746" t="s">
        <v>1875</v>
      </c>
      <c r="B1746" t="s">
        <v>333</v>
      </c>
      <c r="C1746" t="s">
        <v>172</v>
      </c>
      <c r="D1746" t="s">
        <v>23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227.7013</v>
      </c>
      <c r="R1746">
        <v>227.7</v>
      </c>
    </row>
    <row r="1747" spans="1:18" hidden="1" x14ac:dyDescent="0.25">
      <c r="A1747" t="s">
        <v>1876</v>
      </c>
      <c r="B1747" t="s">
        <v>333</v>
      </c>
      <c r="C1747" t="s">
        <v>172</v>
      </c>
      <c r="D1747" t="s">
        <v>25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242.1474</v>
      </c>
      <c r="R1747">
        <v>242.143</v>
      </c>
    </row>
    <row r="1748" spans="1:18" hidden="1" x14ac:dyDescent="0.25">
      <c r="A1748" t="s">
        <v>1877</v>
      </c>
      <c r="B1748" t="s">
        <v>333</v>
      </c>
      <c r="C1748" t="s">
        <v>172</v>
      </c>
      <c r="D1748" t="s">
        <v>27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290.04230000000001</v>
      </c>
      <c r="R1748">
        <v>290.03699999999998</v>
      </c>
    </row>
    <row r="1749" spans="1:18" hidden="1" x14ac:dyDescent="0.25">
      <c r="A1749" t="s">
        <v>1878</v>
      </c>
      <c r="B1749" t="s">
        <v>333</v>
      </c>
      <c r="C1749" t="s">
        <v>172</v>
      </c>
      <c r="D1749" t="s">
        <v>29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181.2782</v>
      </c>
      <c r="R1749">
        <v>181.28</v>
      </c>
    </row>
    <row r="1750" spans="1:18" hidden="1" x14ac:dyDescent="0.25">
      <c r="A1750" t="s">
        <v>1879</v>
      </c>
      <c r="B1750" t="s">
        <v>333</v>
      </c>
      <c r="C1750" t="s">
        <v>172</v>
      </c>
      <c r="D1750" t="s">
        <v>31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202.5461</v>
      </c>
      <c r="R1750">
        <v>202.54300000000001</v>
      </c>
    </row>
    <row r="1751" spans="1:18" hidden="1" x14ac:dyDescent="0.25">
      <c r="A1751" t="s">
        <v>1880</v>
      </c>
      <c r="B1751" t="s">
        <v>333</v>
      </c>
      <c r="C1751" t="s">
        <v>172</v>
      </c>
      <c r="D1751" t="s">
        <v>33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215.2115</v>
      </c>
      <c r="R1751">
        <v>215.215</v>
      </c>
    </row>
    <row r="1752" spans="1:18" hidden="1" x14ac:dyDescent="0.25">
      <c r="A1752" t="s">
        <v>1881</v>
      </c>
      <c r="B1752" t="s">
        <v>333</v>
      </c>
      <c r="C1752" t="s">
        <v>172</v>
      </c>
      <c r="D1752" t="s">
        <v>35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301.35340000000002</v>
      </c>
      <c r="R1752">
        <v>301.35599999999999</v>
      </c>
    </row>
    <row r="1753" spans="1:18" hidden="1" x14ac:dyDescent="0.25">
      <c r="A1753" t="s">
        <v>1882</v>
      </c>
      <c r="B1753" t="s">
        <v>333</v>
      </c>
      <c r="C1753" t="s">
        <v>181</v>
      </c>
      <c r="D1753" t="s">
        <v>21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</row>
    <row r="1754" spans="1:18" hidden="1" x14ac:dyDescent="0.25">
      <c r="A1754" t="s">
        <v>1883</v>
      </c>
      <c r="B1754" t="s">
        <v>333</v>
      </c>
      <c r="C1754" t="s">
        <v>181</v>
      </c>
      <c r="D1754" t="s">
        <v>23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200.15629999999999</v>
      </c>
      <c r="Q1754">
        <v>0</v>
      </c>
      <c r="R1754">
        <v>200.15600000000001</v>
      </c>
    </row>
    <row r="1755" spans="1:18" hidden="1" x14ac:dyDescent="0.25">
      <c r="A1755" t="s">
        <v>1884</v>
      </c>
      <c r="B1755" t="s">
        <v>333</v>
      </c>
      <c r="C1755" t="s">
        <v>181</v>
      </c>
      <c r="D1755" t="s">
        <v>25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210.13669999999999</v>
      </c>
      <c r="Q1755">
        <v>0</v>
      </c>
      <c r="R1755">
        <v>210.13300000000001</v>
      </c>
    </row>
    <row r="1756" spans="1:18" hidden="1" x14ac:dyDescent="0.25">
      <c r="A1756" t="s">
        <v>1885</v>
      </c>
      <c r="B1756" t="s">
        <v>333</v>
      </c>
      <c r="C1756" t="s">
        <v>181</v>
      </c>
      <c r="D1756" t="s">
        <v>27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308.34160000000003</v>
      </c>
      <c r="Q1756">
        <v>0</v>
      </c>
      <c r="R1756">
        <v>308.34100000000001</v>
      </c>
    </row>
    <row r="1757" spans="1:18" hidden="1" x14ac:dyDescent="0.25">
      <c r="A1757" t="s">
        <v>1886</v>
      </c>
      <c r="B1757" t="s">
        <v>333</v>
      </c>
      <c r="C1757" t="s">
        <v>181</v>
      </c>
      <c r="D1757" t="s">
        <v>29</v>
      </c>
      <c r="E1757">
        <v>0</v>
      </c>
      <c r="F1757">
        <v>154.88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134.1172</v>
      </c>
      <c r="Q1757">
        <v>154.88</v>
      </c>
      <c r="R1757">
        <v>134.11199999999999</v>
      </c>
    </row>
    <row r="1758" spans="1:18" hidden="1" x14ac:dyDescent="0.25">
      <c r="A1758" t="s">
        <v>1887</v>
      </c>
      <c r="B1758" t="s">
        <v>333</v>
      </c>
      <c r="C1758" t="s">
        <v>181</v>
      </c>
      <c r="D1758" t="s">
        <v>31</v>
      </c>
      <c r="E1758">
        <v>0</v>
      </c>
      <c r="F1758">
        <v>181.5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175.2089</v>
      </c>
      <c r="Q1758">
        <v>181.5</v>
      </c>
      <c r="R1758">
        <v>175.208</v>
      </c>
    </row>
    <row r="1759" spans="1:18" hidden="1" x14ac:dyDescent="0.25">
      <c r="A1759" t="s">
        <v>1888</v>
      </c>
      <c r="B1759" t="s">
        <v>333</v>
      </c>
      <c r="C1759" t="s">
        <v>181</v>
      </c>
      <c r="D1759" t="s">
        <v>33</v>
      </c>
      <c r="E1759">
        <v>0</v>
      </c>
      <c r="F1759">
        <v>187.55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178.01779999999999</v>
      </c>
      <c r="Q1759">
        <v>187.55</v>
      </c>
      <c r="R1759">
        <v>178.01300000000001</v>
      </c>
    </row>
    <row r="1760" spans="1:18" hidden="1" x14ac:dyDescent="0.25">
      <c r="A1760" t="s">
        <v>1889</v>
      </c>
      <c r="B1760" t="s">
        <v>333</v>
      </c>
      <c r="C1760" t="s">
        <v>181</v>
      </c>
      <c r="D1760" t="s">
        <v>35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323.47820000000002</v>
      </c>
      <c r="Q1760">
        <v>0</v>
      </c>
      <c r="R1760">
        <v>323.47699999999998</v>
      </c>
    </row>
    <row r="1761" spans="1:18" hidden="1" x14ac:dyDescent="0.25">
      <c r="A1761" t="s">
        <v>1890</v>
      </c>
      <c r="B1761" t="s">
        <v>333</v>
      </c>
      <c r="C1761" t="s">
        <v>190</v>
      </c>
      <c r="D1761" t="s">
        <v>21</v>
      </c>
      <c r="E1761">
        <v>150.47999999999999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121.2435</v>
      </c>
      <c r="L1761">
        <v>0</v>
      </c>
      <c r="M1761">
        <v>0</v>
      </c>
      <c r="N1761">
        <v>183.15</v>
      </c>
      <c r="O1761">
        <v>190.333</v>
      </c>
      <c r="P1761">
        <v>0</v>
      </c>
      <c r="Q1761">
        <v>0</v>
      </c>
      <c r="R1761">
        <v>0</v>
      </c>
    </row>
    <row r="1762" spans="1:18" hidden="1" x14ac:dyDescent="0.25">
      <c r="A1762" t="s">
        <v>1891</v>
      </c>
      <c r="B1762" t="s">
        <v>333</v>
      </c>
      <c r="C1762" t="s">
        <v>190</v>
      </c>
      <c r="D1762" t="s">
        <v>23</v>
      </c>
      <c r="E1762">
        <v>250.8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290.0677</v>
      </c>
      <c r="L1762">
        <v>0</v>
      </c>
      <c r="M1762">
        <v>0</v>
      </c>
      <c r="N1762">
        <v>244.2</v>
      </c>
      <c r="O1762">
        <v>302.137</v>
      </c>
      <c r="P1762">
        <v>250.8</v>
      </c>
      <c r="Q1762">
        <v>0</v>
      </c>
      <c r="R1762">
        <v>250.8</v>
      </c>
    </row>
    <row r="1763" spans="1:18" hidden="1" x14ac:dyDescent="0.25">
      <c r="A1763" t="s">
        <v>1892</v>
      </c>
      <c r="B1763" t="s">
        <v>333</v>
      </c>
      <c r="C1763" t="s">
        <v>190</v>
      </c>
      <c r="D1763" t="s">
        <v>25</v>
      </c>
      <c r="E1763">
        <v>256.41000000000003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316.5813</v>
      </c>
      <c r="L1763">
        <v>0</v>
      </c>
      <c r="M1763">
        <v>0</v>
      </c>
      <c r="N1763">
        <v>305.25</v>
      </c>
      <c r="O1763">
        <v>379.33499999999998</v>
      </c>
      <c r="P1763">
        <v>267.66629999999998</v>
      </c>
      <c r="Q1763">
        <v>0</v>
      </c>
      <c r="R1763">
        <v>267.66300000000001</v>
      </c>
    </row>
    <row r="1764" spans="1:18" hidden="1" x14ac:dyDescent="0.25">
      <c r="A1764" t="s">
        <v>1893</v>
      </c>
      <c r="B1764" t="s">
        <v>333</v>
      </c>
      <c r="C1764" t="s">
        <v>190</v>
      </c>
      <c r="D1764" t="s">
        <v>27</v>
      </c>
      <c r="E1764">
        <v>312.83999999999997</v>
      </c>
      <c r="F1764">
        <v>0</v>
      </c>
      <c r="G1764">
        <v>394.24</v>
      </c>
      <c r="H1764">
        <v>0</v>
      </c>
      <c r="I1764">
        <v>374.99</v>
      </c>
      <c r="J1764">
        <v>0</v>
      </c>
      <c r="K1764">
        <v>0</v>
      </c>
      <c r="L1764">
        <v>0</v>
      </c>
      <c r="M1764">
        <v>0</v>
      </c>
      <c r="N1764">
        <v>369.6</v>
      </c>
      <c r="O1764">
        <v>439.23</v>
      </c>
      <c r="P1764">
        <v>339.98450000000003</v>
      </c>
      <c r="Q1764">
        <v>0</v>
      </c>
      <c r="R1764">
        <v>339.988</v>
      </c>
    </row>
    <row r="1765" spans="1:18" hidden="1" x14ac:dyDescent="0.25">
      <c r="A1765" t="s">
        <v>1894</v>
      </c>
      <c r="B1765" t="s">
        <v>333</v>
      </c>
      <c r="C1765" t="s">
        <v>190</v>
      </c>
      <c r="D1765" t="s">
        <v>29</v>
      </c>
      <c r="E1765">
        <v>163.02000000000001</v>
      </c>
      <c r="F1765">
        <v>127.05</v>
      </c>
      <c r="G1765">
        <v>0</v>
      </c>
      <c r="H1765">
        <v>0</v>
      </c>
      <c r="I1765">
        <v>0</v>
      </c>
      <c r="J1765">
        <v>0</v>
      </c>
      <c r="K1765">
        <v>128.709</v>
      </c>
      <c r="L1765">
        <v>0</v>
      </c>
      <c r="M1765">
        <v>0</v>
      </c>
      <c r="N1765">
        <v>189.255</v>
      </c>
      <c r="O1765">
        <v>227.601</v>
      </c>
      <c r="P1765">
        <v>126.7167</v>
      </c>
      <c r="Q1765">
        <v>127.05</v>
      </c>
      <c r="R1765">
        <v>126.72</v>
      </c>
    </row>
    <row r="1766" spans="1:18" hidden="1" x14ac:dyDescent="0.25">
      <c r="A1766" t="s">
        <v>1895</v>
      </c>
      <c r="B1766" t="s">
        <v>333</v>
      </c>
      <c r="C1766" t="s">
        <v>190</v>
      </c>
      <c r="D1766" t="s">
        <v>31</v>
      </c>
      <c r="E1766">
        <v>188.1</v>
      </c>
      <c r="F1766">
        <v>187.55</v>
      </c>
      <c r="G1766">
        <v>0</v>
      </c>
      <c r="H1766">
        <v>0</v>
      </c>
      <c r="I1766">
        <v>0</v>
      </c>
      <c r="J1766">
        <v>0</v>
      </c>
      <c r="K1766">
        <v>208.63239999999999</v>
      </c>
      <c r="L1766">
        <v>0</v>
      </c>
      <c r="M1766">
        <v>0</v>
      </c>
      <c r="N1766">
        <v>207.57</v>
      </c>
      <c r="O1766">
        <v>242.24199999999999</v>
      </c>
      <c r="P1766">
        <v>189.60480000000001</v>
      </c>
      <c r="Q1766">
        <v>187.55</v>
      </c>
      <c r="R1766">
        <v>189.607</v>
      </c>
    </row>
    <row r="1767" spans="1:18" hidden="1" x14ac:dyDescent="0.25">
      <c r="A1767" t="s">
        <v>1896</v>
      </c>
      <c r="B1767" t="s">
        <v>333</v>
      </c>
      <c r="C1767" t="s">
        <v>190</v>
      </c>
      <c r="D1767" t="s">
        <v>33</v>
      </c>
      <c r="E1767">
        <v>200.64</v>
      </c>
      <c r="F1767">
        <v>193.6</v>
      </c>
      <c r="G1767">
        <v>0</v>
      </c>
      <c r="H1767">
        <v>0</v>
      </c>
      <c r="I1767">
        <v>0</v>
      </c>
      <c r="J1767">
        <v>0</v>
      </c>
      <c r="K1767">
        <v>221.98050000000001</v>
      </c>
      <c r="L1767">
        <v>0</v>
      </c>
      <c r="M1767">
        <v>0</v>
      </c>
      <c r="N1767">
        <v>219.78</v>
      </c>
      <c r="O1767">
        <v>258.214</v>
      </c>
      <c r="P1767">
        <v>200.64</v>
      </c>
      <c r="Q1767">
        <v>193.6</v>
      </c>
      <c r="R1767">
        <v>200.64</v>
      </c>
    </row>
    <row r="1768" spans="1:18" hidden="1" x14ac:dyDescent="0.25">
      <c r="A1768" t="s">
        <v>1897</v>
      </c>
      <c r="B1768" t="s">
        <v>333</v>
      </c>
      <c r="C1768" t="s">
        <v>190</v>
      </c>
      <c r="D1768" t="s">
        <v>35</v>
      </c>
      <c r="E1768">
        <v>334.67500000000001</v>
      </c>
      <c r="F1768">
        <v>0</v>
      </c>
      <c r="G1768">
        <v>418.78570000000002</v>
      </c>
      <c r="H1768">
        <v>0</v>
      </c>
      <c r="I1768">
        <v>380.74299999999999</v>
      </c>
      <c r="J1768">
        <v>0</v>
      </c>
      <c r="K1768">
        <v>0</v>
      </c>
      <c r="L1768">
        <v>0</v>
      </c>
      <c r="M1768">
        <v>0</v>
      </c>
      <c r="N1768">
        <v>406.56</v>
      </c>
      <c r="O1768">
        <v>469.84300000000002</v>
      </c>
      <c r="P1768">
        <v>357.66590000000002</v>
      </c>
      <c r="Q1768">
        <v>0</v>
      </c>
      <c r="R1768">
        <v>357.66500000000002</v>
      </c>
    </row>
    <row r="1769" spans="1:18" hidden="1" x14ac:dyDescent="0.25">
      <c r="A1769" t="s">
        <v>1898</v>
      </c>
      <c r="B1769" t="s">
        <v>333</v>
      </c>
      <c r="C1769" t="s">
        <v>199</v>
      </c>
      <c r="D1769" t="s">
        <v>21</v>
      </c>
      <c r="E1769">
        <v>128.69999999999999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316.14980000000003</v>
      </c>
      <c r="L1769">
        <v>0</v>
      </c>
      <c r="M1769">
        <v>0</v>
      </c>
      <c r="N1769">
        <v>323.565</v>
      </c>
      <c r="O1769">
        <v>397.96899999999999</v>
      </c>
      <c r="P1769">
        <v>0</v>
      </c>
      <c r="R1769">
        <v>0</v>
      </c>
    </row>
    <row r="1770" spans="1:18" hidden="1" x14ac:dyDescent="0.25">
      <c r="A1770" t="s">
        <v>1899</v>
      </c>
      <c r="B1770" t="s">
        <v>333</v>
      </c>
      <c r="C1770" t="s">
        <v>199</v>
      </c>
      <c r="D1770" t="s">
        <v>23</v>
      </c>
      <c r="E1770">
        <v>270.27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290.0677</v>
      </c>
      <c r="L1770">
        <v>0</v>
      </c>
      <c r="M1770">
        <v>0</v>
      </c>
      <c r="N1770">
        <v>457.875</v>
      </c>
      <c r="O1770">
        <v>567.00599999999997</v>
      </c>
      <c r="P1770">
        <v>266.27440000000001</v>
      </c>
      <c r="R1770">
        <v>266.27699999999999</v>
      </c>
    </row>
    <row r="1771" spans="1:18" hidden="1" x14ac:dyDescent="0.25">
      <c r="A1771" t="s">
        <v>1900</v>
      </c>
      <c r="B1771" t="s">
        <v>333</v>
      </c>
      <c r="C1771" t="s">
        <v>199</v>
      </c>
      <c r="D1771" t="s">
        <v>25</v>
      </c>
      <c r="E1771">
        <v>292.149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316.5813</v>
      </c>
      <c r="L1771">
        <v>0</v>
      </c>
      <c r="M1771">
        <v>0</v>
      </c>
      <c r="N1771">
        <v>488.4</v>
      </c>
      <c r="O1771">
        <v>658.84500000000003</v>
      </c>
      <c r="P1771">
        <v>286.72710000000001</v>
      </c>
      <c r="R1771">
        <v>286.726</v>
      </c>
    </row>
    <row r="1772" spans="1:18" hidden="1" x14ac:dyDescent="0.25">
      <c r="A1772" t="s">
        <v>1901</v>
      </c>
      <c r="B1772" t="s">
        <v>333</v>
      </c>
      <c r="C1772" t="s">
        <v>199</v>
      </c>
      <c r="D1772" t="s">
        <v>27</v>
      </c>
      <c r="E1772">
        <v>424.71</v>
      </c>
      <c r="F1772">
        <v>0</v>
      </c>
      <c r="G1772">
        <v>0</v>
      </c>
      <c r="H1772">
        <v>0</v>
      </c>
      <c r="I1772">
        <v>402.93</v>
      </c>
      <c r="J1772">
        <v>0</v>
      </c>
      <c r="K1772">
        <v>0</v>
      </c>
      <c r="L1772">
        <v>0</v>
      </c>
      <c r="M1772">
        <v>0</v>
      </c>
      <c r="N1772">
        <v>586.08000000000004</v>
      </c>
      <c r="O1772">
        <v>681.47199999999998</v>
      </c>
      <c r="P1772">
        <v>381.94330000000002</v>
      </c>
      <c r="R1772">
        <v>381.94200000000001</v>
      </c>
    </row>
    <row r="1773" spans="1:18" hidden="1" x14ac:dyDescent="0.25">
      <c r="A1773" t="s">
        <v>1902</v>
      </c>
      <c r="B1773" t="s">
        <v>333</v>
      </c>
      <c r="C1773" t="s">
        <v>199</v>
      </c>
      <c r="D1773" t="s">
        <v>29</v>
      </c>
      <c r="E1773">
        <v>135.13499999999999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327.18259999999998</v>
      </c>
      <c r="L1773">
        <v>0</v>
      </c>
      <c r="M1773">
        <v>0</v>
      </c>
      <c r="N1773">
        <v>335.77499999999998</v>
      </c>
      <c r="O1773">
        <v>444.55399999999997</v>
      </c>
      <c r="P1773">
        <v>166.88229999999999</v>
      </c>
      <c r="R1773">
        <v>166.881</v>
      </c>
    </row>
    <row r="1774" spans="1:18" hidden="1" x14ac:dyDescent="0.25">
      <c r="A1774" t="s">
        <v>1903</v>
      </c>
      <c r="B1774" t="s">
        <v>333</v>
      </c>
      <c r="C1774" t="s">
        <v>199</v>
      </c>
      <c r="D1774" t="s">
        <v>31</v>
      </c>
      <c r="E1774">
        <v>220.077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214.5386</v>
      </c>
      <c r="L1774">
        <v>0</v>
      </c>
      <c r="M1774">
        <v>0</v>
      </c>
      <c r="N1774">
        <v>360.19499999999999</v>
      </c>
      <c r="O1774">
        <v>483.15300000000002</v>
      </c>
      <c r="P1774">
        <v>209.48070000000001</v>
      </c>
      <c r="R1774">
        <v>209.48400000000001</v>
      </c>
    </row>
    <row r="1775" spans="1:18" hidden="1" x14ac:dyDescent="0.25">
      <c r="A1775" t="s">
        <v>1904</v>
      </c>
      <c r="B1775" t="s">
        <v>333</v>
      </c>
      <c r="C1775" t="s">
        <v>199</v>
      </c>
      <c r="D1775" t="s">
        <v>33</v>
      </c>
      <c r="E1775">
        <v>234.23400000000001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229.11529999999999</v>
      </c>
      <c r="L1775">
        <v>0</v>
      </c>
      <c r="M1775">
        <v>0</v>
      </c>
      <c r="N1775">
        <v>396.82499999999999</v>
      </c>
      <c r="O1775">
        <v>513.76599999999996</v>
      </c>
      <c r="P1775">
        <v>220.76669999999999</v>
      </c>
      <c r="R1775">
        <v>220.77</v>
      </c>
    </row>
    <row r="1776" spans="1:18" hidden="1" x14ac:dyDescent="0.25">
      <c r="A1776" t="s">
        <v>1905</v>
      </c>
      <c r="B1776" t="s">
        <v>333</v>
      </c>
      <c r="C1776" t="s">
        <v>199</v>
      </c>
      <c r="D1776" t="s">
        <v>35</v>
      </c>
      <c r="E1776">
        <v>454.31099999999998</v>
      </c>
      <c r="F1776">
        <v>0</v>
      </c>
      <c r="G1776">
        <v>0</v>
      </c>
      <c r="H1776">
        <v>0</v>
      </c>
      <c r="I1776">
        <v>402.93</v>
      </c>
      <c r="J1776">
        <v>0</v>
      </c>
      <c r="K1776">
        <v>0</v>
      </c>
      <c r="L1776">
        <v>0</v>
      </c>
      <c r="M1776">
        <v>0</v>
      </c>
      <c r="N1776">
        <v>671.55</v>
      </c>
      <c r="O1776">
        <v>750.68399999999997</v>
      </c>
      <c r="P1776">
        <v>397.36750000000001</v>
      </c>
      <c r="R1776">
        <v>397.36399999999998</v>
      </c>
    </row>
    <row r="1777" spans="1:18" hidden="1" x14ac:dyDescent="0.25">
      <c r="A1777" t="s">
        <v>1906</v>
      </c>
      <c r="B1777" t="s">
        <v>333</v>
      </c>
      <c r="C1777" t="s">
        <v>208</v>
      </c>
      <c r="D1777" t="s">
        <v>21</v>
      </c>
      <c r="E1777">
        <v>119.658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133.05600000000001</v>
      </c>
      <c r="L1777">
        <v>0</v>
      </c>
      <c r="M1777">
        <v>0</v>
      </c>
      <c r="N1777">
        <v>97.68</v>
      </c>
      <c r="O1777">
        <v>147.74100000000001</v>
      </c>
      <c r="P1777">
        <v>0</v>
      </c>
      <c r="Q1777">
        <v>0</v>
      </c>
      <c r="R1777">
        <v>0</v>
      </c>
    </row>
    <row r="1778" spans="1:18" hidden="1" x14ac:dyDescent="0.25">
      <c r="A1778" t="s">
        <v>1907</v>
      </c>
      <c r="B1778" t="s">
        <v>333</v>
      </c>
      <c r="C1778" t="s">
        <v>208</v>
      </c>
      <c r="D1778" t="s">
        <v>23</v>
      </c>
      <c r="E1778">
        <v>189.255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225.09899999999999</v>
      </c>
      <c r="L1778">
        <v>0</v>
      </c>
      <c r="M1778">
        <v>0</v>
      </c>
      <c r="N1778">
        <v>158.72999999999999</v>
      </c>
      <c r="O1778">
        <v>182.34700000000001</v>
      </c>
      <c r="P1778">
        <v>163.02000000000001</v>
      </c>
      <c r="Q1778">
        <v>0</v>
      </c>
      <c r="R1778">
        <v>163.02000000000001</v>
      </c>
    </row>
    <row r="1779" spans="1:18" hidden="1" x14ac:dyDescent="0.25">
      <c r="A1779" t="s">
        <v>1908</v>
      </c>
      <c r="B1779" t="s">
        <v>333</v>
      </c>
      <c r="C1779" t="s">
        <v>208</v>
      </c>
      <c r="D1779" t="s">
        <v>25</v>
      </c>
      <c r="E1779">
        <v>189.255</v>
      </c>
      <c r="F1779">
        <v>0</v>
      </c>
      <c r="G1779">
        <v>175.45</v>
      </c>
      <c r="H1779">
        <v>0</v>
      </c>
      <c r="I1779">
        <v>0</v>
      </c>
      <c r="J1779">
        <v>0</v>
      </c>
      <c r="K1779">
        <v>238.61879999999999</v>
      </c>
      <c r="L1779">
        <v>0</v>
      </c>
      <c r="M1779">
        <v>0</v>
      </c>
      <c r="N1779">
        <v>183.15</v>
      </c>
      <c r="O1779">
        <v>191.66399999999999</v>
      </c>
      <c r="P1779">
        <v>171.61060000000001</v>
      </c>
      <c r="Q1779">
        <v>0</v>
      </c>
      <c r="R1779">
        <v>171.61099999999999</v>
      </c>
    </row>
    <row r="1780" spans="1:18" hidden="1" x14ac:dyDescent="0.25">
      <c r="A1780" t="s">
        <v>1909</v>
      </c>
      <c r="B1780" t="s">
        <v>333</v>
      </c>
      <c r="C1780" t="s">
        <v>208</v>
      </c>
      <c r="D1780" t="s">
        <v>27</v>
      </c>
      <c r="E1780">
        <v>625.15200000000004</v>
      </c>
      <c r="F1780">
        <v>0</v>
      </c>
      <c r="G1780">
        <v>272.25</v>
      </c>
      <c r="H1780">
        <v>0</v>
      </c>
      <c r="I1780">
        <v>299.14499999999998</v>
      </c>
      <c r="J1780">
        <v>0</v>
      </c>
      <c r="K1780">
        <v>0</v>
      </c>
      <c r="L1780">
        <v>0</v>
      </c>
      <c r="M1780">
        <v>0</v>
      </c>
      <c r="N1780">
        <v>244.2</v>
      </c>
      <c r="O1780">
        <v>202.31200000000001</v>
      </c>
      <c r="P1780">
        <v>209.5317</v>
      </c>
      <c r="Q1780">
        <v>0</v>
      </c>
      <c r="R1780">
        <v>209.52799999999999</v>
      </c>
    </row>
    <row r="1781" spans="1:18" hidden="1" x14ac:dyDescent="0.25">
      <c r="A1781" t="s">
        <v>1910</v>
      </c>
      <c r="B1781" t="s">
        <v>333</v>
      </c>
      <c r="C1781" t="s">
        <v>208</v>
      </c>
      <c r="D1781" t="s">
        <v>29</v>
      </c>
      <c r="E1781">
        <v>124.542</v>
      </c>
      <c r="F1781">
        <v>101.91500000000001</v>
      </c>
      <c r="G1781">
        <v>0</v>
      </c>
      <c r="H1781">
        <v>0</v>
      </c>
      <c r="I1781">
        <v>0</v>
      </c>
      <c r="J1781">
        <v>0</v>
      </c>
      <c r="K1781">
        <v>118.125</v>
      </c>
      <c r="L1781">
        <v>0</v>
      </c>
      <c r="M1781">
        <v>0</v>
      </c>
      <c r="N1781">
        <v>109.89</v>
      </c>
      <c r="O1781">
        <v>157.05799999999999</v>
      </c>
      <c r="P1781">
        <v>107.9067</v>
      </c>
      <c r="Q1781">
        <v>101.91500000000001</v>
      </c>
      <c r="R1781">
        <v>107.91</v>
      </c>
    </row>
    <row r="1782" spans="1:18" hidden="1" x14ac:dyDescent="0.25">
      <c r="A1782" t="s">
        <v>1911</v>
      </c>
      <c r="B1782" t="s">
        <v>333</v>
      </c>
      <c r="C1782" t="s">
        <v>208</v>
      </c>
      <c r="D1782" t="s">
        <v>31</v>
      </c>
      <c r="E1782">
        <v>158.72999999999999</v>
      </c>
      <c r="F1782">
        <v>119.9</v>
      </c>
      <c r="G1782">
        <v>0</v>
      </c>
      <c r="H1782">
        <v>0</v>
      </c>
      <c r="I1782">
        <v>0</v>
      </c>
      <c r="J1782">
        <v>0</v>
      </c>
      <c r="K1782">
        <v>147.65620000000001</v>
      </c>
      <c r="L1782">
        <v>0</v>
      </c>
      <c r="M1782">
        <v>0</v>
      </c>
      <c r="N1782">
        <v>115.995</v>
      </c>
      <c r="O1782">
        <v>163.71299999999999</v>
      </c>
      <c r="P1782">
        <v>120.6348</v>
      </c>
      <c r="Q1782">
        <v>119.9</v>
      </c>
      <c r="R1782">
        <v>120.637</v>
      </c>
    </row>
    <row r="1783" spans="1:18" hidden="1" x14ac:dyDescent="0.25">
      <c r="A1783" t="s">
        <v>1912</v>
      </c>
      <c r="B1783" t="s">
        <v>333</v>
      </c>
      <c r="C1783" t="s">
        <v>208</v>
      </c>
      <c r="D1783" t="s">
        <v>33</v>
      </c>
      <c r="E1783">
        <v>158.72999999999999</v>
      </c>
      <c r="F1783">
        <v>125.895</v>
      </c>
      <c r="G1783">
        <v>0</v>
      </c>
      <c r="H1783">
        <v>0</v>
      </c>
      <c r="I1783">
        <v>0</v>
      </c>
      <c r="J1783">
        <v>0</v>
      </c>
      <c r="K1783">
        <v>129.9375</v>
      </c>
      <c r="L1783">
        <v>0</v>
      </c>
      <c r="M1783">
        <v>0</v>
      </c>
      <c r="N1783">
        <v>122.1</v>
      </c>
      <c r="O1783">
        <v>173.03</v>
      </c>
      <c r="P1783">
        <v>125.5188</v>
      </c>
      <c r="Q1783">
        <v>125.895</v>
      </c>
      <c r="R1783">
        <v>142.08699999999999</v>
      </c>
    </row>
    <row r="1784" spans="1:18" hidden="1" x14ac:dyDescent="0.25">
      <c r="A1784" t="s">
        <v>1913</v>
      </c>
      <c r="B1784" t="s">
        <v>333</v>
      </c>
      <c r="C1784" t="s">
        <v>208</v>
      </c>
      <c r="D1784" t="s">
        <v>35</v>
      </c>
      <c r="E1784">
        <v>625.07500000000005</v>
      </c>
      <c r="F1784">
        <v>0</v>
      </c>
      <c r="G1784">
        <v>273.45999999999998</v>
      </c>
      <c r="H1784">
        <v>0</v>
      </c>
      <c r="I1784" s="107">
        <v>226.74299999999999</v>
      </c>
      <c r="J1784">
        <v>0</v>
      </c>
      <c r="K1784">
        <v>0</v>
      </c>
      <c r="L1784">
        <v>0</v>
      </c>
      <c r="M1784">
        <v>0</v>
      </c>
      <c r="N1784">
        <v>271.04000000000002</v>
      </c>
      <c r="O1784">
        <v>212.96</v>
      </c>
      <c r="P1784">
        <v>218.18369999999999</v>
      </c>
      <c r="Q1784">
        <v>0</v>
      </c>
      <c r="R1784" s="178">
        <v>218.185</v>
      </c>
    </row>
    <row r="1785" spans="1:18" hidden="1" x14ac:dyDescent="0.25">
      <c r="A1785" t="s">
        <v>1914</v>
      </c>
      <c r="B1785" t="s">
        <v>333</v>
      </c>
      <c r="C1785" t="s">
        <v>217</v>
      </c>
      <c r="D1785" t="s">
        <v>21</v>
      </c>
      <c r="E1785">
        <v>134.31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180.30600000000001</v>
      </c>
      <c r="L1785">
        <v>0</v>
      </c>
      <c r="M1785">
        <v>0</v>
      </c>
      <c r="N1785">
        <v>183.15</v>
      </c>
      <c r="O1785">
        <v>166.375</v>
      </c>
      <c r="P1785">
        <v>0</v>
      </c>
      <c r="Q1785">
        <v>0</v>
      </c>
      <c r="R1785">
        <v>0</v>
      </c>
    </row>
    <row r="1786" spans="1:18" hidden="1" x14ac:dyDescent="0.25">
      <c r="A1786" t="s">
        <v>1915</v>
      </c>
      <c r="B1786" t="s">
        <v>333</v>
      </c>
      <c r="C1786" t="s">
        <v>217</v>
      </c>
      <c r="D1786" t="s">
        <v>23</v>
      </c>
      <c r="E1786">
        <v>219.78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273.29399999999998</v>
      </c>
      <c r="L1786">
        <v>0</v>
      </c>
      <c r="M1786">
        <v>0</v>
      </c>
      <c r="N1786">
        <v>311.35500000000002</v>
      </c>
      <c r="O1786">
        <v>258.214</v>
      </c>
      <c r="P1786">
        <v>231.1464</v>
      </c>
      <c r="Q1786">
        <v>0</v>
      </c>
      <c r="R1786">
        <v>231.143</v>
      </c>
    </row>
    <row r="1787" spans="1:18" hidden="1" x14ac:dyDescent="0.25">
      <c r="A1787" t="s">
        <v>1916</v>
      </c>
      <c r="B1787" t="s">
        <v>333</v>
      </c>
      <c r="C1787" t="s">
        <v>217</v>
      </c>
      <c r="D1787" t="s">
        <v>25</v>
      </c>
      <c r="E1787">
        <v>231.99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296.45280000000002</v>
      </c>
      <c r="L1787">
        <v>0</v>
      </c>
      <c r="M1787">
        <v>0</v>
      </c>
      <c r="N1787">
        <v>329.67</v>
      </c>
      <c r="O1787">
        <v>393.976</v>
      </c>
      <c r="P1787">
        <v>245.3484</v>
      </c>
      <c r="Q1787">
        <v>0</v>
      </c>
      <c r="R1787">
        <v>245.34399999999999</v>
      </c>
    </row>
    <row r="1788" spans="1:18" hidden="1" x14ac:dyDescent="0.25">
      <c r="A1788" t="s">
        <v>1917</v>
      </c>
      <c r="B1788" t="s">
        <v>333</v>
      </c>
      <c r="C1788" t="s">
        <v>217</v>
      </c>
      <c r="D1788" t="s">
        <v>27</v>
      </c>
      <c r="E1788">
        <v>286.935</v>
      </c>
      <c r="F1788">
        <v>0</v>
      </c>
      <c r="G1788">
        <v>0</v>
      </c>
      <c r="H1788">
        <v>451.44</v>
      </c>
      <c r="I1788">
        <v>427.35</v>
      </c>
      <c r="J1788">
        <v>0</v>
      </c>
      <c r="K1788">
        <v>0</v>
      </c>
      <c r="L1788">
        <v>0</v>
      </c>
      <c r="M1788">
        <v>280.26900000000001</v>
      </c>
      <c r="N1788">
        <v>409.03500000000003</v>
      </c>
      <c r="O1788">
        <v>436.56799999999998</v>
      </c>
      <c r="P1788">
        <v>283.73</v>
      </c>
      <c r="Q1788">
        <v>0</v>
      </c>
      <c r="R1788">
        <v>283.73399999999998</v>
      </c>
    </row>
    <row r="1789" spans="1:18" hidden="1" x14ac:dyDescent="0.25">
      <c r="A1789" t="s">
        <v>1918</v>
      </c>
      <c r="B1789" t="s">
        <v>333</v>
      </c>
      <c r="C1789" t="s">
        <v>217</v>
      </c>
      <c r="D1789" t="s">
        <v>29</v>
      </c>
      <c r="E1789">
        <v>146.52000000000001</v>
      </c>
      <c r="F1789">
        <v>185.03100000000001</v>
      </c>
      <c r="G1789">
        <v>0</v>
      </c>
      <c r="H1789">
        <v>0</v>
      </c>
      <c r="I1789">
        <v>0</v>
      </c>
      <c r="J1789">
        <v>0</v>
      </c>
      <c r="K1789">
        <v>193.67779999999999</v>
      </c>
      <c r="L1789">
        <v>0</v>
      </c>
      <c r="M1789">
        <v>0</v>
      </c>
      <c r="N1789">
        <v>195.36</v>
      </c>
      <c r="O1789">
        <v>179.685</v>
      </c>
      <c r="P1789">
        <v>156.27000000000001</v>
      </c>
      <c r="Q1789">
        <v>185.03100000000001</v>
      </c>
      <c r="R1789">
        <v>156.26599999999999</v>
      </c>
    </row>
    <row r="1790" spans="1:18" hidden="1" x14ac:dyDescent="0.25">
      <c r="A1790" t="s">
        <v>1919</v>
      </c>
      <c r="B1790" t="s">
        <v>333</v>
      </c>
      <c r="C1790" t="s">
        <v>217</v>
      </c>
      <c r="D1790" t="s">
        <v>31</v>
      </c>
      <c r="E1790">
        <v>180.0334</v>
      </c>
      <c r="F1790">
        <v>240.53700000000001</v>
      </c>
      <c r="G1790">
        <v>249.33330000000001</v>
      </c>
      <c r="H1790">
        <v>0</v>
      </c>
      <c r="I1790">
        <v>236.41200000000001</v>
      </c>
      <c r="J1790">
        <v>0</v>
      </c>
      <c r="K1790">
        <v>233.07550000000001</v>
      </c>
      <c r="L1790">
        <v>0</v>
      </c>
      <c r="M1790">
        <v>0</v>
      </c>
      <c r="N1790">
        <v>240.53700000000001</v>
      </c>
      <c r="O1790">
        <v>196.988</v>
      </c>
      <c r="P1790">
        <v>180.273</v>
      </c>
      <c r="Q1790">
        <v>240.53700000000001</v>
      </c>
      <c r="R1790">
        <v>180.268</v>
      </c>
    </row>
    <row r="1791" spans="1:18" hidden="1" x14ac:dyDescent="0.25">
      <c r="A1791" t="s">
        <v>1920</v>
      </c>
      <c r="B1791" t="s">
        <v>333</v>
      </c>
      <c r="C1791" t="s">
        <v>217</v>
      </c>
      <c r="D1791" t="s">
        <v>33</v>
      </c>
      <c r="E1791">
        <v>183.15</v>
      </c>
      <c r="F1791">
        <v>265.20999999999998</v>
      </c>
      <c r="G1791">
        <v>0</v>
      </c>
      <c r="H1791">
        <v>0</v>
      </c>
      <c r="I1791">
        <v>0</v>
      </c>
      <c r="J1791">
        <v>0</v>
      </c>
      <c r="K1791">
        <v>228.816</v>
      </c>
      <c r="L1791">
        <v>0</v>
      </c>
      <c r="M1791">
        <v>0</v>
      </c>
      <c r="N1791">
        <v>256.41000000000003</v>
      </c>
      <c r="O1791">
        <v>212.96</v>
      </c>
      <c r="P1791">
        <v>193.6018</v>
      </c>
      <c r="Q1791">
        <v>265.20999999999998</v>
      </c>
      <c r="R1791">
        <v>193.6</v>
      </c>
    </row>
    <row r="1792" spans="1:18" hidden="1" x14ac:dyDescent="0.25">
      <c r="A1792" t="s">
        <v>1921</v>
      </c>
      <c r="B1792" t="s">
        <v>333</v>
      </c>
      <c r="C1792" t="s">
        <v>217</v>
      </c>
      <c r="D1792" t="s">
        <v>35</v>
      </c>
      <c r="E1792">
        <v>305.25</v>
      </c>
      <c r="F1792">
        <v>0</v>
      </c>
      <c r="G1792">
        <v>0</v>
      </c>
      <c r="H1792">
        <v>451.44</v>
      </c>
      <c r="I1792">
        <v>427.35</v>
      </c>
      <c r="J1792">
        <v>0</v>
      </c>
      <c r="K1792">
        <v>0</v>
      </c>
      <c r="L1792">
        <v>0</v>
      </c>
      <c r="M1792">
        <v>298.76549999999997</v>
      </c>
      <c r="N1792">
        <v>427.35</v>
      </c>
      <c r="O1792">
        <v>452.54</v>
      </c>
      <c r="P1792">
        <v>302.30180000000001</v>
      </c>
      <c r="Q1792">
        <v>0</v>
      </c>
      <c r="R1792">
        <v>302.30200000000002</v>
      </c>
    </row>
    <row r="1793" spans="1:18" hidden="1" x14ac:dyDescent="0.25">
      <c r="A1793" t="s">
        <v>1922</v>
      </c>
      <c r="B1793" t="s">
        <v>333</v>
      </c>
      <c r="C1793" t="s">
        <v>1121</v>
      </c>
      <c r="D1793" t="s">
        <v>21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R1793">
        <v>0</v>
      </c>
    </row>
    <row r="1794" spans="1:18" hidden="1" x14ac:dyDescent="0.25">
      <c r="A1794" t="s">
        <v>1923</v>
      </c>
      <c r="B1794" t="s">
        <v>333</v>
      </c>
      <c r="C1794" t="s">
        <v>1121</v>
      </c>
      <c r="D1794" t="s">
        <v>23</v>
      </c>
      <c r="E1794">
        <v>233.2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R1794">
        <v>0</v>
      </c>
    </row>
    <row r="1795" spans="1:18" hidden="1" x14ac:dyDescent="0.25">
      <c r="A1795" t="s">
        <v>1924</v>
      </c>
      <c r="B1795" t="s">
        <v>333</v>
      </c>
      <c r="C1795" t="s">
        <v>1121</v>
      </c>
      <c r="D1795" t="s">
        <v>25</v>
      </c>
      <c r="E1795">
        <v>288.2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R1795">
        <v>0</v>
      </c>
    </row>
    <row r="1796" spans="1:18" hidden="1" x14ac:dyDescent="0.25">
      <c r="A1796" t="s">
        <v>1925</v>
      </c>
      <c r="B1796" t="s">
        <v>333</v>
      </c>
      <c r="C1796" t="s">
        <v>1121</v>
      </c>
      <c r="D1796" t="s">
        <v>27</v>
      </c>
      <c r="E1796">
        <v>308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R1796">
        <v>0</v>
      </c>
    </row>
    <row r="1797" spans="1:18" hidden="1" x14ac:dyDescent="0.25">
      <c r="A1797" t="s">
        <v>1926</v>
      </c>
      <c r="B1797" t="s">
        <v>333</v>
      </c>
      <c r="C1797" t="s">
        <v>1121</v>
      </c>
      <c r="D1797" t="s">
        <v>29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R1797">
        <v>0</v>
      </c>
    </row>
    <row r="1798" spans="1:18" hidden="1" x14ac:dyDescent="0.25">
      <c r="A1798" t="s">
        <v>1927</v>
      </c>
      <c r="B1798" t="s">
        <v>333</v>
      </c>
      <c r="C1798" t="s">
        <v>1121</v>
      </c>
      <c r="D1798" t="s">
        <v>31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R1798">
        <v>0</v>
      </c>
    </row>
    <row r="1799" spans="1:18" hidden="1" x14ac:dyDescent="0.25">
      <c r="A1799" t="s">
        <v>1928</v>
      </c>
      <c r="B1799" t="s">
        <v>333</v>
      </c>
      <c r="C1799" t="s">
        <v>1121</v>
      </c>
      <c r="D1799" t="s">
        <v>33</v>
      </c>
      <c r="E1799">
        <v>207.9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R1799">
        <v>0</v>
      </c>
    </row>
    <row r="1800" spans="1:18" hidden="1" x14ac:dyDescent="0.25">
      <c r="A1800" t="s">
        <v>1929</v>
      </c>
      <c r="B1800" t="s">
        <v>333</v>
      </c>
      <c r="C1800" t="s">
        <v>1121</v>
      </c>
      <c r="D1800" t="s">
        <v>35</v>
      </c>
      <c r="E1800">
        <v>379.5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R1800">
        <v>0</v>
      </c>
    </row>
    <row r="1801" spans="1:18" hidden="1" x14ac:dyDescent="0.25">
      <c r="A1801" t="s">
        <v>1930</v>
      </c>
      <c r="B1801" t="s">
        <v>333</v>
      </c>
      <c r="C1801" t="s">
        <v>226</v>
      </c>
      <c r="D1801" t="s">
        <v>21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</row>
    <row r="1802" spans="1:18" hidden="1" x14ac:dyDescent="0.25">
      <c r="A1802" t="s">
        <v>1931</v>
      </c>
      <c r="B1802" t="s">
        <v>333</v>
      </c>
      <c r="C1802" t="s">
        <v>226</v>
      </c>
      <c r="D1802" t="s">
        <v>23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290.77879999999999</v>
      </c>
      <c r="Q1802">
        <v>0</v>
      </c>
      <c r="R1802">
        <v>290.774</v>
      </c>
    </row>
    <row r="1803" spans="1:18" hidden="1" x14ac:dyDescent="0.25">
      <c r="A1803" t="s">
        <v>1932</v>
      </c>
      <c r="B1803" t="s">
        <v>333</v>
      </c>
      <c r="C1803" t="s">
        <v>226</v>
      </c>
      <c r="D1803" t="s">
        <v>25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293.47559999999999</v>
      </c>
      <c r="Q1803">
        <v>0</v>
      </c>
      <c r="R1803">
        <v>293.48</v>
      </c>
    </row>
    <row r="1804" spans="1:18" hidden="1" x14ac:dyDescent="0.25">
      <c r="A1804" t="s">
        <v>1933</v>
      </c>
      <c r="B1804" t="s">
        <v>333</v>
      </c>
      <c r="C1804" t="s">
        <v>226</v>
      </c>
      <c r="D1804" t="s">
        <v>27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389.55509999999998</v>
      </c>
      <c r="N1804">
        <v>0</v>
      </c>
      <c r="O1804">
        <v>0</v>
      </c>
      <c r="P1804">
        <v>395.9674</v>
      </c>
      <c r="Q1804">
        <v>0</v>
      </c>
      <c r="R1804">
        <v>395.96699999999998</v>
      </c>
    </row>
    <row r="1805" spans="1:18" hidden="1" x14ac:dyDescent="0.25">
      <c r="A1805" t="s">
        <v>1934</v>
      </c>
      <c r="B1805" t="s">
        <v>333</v>
      </c>
      <c r="C1805" t="s">
        <v>226</v>
      </c>
      <c r="D1805" t="s">
        <v>29</v>
      </c>
      <c r="E1805">
        <v>0</v>
      </c>
      <c r="F1805">
        <v>250.20599999999999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205.70519999999999</v>
      </c>
      <c r="Q1805">
        <v>250.20599999999999</v>
      </c>
      <c r="R1805">
        <v>205.7</v>
      </c>
    </row>
    <row r="1806" spans="1:18" hidden="1" x14ac:dyDescent="0.25">
      <c r="A1806" t="s">
        <v>1935</v>
      </c>
      <c r="B1806" t="s">
        <v>333</v>
      </c>
      <c r="C1806" t="s">
        <v>226</v>
      </c>
      <c r="D1806" t="s">
        <v>31</v>
      </c>
      <c r="E1806">
        <v>0</v>
      </c>
      <c r="F1806">
        <v>306.50400000000002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252.95689999999999</v>
      </c>
      <c r="Q1806">
        <v>306.50400000000002</v>
      </c>
      <c r="R1806">
        <v>252.95599999999999</v>
      </c>
    </row>
    <row r="1807" spans="1:18" hidden="1" x14ac:dyDescent="0.25">
      <c r="A1807" t="s">
        <v>1936</v>
      </c>
      <c r="B1807" t="s">
        <v>333</v>
      </c>
      <c r="C1807" t="s">
        <v>226</v>
      </c>
      <c r="D1807" t="s">
        <v>33</v>
      </c>
      <c r="E1807">
        <v>0</v>
      </c>
      <c r="F1807">
        <v>325.27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264.09390000000002</v>
      </c>
      <c r="Q1807">
        <v>325.27</v>
      </c>
      <c r="R1807">
        <v>264.09899999999999</v>
      </c>
    </row>
    <row r="1808" spans="1:18" hidden="1" x14ac:dyDescent="0.25">
      <c r="A1808" t="s">
        <v>1937</v>
      </c>
      <c r="B1808" t="s">
        <v>333</v>
      </c>
      <c r="C1808" t="s">
        <v>226</v>
      </c>
      <c r="D1808" t="s">
        <v>35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413.3811</v>
      </c>
      <c r="N1808">
        <v>0</v>
      </c>
      <c r="O1808">
        <v>0</v>
      </c>
      <c r="P1808">
        <v>418.74009999999998</v>
      </c>
      <c r="Q1808">
        <v>0</v>
      </c>
      <c r="R1808">
        <v>418.73700000000002</v>
      </c>
    </row>
    <row r="1809" spans="1:18" hidden="1" x14ac:dyDescent="0.25">
      <c r="A1809" t="s">
        <v>1938</v>
      </c>
      <c r="B1809" t="s">
        <v>333</v>
      </c>
      <c r="C1809" t="s">
        <v>235</v>
      </c>
      <c r="D1809" t="s">
        <v>21</v>
      </c>
      <c r="E1809">
        <v>250.965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522.86850000000004</v>
      </c>
      <c r="L1809">
        <v>0</v>
      </c>
      <c r="M1809">
        <v>0</v>
      </c>
      <c r="N1809">
        <v>537.24</v>
      </c>
      <c r="O1809">
        <v>802.59299999999996</v>
      </c>
      <c r="P1809">
        <v>0</v>
      </c>
      <c r="R1809">
        <v>0</v>
      </c>
    </row>
    <row r="1810" spans="1:18" hidden="1" x14ac:dyDescent="0.25">
      <c r="A1810" t="s">
        <v>1939</v>
      </c>
      <c r="B1810" t="s">
        <v>333</v>
      </c>
      <c r="C1810" t="s">
        <v>235</v>
      </c>
      <c r="D1810" t="s">
        <v>23</v>
      </c>
      <c r="E1810">
        <v>398.97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721.22400000000005</v>
      </c>
      <c r="L1810">
        <v>0</v>
      </c>
      <c r="M1810">
        <v>0</v>
      </c>
      <c r="N1810">
        <v>732.6</v>
      </c>
      <c r="O1810">
        <v>998.25</v>
      </c>
      <c r="P1810">
        <v>426.12090000000001</v>
      </c>
      <c r="R1810">
        <v>426.11799999999999</v>
      </c>
    </row>
    <row r="1811" spans="1:18" hidden="1" x14ac:dyDescent="0.25">
      <c r="A1811" t="s">
        <v>1940</v>
      </c>
      <c r="B1811" t="s">
        <v>333</v>
      </c>
      <c r="C1811" t="s">
        <v>235</v>
      </c>
      <c r="D1811" t="s">
        <v>25</v>
      </c>
      <c r="E1811">
        <v>418.27499999999998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833.96879999999999</v>
      </c>
      <c r="L1811">
        <v>0</v>
      </c>
      <c r="M1811">
        <v>0</v>
      </c>
      <c r="N1811">
        <v>744.81</v>
      </c>
      <c r="O1811">
        <v>1122.0329999999999</v>
      </c>
      <c r="P1811">
        <v>435.87920000000003</v>
      </c>
      <c r="R1811">
        <v>435.875</v>
      </c>
    </row>
    <row r="1812" spans="1:18" hidden="1" x14ac:dyDescent="0.25">
      <c r="A1812" t="s">
        <v>1941</v>
      </c>
      <c r="B1812" t="s">
        <v>333</v>
      </c>
      <c r="C1812" t="s">
        <v>235</v>
      </c>
      <c r="D1812" t="s">
        <v>27</v>
      </c>
      <c r="E1812">
        <v>501.93</v>
      </c>
      <c r="F1812">
        <v>0</v>
      </c>
      <c r="G1812">
        <v>0</v>
      </c>
      <c r="H1812">
        <v>0</v>
      </c>
      <c r="I1812">
        <v>909.64499999999998</v>
      </c>
      <c r="J1812">
        <v>0</v>
      </c>
      <c r="K1812">
        <v>0</v>
      </c>
      <c r="L1812">
        <v>0</v>
      </c>
      <c r="M1812">
        <v>0</v>
      </c>
      <c r="N1812">
        <v>891.33</v>
      </c>
      <c r="O1812">
        <v>1122.0329999999999</v>
      </c>
      <c r="P1812">
        <v>551.7817</v>
      </c>
      <c r="R1812">
        <v>551.78200000000004</v>
      </c>
    </row>
    <row r="1813" spans="1:18" hidden="1" x14ac:dyDescent="0.25">
      <c r="A1813" t="s">
        <v>1942</v>
      </c>
      <c r="B1813" t="s">
        <v>333</v>
      </c>
      <c r="C1813" t="s">
        <v>235</v>
      </c>
      <c r="D1813" t="s">
        <v>29</v>
      </c>
      <c r="E1813">
        <v>263.83499999999998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533.90139999999997</v>
      </c>
      <c r="L1813">
        <v>0</v>
      </c>
      <c r="M1813">
        <v>0</v>
      </c>
      <c r="N1813">
        <v>549.45000000000005</v>
      </c>
      <c r="O1813">
        <v>867.81200000000001</v>
      </c>
      <c r="P1813">
        <v>293.63740000000001</v>
      </c>
      <c r="R1813">
        <v>293.63400000000001</v>
      </c>
    </row>
    <row r="1814" spans="1:18" hidden="1" x14ac:dyDescent="0.25">
      <c r="A1814" t="s">
        <v>1943</v>
      </c>
      <c r="B1814" t="s">
        <v>333</v>
      </c>
      <c r="C1814" t="s">
        <v>235</v>
      </c>
      <c r="D1814" t="s">
        <v>31</v>
      </c>
      <c r="E1814">
        <v>315.315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651.60109999999997</v>
      </c>
      <c r="L1814">
        <v>0</v>
      </c>
      <c r="M1814">
        <v>0</v>
      </c>
      <c r="N1814">
        <v>665.44500000000005</v>
      </c>
      <c r="O1814">
        <v>907.74199999999996</v>
      </c>
      <c r="P1814">
        <v>339.35840000000002</v>
      </c>
      <c r="R1814">
        <v>339.36099999999999</v>
      </c>
    </row>
    <row r="1815" spans="1:18" hidden="1" x14ac:dyDescent="0.25">
      <c r="A1815" t="s">
        <v>1944</v>
      </c>
      <c r="B1815" t="s">
        <v>333</v>
      </c>
      <c r="C1815" t="s">
        <v>235</v>
      </c>
      <c r="D1815" t="s">
        <v>33</v>
      </c>
      <c r="E1815">
        <v>328.185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666.17780000000005</v>
      </c>
      <c r="L1815">
        <v>0</v>
      </c>
      <c r="M1815">
        <v>0</v>
      </c>
      <c r="N1815">
        <v>683.76</v>
      </c>
      <c r="O1815">
        <v>938.35500000000002</v>
      </c>
      <c r="P1815">
        <v>367.2054</v>
      </c>
      <c r="R1815">
        <v>367.202</v>
      </c>
    </row>
    <row r="1816" spans="1:18" hidden="1" x14ac:dyDescent="0.25">
      <c r="A1816" t="s">
        <v>1945</v>
      </c>
      <c r="B1816" t="s">
        <v>333</v>
      </c>
      <c r="C1816" t="s">
        <v>235</v>
      </c>
      <c r="D1816" t="s">
        <v>35</v>
      </c>
      <c r="E1816">
        <v>521.23500000000001</v>
      </c>
      <c r="F1816">
        <v>0</v>
      </c>
      <c r="G1816">
        <v>0</v>
      </c>
      <c r="H1816">
        <v>0</v>
      </c>
      <c r="I1816">
        <v>909.64499999999998</v>
      </c>
      <c r="J1816">
        <v>0</v>
      </c>
      <c r="K1816">
        <v>0</v>
      </c>
      <c r="L1816">
        <v>0</v>
      </c>
      <c r="M1816">
        <v>0</v>
      </c>
      <c r="N1816">
        <v>909.64499999999998</v>
      </c>
      <c r="O1816">
        <v>1263.1189999999999</v>
      </c>
      <c r="P1816">
        <v>567.20590000000004</v>
      </c>
      <c r="R1816">
        <v>567.20399999999995</v>
      </c>
    </row>
    <row r="1817" spans="1:18" hidden="1" x14ac:dyDescent="0.25">
      <c r="A1817" t="s">
        <v>1946</v>
      </c>
      <c r="B1817" t="s">
        <v>333</v>
      </c>
      <c r="C1817" t="s">
        <v>244</v>
      </c>
      <c r="D1817" t="s">
        <v>21</v>
      </c>
      <c r="E1817">
        <v>537.24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153.7705</v>
      </c>
      <c r="L1817">
        <v>0</v>
      </c>
      <c r="M1817">
        <v>0</v>
      </c>
      <c r="N1817">
        <v>158.72999999999999</v>
      </c>
      <c r="O1817">
        <v>137.09299999999999</v>
      </c>
      <c r="P1817">
        <v>0</v>
      </c>
      <c r="Q1817">
        <v>0</v>
      </c>
      <c r="R1817">
        <v>0</v>
      </c>
    </row>
    <row r="1818" spans="1:18" hidden="1" x14ac:dyDescent="0.25">
      <c r="A1818" t="s">
        <v>1947</v>
      </c>
      <c r="B1818" t="s">
        <v>333</v>
      </c>
      <c r="C1818" t="s">
        <v>244</v>
      </c>
      <c r="D1818" t="s">
        <v>23</v>
      </c>
      <c r="E1818">
        <v>666.96659999999997</v>
      </c>
      <c r="F1818">
        <v>0</v>
      </c>
      <c r="G1818">
        <v>165.36670000000001</v>
      </c>
      <c r="H1818">
        <v>0</v>
      </c>
      <c r="I1818">
        <v>0</v>
      </c>
      <c r="J1818">
        <v>0</v>
      </c>
      <c r="K1818">
        <v>252.08430000000001</v>
      </c>
      <c r="L1818">
        <v>0</v>
      </c>
      <c r="M1818">
        <v>0</v>
      </c>
      <c r="N1818">
        <v>258.72000000000003</v>
      </c>
      <c r="O1818">
        <v>235.58699999999999</v>
      </c>
      <c r="P1818">
        <v>178.18029999999999</v>
      </c>
      <c r="Q1818">
        <v>0</v>
      </c>
      <c r="R1818">
        <v>179.27799999999999</v>
      </c>
    </row>
    <row r="1819" spans="1:18" hidden="1" x14ac:dyDescent="0.25">
      <c r="A1819" t="s">
        <v>1948</v>
      </c>
      <c r="B1819" t="s">
        <v>333</v>
      </c>
      <c r="C1819" t="s">
        <v>244</v>
      </c>
      <c r="D1819" t="s">
        <v>25</v>
      </c>
      <c r="E1819">
        <v>744.81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271.00110000000001</v>
      </c>
      <c r="L1819">
        <v>0</v>
      </c>
      <c r="M1819">
        <v>0</v>
      </c>
      <c r="N1819">
        <v>268.62</v>
      </c>
      <c r="O1819">
        <v>295.48200000000003</v>
      </c>
      <c r="P1819">
        <v>179.9736</v>
      </c>
      <c r="Q1819">
        <v>0</v>
      </c>
      <c r="R1819">
        <v>205.68899999999999</v>
      </c>
    </row>
    <row r="1820" spans="1:18" hidden="1" x14ac:dyDescent="0.25">
      <c r="A1820" t="s">
        <v>1949</v>
      </c>
      <c r="B1820" t="s">
        <v>333</v>
      </c>
      <c r="C1820" t="s">
        <v>244</v>
      </c>
      <c r="D1820" t="s">
        <v>27</v>
      </c>
      <c r="E1820">
        <v>811.36</v>
      </c>
      <c r="F1820">
        <v>0</v>
      </c>
      <c r="G1820">
        <v>265.76</v>
      </c>
      <c r="H1820">
        <v>0</v>
      </c>
      <c r="I1820">
        <v>323.51</v>
      </c>
      <c r="J1820">
        <v>0</v>
      </c>
      <c r="K1820">
        <v>0</v>
      </c>
      <c r="L1820">
        <v>0</v>
      </c>
      <c r="M1820">
        <v>0</v>
      </c>
      <c r="N1820">
        <v>338.8</v>
      </c>
      <c r="O1820">
        <v>332.75</v>
      </c>
      <c r="P1820">
        <v>224.715</v>
      </c>
      <c r="Q1820">
        <v>0</v>
      </c>
      <c r="R1820">
        <v>283.77800000000002</v>
      </c>
    </row>
    <row r="1821" spans="1:18" hidden="1" x14ac:dyDescent="0.25">
      <c r="A1821" t="s">
        <v>1950</v>
      </c>
      <c r="B1821" t="s">
        <v>333</v>
      </c>
      <c r="C1821" t="s">
        <v>244</v>
      </c>
      <c r="D1821" t="s">
        <v>29</v>
      </c>
      <c r="E1821">
        <v>500.57339999999999</v>
      </c>
      <c r="F1821">
        <v>108.9</v>
      </c>
      <c r="G1821">
        <v>135.3733</v>
      </c>
      <c r="H1821">
        <v>0</v>
      </c>
      <c r="I1821">
        <v>0</v>
      </c>
      <c r="J1821">
        <v>0</v>
      </c>
      <c r="K1821">
        <v>168.57140000000001</v>
      </c>
      <c r="L1821">
        <v>0</v>
      </c>
      <c r="M1821">
        <v>0</v>
      </c>
      <c r="N1821">
        <v>170.94</v>
      </c>
      <c r="O1821">
        <v>151.73400000000001</v>
      </c>
      <c r="P1821">
        <v>120.23350000000001</v>
      </c>
      <c r="Q1821">
        <v>108.9</v>
      </c>
      <c r="R1821">
        <v>120.23</v>
      </c>
    </row>
    <row r="1822" spans="1:18" hidden="1" x14ac:dyDescent="0.25">
      <c r="A1822" t="s">
        <v>1951</v>
      </c>
      <c r="B1822" t="s">
        <v>333</v>
      </c>
      <c r="C1822" t="s">
        <v>244</v>
      </c>
      <c r="D1822" t="s">
        <v>31</v>
      </c>
      <c r="E1822">
        <v>606.46659999999997</v>
      </c>
      <c r="F1822">
        <v>151.25</v>
      </c>
      <c r="G1822">
        <v>146.66669999999999</v>
      </c>
      <c r="H1822">
        <v>0</v>
      </c>
      <c r="I1822">
        <v>178.83799999999999</v>
      </c>
      <c r="J1822">
        <v>0</v>
      </c>
      <c r="K1822">
        <v>191.2295</v>
      </c>
      <c r="L1822">
        <v>0</v>
      </c>
      <c r="M1822">
        <v>0</v>
      </c>
      <c r="N1822">
        <v>195.36</v>
      </c>
      <c r="O1822">
        <v>166.375</v>
      </c>
      <c r="P1822">
        <v>142.95599999999999</v>
      </c>
      <c r="Q1822">
        <v>151.25</v>
      </c>
      <c r="R1822">
        <v>142.95599999999999</v>
      </c>
    </row>
    <row r="1823" spans="1:18" hidden="1" x14ac:dyDescent="0.25">
      <c r="A1823" t="s">
        <v>1952</v>
      </c>
      <c r="B1823" t="s">
        <v>333</v>
      </c>
      <c r="C1823" t="s">
        <v>244</v>
      </c>
      <c r="D1823" t="s">
        <v>33</v>
      </c>
      <c r="E1823">
        <v>622.96659999999997</v>
      </c>
      <c r="F1823">
        <v>181.5</v>
      </c>
      <c r="G1823">
        <v>147.76669999999999</v>
      </c>
      <c r="H1823">
        <v>0</v>
      </c>
      <c r="I1823">
        <v>178.83799999999999</v>
      </c>
      <c r="J1823">
        <v>0</v>
      </c>
      <c r="K1823">
        <v>208.3372</v>
      </c>
      <c r="L1823">
        <v>0</v>
      </c>
      <c r="M1823">
        <v>0</v>
      </c>
      <c r="N1823">
        <v>207.57</v>
      </c>
      <c r="O1823">
        <v>202.31200000000001</v>
      </c>
      <c r="P1823">
        <v>164.62620000000001</v>
      </c>
      <c r="Q1823">
        <v>181.5</v>
      </c>
      <c r="R1823">
        <v>164.626</v>
      </c>
    </row>
    <row r="1824" spans="1:18" hidden="1" x14ac:dyDescent="0.25">
      <c r="A1824" t="s">
        <v>1953</v>
      </c>
      <c r="B1824" t="s">
        <v>333</v>
      </c>
      <c r="C1824" t="s">
        <v>244</v>
      </c>
      <c r="D1824" t="s">
        <v>35</v>
      </c>
      <c r="E1824">
        <v>829.95</v>
      </c>
      <c r="F1824">
        <v>0</v>
      </c>
      <c r="G1824">
        <v>272.6429</v>
      </c>
      <c r="H1824">
        <v>0</v>
      </c>
      <c r="I1824">
        <v>326.01799999999997</v>
      </c>
      <c r="J1824">
        <v>0</v>
      </c>
      <c r="K1824">
        <v>0</v>
      </c>
      <c r="L1824">
        <v>0</v>
      </c>
      <c r="M1824">
        <v>0</v>
      </c>
      <c r="N1824">
        <v>357.28</v>
      </c>
      <c r="O1824">
        <v>348.72199999999998</v>
      </c>
      <c r="P1824">
        <v>224.715</v>
      </c>
      <c r="Q1824">
        <v>0</v>
      </c>
      <c r="R1824">
        <v>298.40800000000002</v>
      </c>
    </row>
    <row r="1825" spans="1:18" hidden="1" x14ac:dyDescent="0.25">
      <c r="A1825" t="s">
        <v>1954</v>
      </c>
      <c r="B1825" t="s">
        <v>333</v>
      </c>
      <c r="C1825" t="s">
        <v>253</v>
      </c>
      <c r="D1825" t="s">
        <v>21</v>
      </c>
      <c r="E1825">
        <v>158.72999999999999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107.8717</v>
      </c>
      <c r="L1825">
        <v>0</v>
      </c>
      <c r="M1825">
        <v>0</v>
      </c>
      <c r="N1825">
        <v>109.89</v>
      </c>
      <c r="O1825">
        <v>153.065</v>
      </c>
      <c r="P1825">
        <v>0</v>
      </c>
      <c r="R1825">
        <v>0</v>
      </c>
    </row>
    <row r="1826" spans="1:18" hidden="1" x14ac:dyDescent="0.25">
      <c r="A1826" t="s">
        <v>1955</v>
      </c>
      <c r="B1826" t="s">
        <v>333</v>
      </c>
      <c r="C1826" t="s">
        <v>253</v>
      </c>
      <c r="D1826" t="s">
        <v>23</v>
      </c>
      <c r="E1826">
        <v>256.41000000000003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177.84899999999999</v>
      </c>
      <c r="L1826">
        <v>0</v>
      </c>
      <c r="M1826">
        <v>0</v>
      </c>
      <c r="N1826">
        <v>170.94</v>
      </c>
      <c r="O1826">
        <v>255.55199999999999</v>
      </c>
      <c r="P1826">
        <v>168.36199999999999</v>
      </c>
      <c r="R1826">
        <v>168.36600000000001</v>
      </c>
    </row>
    <row r="1827" spans="1:18" hidden="1" x14ac:dyDescent="0.25">
      <c r="A1827" t="s">
        <v>1956</v>
      </c>
      <c r="B1827" t="s">
        <v>333</v>
      </c>
      <c r="C1827" t="s">
        <v>253</v>
      </c>
      <c r="D1827" t="s">
        <v>25</v>
      </c>
      <c r="E1827">
        <v>268.62</v>
      </c>
      <c r="F1827">
        <v>0</v>
      </c>
      <c r="G1827">
        <v>229.9</v>
      </c>
      <c r="H1827">
        <v>0</v>
      </c>
      <c r="I1827">
        <v>0</v>
      </c>
      <c r="J1827">
        <v>0</v>
      </c>
      <c r="K1827">
        <v>202.74789999999999</v>
      </c>
      <c r="L1827">
        <v>0</v>
      </c>
      <c r="M1827">
        <v>0</v>
      </c>
      <c r="N1827">
        <v>189.255</v>
      </c>
      <c r="O1827">
        <v>330.08800000000002</v>
      </c>
      <c r="P1827">
        <v>185.84280000000001</v>
      </c>
      <c r="R1827">
        <v>185.845</v>
      </c>
    </row>
    <row r="1828" spans="1:18" hidden="1" x14ac:dyDescent="0.25">
      <c r="A1828" t="s">
        <v>1957</v>
      </c>
      <c r="B1828" t="s">
        <v>333</v>
      </c>
      <c r="C1828" t="s">
        <v>253</v>
      </c>
      <c r="D1828" t="s">
        <v>27</v>
      </c>
      <c r="E1828">
        <v>335.77499999999998</v>
      </c>
      <c r="F1828">
        <v>0</v>
      </c>
      <c r="G1828">
        <v>340.01</v>
      </c>
      <c r="H1828">
        <v>0</v>
      </c>
      <c r="I1828">
        <v>293.04000000000002</v>
      </c>
      <c r="J1828">
        <v>0</v>
      </c>
      <c r="K1828">
        <v>0</v>
      </c>
      <c r="L1828">
        <v>0</v>
      </c>
      <c r="M1828">
        <v>0</v>
      </c>
      <c r="N1828">
        <v>280.83</v>
      </c>
      <c r="O1828">
        <v>389.983</v>
      </c>
      <c r="P1828">
        <v>276.0806</v>
      </c>
      <c r="R1828">
        <v>276.07799999999997</v>
      </c>
    </row>
    <row r="1829" spans="1:18" hidden="1" x14ac:dyDescent="0.25">
      <c r="A1829" t="s">
        <v>1958</v>
      </c>
      <c r="B1829" t="s">
        <v>333</v>
      </c>
      <c r="C1829" t="s">
        <v>253</v>
      </c>
      <c r="D1829" t="s">
        <v>29</v>
      </c>
      <c r="E1829">
        <v>170.94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122.8028</v>
      </c>
      <c r="L1829">
        <v>0</v>
      </c>
      <c r="M1829">
        <v>0</v>
      </c>
      <c r="N1829">
        <v>122.1</v>
      </c>
      <c r="O1829">
        <v>162.38200000000001</v>
      </c>
      <c r="P1829">
        <v>120.2586</v>
      </c>
      <c r="R1829">
        <v>120.26300000000001</v>
      </c>
    </row>
    <row r="1830" spans="1:18" hidden="1" x14ac:dyDescent="0.25">
      <c r="A1830" t="s">
        <v>1959</v>
      </c>
      <c r="B1830" t="s">
        <v>333</v>
      </c>
      <c r="C1830" t="s">
        <v>253</v>
      </c>
      <c r="D1830" t="s">
        <v>31</v>
      </c>
      <c r="E1830">
        <v>195.36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137.75739999999999</v>
      </c>
      <c r="L1830">
        <v>0</v>
      </c>
      <c r="M1830">
        <v>0</v>
      </c>
      <c r="N1830">
        <v>134.31</v>
      </c>
      <c r="O1830">
        <v>178.35400000000001</v>
      </c>
      <c r="P1830">
        <v>131.99600000000001</v>
      </c>
      <c r="R1830">
        <v>132</v>
      </c>
    </row>
    <row r="1831" spans="1:18" hidden="1" x14ac:dyDescent="0.25">
      <c r="A1831" t="s">
        <v>1960</v>
      </c>
      <c r="B1831" t="s">
        <v>333</v>
      </c>
      <c r="C1831" t="s">
        <v>253</v>
      </c>
      <c r="D1831" t="s">
        <v>33</v>
      </c>
      <c r="E1831">
        <v>207.57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146.42779999999999</v>
      </c>
      <c r="L1831">
        <v>0</v>
      </c>
      <c r="M1831">
        <v>0</v>
      </c>
      <c r="N1831">
        <v>146.52000000000001</v>
      </c>
      <c r="O1831">
        <v>192.995</v>
      </c>
      <c r="P1831">
        <v>138.99340000000001</v>
      </c>
      <c r="R1831">
        <v>138.99600000000001</v>
      </c>
    </row>
    <row r="1832" spans="1:18" hidden="1" x14ac:dyDescent="0.25">
      <c r="A1832" t="s">
        <v>1961</v>
      </c>
      <c r="B1832" t="s">
        <v>333</v>
      </c>
      <c r="C1832" t="s">
        <v>253</v>
      </c>
      <c r="D1832" t="s">
        <v>35</v>
      </c>
      <c r="E1832">
        <v>354.09</v>
      </c>
      <c r="F1832">
        <v>0</v>
      </c>
      <c r="G1832">
        <v>348.48</v>
      </c>
      <c r="H1832">
        <v>0</v>
      </c>
      <c r="I1832">
        <v>293.04000000000002</v>
      </c>
      <c r="J1832">
        <v>0</v>
      </c>
      <c r="K1832">
        <v>0</v>
      </c>
      <c r="L1832">
        <v>0</v>
      </c>
      <c r="M1832">
        <v>0</v>
      </c>
      <c r="N1832">
        <v>293.04000000000002</v>
      </c>
      <c r="O1832">
        <v>423.25799999999998</v>
      </c>
      <c r="P1832">
        <v>288.62060000000002</v>
      </c>
      <c r="R1832">
        <v>288.61799999999999</v>
      </c>
    </row>
    <row r="1833" spans="1:18" hidden="1" x14ac:dyDescent="0.25">
      <c r="A1833" t="s">
        <v>1962</v>
      </c>
      <c r="B1833" t="s">
        <v>333</v>
      </c>
      <c r="C1833" t="s">
        <v>37</v>
      </c>
      <c r="D1833" t="s">
        <v>21</v>
      </c>
      <c r="E1833">
        <v>109.89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131.8733</v>
      </c>
      <c r="L1833">
        <v>0</v>
      </c>
      <c r="M1833">
        <v>0</v>
      </c>
      <c r="N1833">
        <v>134.31</v>
      </c>
      <c r="O1833">
        <v>199.65</v>
      </c>
      <c r="P1833">
        <v>0</v>
      </c>
      <c r="Q1833">
        <v>0</v>
      </c>
      <c r="R1833">
        <v>0</v>
      </c>
    </row>
    <row r="1834" spans="1:18" hidden="1" x14ac:dyDescent="0.25">
      <c r="A1834" t="s">
        <v>1963</v>
      </c>
      <c r="B1834" t="s">
        <v>333</v>
      </c>
      <c r="C1834" t="s">
        <v>37</v>
      </c>
      <c r="D1834" t="s">
        <v>23</v>
      </c>
      <c r="E1834">
        <v>168.48339999999999</v>
      </c>
      <c r="F1834">
        <v>0</v>
      </c>
      <c r="G1834">
        <v>179.48330000000001</v>
      </c>
      <c r="H1834">
        <v>0</v>
      </c>
      <c r="I1834">
        <v>0</v>
      </c>
      <c r="J1834">
        <v>0</v>
      </c>
      <c r="K1834">
        <v>187.64779999999999</v>
      </c>
      <c r="L1834">
        <v>0</v>
      </c>
      <c r="M1834">
        <v>0</v>
      </c>
      <c r="N1834">
        <v>190.96</v>
      </c>
      <c r="O1834">
        <v>246.23500000000001</v>
      </c>
      <c r="P1834">
        <v>175.56</v>
      </c>
      <c r="Q1834">
        <v>0</v>
      </c>
      <c r="R1834">
        <v>188.958</v>
      </c>
    </row>
    <row r="1835" spans="1:18" hidden="1" x14ac:dyDescent="0.25">
      <c r="A1835" t="s">
        <v>1964</v>
      </c>
      <c r="B1835" t="s">
        <v>333</v>
      </c>
      <c r="C1835" t="s">
        <v>37</v>
      </c>
      <c r="D1835" t="s">
        <v>25</v>
      </c>
      <c r="E1835">
        <v>187.88</v>
      </c>
      <c r="F1835">
        <v>0</v>
      </c>
      <c r="G1835">
        <v>188.98</v>
      </c>
      <c r="H1835">
        <v>0</v>
      </c>
      <c r="I1835">
        <v>0</v>
      </c>
      <c r="J1835">
        <v>0</v>
      </c>
      <c r="K1835">
        <v>213.91849999999999</v>
      </c>
      <c r="L1835">
        <v>0</v>
      </c>
      <c r="M1835">
        <v>0</v>
      </c>
      <c r="N1835">
        <v>209.44</v>
      </c>
      <c r="O1835">
        <v>259.54500000000002</v>
      </c>
      <c r="P1835">
        <v>183.33150000000001</v>
      </c>
      <c r="Q1835">
        <v>0</v>
      </c>
      <c r="R1835">
        <v>199.41900000000001</v>
      </c>
    </row>
    <row r="1836" spans="1:18" hidden="1" x14ac:dyDescent="0.25">
      <c r="A1836" t="s">
        <v>1965</v>
      </c>
      <c r="B1836" t="s">
        <v>333</v>
      </c>
      <c r="C1836" t="s">
        <v>37</v>
      </c>
      <c r="D1836" t="s">
        <v>27</v>
      </c>
      <c r="E1836">
        <v>270.38</v>
      </c>
      <c r="F1836">
        <v>0</v>
      </c>
      <c r="G1836">
        <v>281.38</v>
      </c>
      <c r="H1836">
        <v>266.2</v>
      </c>
      <c r="I1836">
        <v>277.52999999999997</v>
      </c>
      <c r="J1836">
        <v>0</v>
      </c>
      <c r="K1836">
        <v>0</v>
      </c>
      <c r="L1836">
        <v>0</v>
      </c>
      <c r="M1836">
        <v>0</v>
      </c>
      <c r="N1836">
        <v>258.72000000000003</v>
      </c>
      <c r="O1836">
        <v>274.18599999999998</v>
      </c>
      <c r="P1836">
        <v>258.57479999999998</v>
      </c>
      <c r="Q1836">
        <v>0</v>
      </c>
      <c r="R1836">
        <v>258.577</v>
      </c>
    </row>
    <row r="1837" spans="1:18" hidden="1" x14ac:dyDescent="0.25">
      <c r="A1837" t="s">
        <v>1966</v>
      </c>
      <c r="B1837" t="s">
        <v>333</v>
      </c>
      <c r="C1837" t="s">
        <v>37</v>
      </c>
      <c r="D1837" t="s">
        <v>29</v>
      </c>
      <c r="E1837">
        <v>122.1</v>
      </c>
      <c r="F1837">
        <v>135.30000000000001</v>
      </c>
      <c r="G1837">
        <v>0</v>
      </c>
      <c r="H1837">
        <v>0</v>
      </c>
      <c r="I1837">
        <v>0</v>
      </c>
      <c r="J1837">
        <v>0</v>
      </c>
      <c r="K1837">
        <v>136.95429999999999</v>
      </c>
      <c r="L1837">
        <v>0</v>
      </c>
      <c r="M1837">
        <v>0</v>
      </c>
      <c r="N1837">
        <v>140.41499999999999</v>
      </c>
      <c r="O1837">
        <v>210.298</v>
      </c>
      <c r="P1837">
        <v>126.0371</v>
      </c>
      <c r="Q1837">
        <v>135.30000000000001</v>
      </c>
      <c r="R1837">
        <v>126.038</v>
      </c>
    </row>
    <row r="1838" spans="1:18" hidden="1" x14ac:dyDescent="0.25">
      <c r="A1838" t="s">
        <v>1967</v>
      </c>
      <c r="B1838" t="s">
        <v>333</v>
      </c>
      <c r="C1838" t="s">
        <v>37</v>
      </c>
      <c r="D1838" t="s">
        <v>31</v>
      </c>
      <c r="E1838">
        <v>173.98339999999999</v>
      </c>
      <c r="F1838">
        <v>147.59800000000001</v>
      </c>
      <c r="G1838">
        <v>168.48330000000001</v>
      </c>
      <c r="H1838">
        <v>0</v>
      </c>
      <c r="I1838">
        <v>147.86199999999999</v>
      </c>
      <c r="J1838">
        <v>0</v>
      </c>
      <c r="K1838">
        <v>140.49</v>
      </c>
      <c r="L1838">
        <v>0</v>
      </c>
      <c r="M1838">
        <v>0</v>
      </c>
      <c r="N1838">
        <v>152.625</v>
      </c>
      <c r="O1838">
        <v>223.608</v>
      </c>
      <c r="P1838">
        <v>141.15020000000001</v>
      </c>
      <c r="Q1838">
        <v>147.59800000000001</v>
      </c>
      <c r="R1838">
        <v>141.15199999999999</v>
      </c>
    </row>
    <row r="1839" spans="1:18" hidden="1" x14ac:dyDescent="0.25">
      <c r="A1839" t="s">
        <v>1968</v>
      </c>
      <c r="B1839" t="s">
        <v>333</v>
      </c>
      <c r="C1839" t="s">
        <v>37</v>
      </c>
      <c r="D1839" t="s">
        <v>33</v>
      </c>
      <c r="E1839">
        <v>146.52000000000001</v>
      </c>
      <c r="F1839">
        <v>153.75800000000001</v>
      </c>
      <c r="G1839">
        <v>0</v>
      </c>
      <c r="H1839">
        <v>0</v>
      </c>
      <c r="J1839">
        <v>0</v>
      </c>
      <c r="K1839">
        <v>149.85599999999999</v>
      </c>
      <c r="L1839">
        <v>0</v>
      </c>
      <c r="M1839">
        <v>0</v>
      </c>
      <c r="N1839">
        <v>164.83500000000001</v>
      </c>
      <c r="O1839">
        <v>232.92500000000001</v>
      </c>
      <c r="P1839">
        <v>141.4512</v>
      </c>
      <c r="Q1839">
        <v>153.75800000000001</v>
      </c>
      <c r="R1839">
        <v>171.578</v>
      </c>
    </row>
    <row r="1840" spans="1:18" hidden="1" x14ac:dyDescent="0.25">
      <c r="A1840" t="s">
        <v>1969</v>
      </c>
      <c r="B1840" t="s">
        <v>333</v>
      </c>
      <c r="C1840" t="s">
        <v>37</v>
      </c>
      <c r="D1840" t="s">
        <v>35</v>
      </c>
      <c r="E1840">
        <v>269.22500000000002</v>
      </c>
      <c r="F1840">
        <v>0</v>
      </c>
      <c r="G1840">
        <v>306.42860000000002</v>
      </c>
      <c r="H1840">
        <v>266.2</v>
      </c>
      <c r="I1840">
        <v>282.29300000000001</v>
      </c>
      <c r="J1840">
        <v>0</v>
      </c>
      <c r="K1840">
        <v>0</v>
      </c>
      <c r="L1840">
        <v>0</v>
      </c>
      <c r="M1840">
        <v>0</v>
      </c>
      <c r="N1840">
        <v>258.72000000000003</v>
      </c>
      <c r="O1840">
        <v>264.26400000000001</v>
      </c>
      <c r="P1840">
        <v>262.2165</v>
      </c>
      <c r="Q1840">
        <v>0</v>
      </c>
      <c r="R1840">
        <v>262.21800000000002</v>
      </c>
    </row>
    <row r="1841" spans="1:18" hidden="1" x14ac:dyDescent="0.25">
      <c r="A1841" t="s">
        <v>1970</v>
      </c>
      <c r="B1841" t="s">
        <v>333</v>
      </c>
      <c r="C1841" t="s">
        <v>270</v>
      </c>
      <c r="D1841" t="s">
        <v>21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R1841">
        <v>0</v>
      </c>
    </row>
    <row r="1842" spans="1:18" hidden="1" x14ac:dyDescent="0.25">
      <c r="A1842" t="s">
        <v>1971</v>
      </c>
      <c r="B1842" t="s">
        <v>333</v>
      </c>
      <c r="C1842" t="s">
        <v>270</v>
      </c>
      <c r="D1842" t="s">
        <v>23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228.25309999999999</v>
      </c>
      <c r="R1842">
        <v>228.25</v>
      </c>
    </row>
    <row r="1843" spans="1:18" hidden="1" x14ac:dyDescent="0.25">
      <c r="A1843" t="s">
        <v>1972</v>
      </c>
      <c r="B1843" t="s">
        <v>333</v>
      </c>
      <c r="C1843" t="s">
        <v>270</v>
      </c>
      <c r="D1843" t="s">
        <v>25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240.07830000000001</v>
      </c>
      <c r="R1843">
        <v>240.07499999999999</v>
      </c>
    </row>
    <row r="1844" spans="1:18" hidden="1" x14ac:dyDescent="0.25">
      <c r="A1844" t="s">
        <v>1973</v>
      </c>
      <c r="B1844" t="s">
        <v>333</v>
      </c>
      <c r="C1844" t="s">
        <v>270</v>
      </c>
      <c r="D1844" t="s">
        <v>27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324.47250000000003</v>
      </c>
      <c r="N1844">
        <v>0</v>
      </c>
      <c r="O1844">
        <v>0</v>
      </c>
      <c r="P1844">
        <v>272.21519999999998</v>
      </c>
      <c r="R1844">
        <v>272.21699999999998</v>
      </c>
    </row>
    <row r="1845" spans="1:18" hidden="1" x14ac:dyDescent="0.25">
      <c r="A1845" t="s">
        <v>1974</v>
      </c>
      <c r="B1845" t="s">
        <v>333</v>
      </c>
      <c r="C1845" t="s">
        <v>270</v>
      </c>
      <c r="D1845" t="s">
        <v>29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146.2415</v>
      </c>
      <c r="R1845">
        <v>146.245</v>
      </c>
    </row>
    <row r="1846" spans="1:18" hidden="1" x14ac:dyDescent="0.25">
      <c r="A1846" t="s">
        <v>1975</v>
      </c>
      <c r="B1846" t="s">
        <v>333</v>
      </c>
      <c r="C1846" t="s">
        <v>270</v>
      </c>
      <c r="D1846" t="s">
        <v>31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163.86019999999999</v>
      </c>
      <c r="R1846">
        <v>163.85599999999999</v>
      </c>
    </row>
    <row r="1847" spans="1:18" hidden="1" x14ac:dyDescent="0.25">
      <c r="A1847" t="s">
        <v>1976</v>
      </c>
      <c r="B1847" t="s">
        <v>333</v>
      </c>
      <c r="C1847" t="s">
        <v>270</v>
      </c>
      <c r="D1847" t="s">
        <v>33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170.92019999999999</v>
      </c>
      <c r="R1847">
        <v>170.91800000000001</v>
      </c>
    </row>
    <row r="1848" spans="1:18" hidden="1" x14ac:dyDescent="0.25">
      <c r="A1848" t="s">
        <v>1977</v>
      </c>
      <c r="B1848" t="s">
        <v>333</v>
      </c>
      <c r="C1848" t="s">
        <v>270</v>
      </c>
      <c r="D1848" t="s">
        <v>35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330.74250000000001</v>
      </c>
      <c r="N1848">
        <v>0</v>
      </c>
      <c r="O1848">
        <v>0</v>
      </c>
      <c r="P1848">
        <v>286.41050000000001</v>
      </c>
      <c r="R1848">
        <v>286.40699999999998</v>
      </c>
    </row>
    <row r="1849" spans="1:18" hidden="1" x14ac:dyDescent="0.25">
      <c r="A1849" t="s">
        <v>1978</v>
      </c>
      <c r="B1849" t="s">
        <v>333</v>
      </c>
      <c r="C1849" t="s">
        <v>279</v>
      </c>
      <c r="D1849" t="s">
        <v>21</v>
      </c>
      <c r="E1849">
        <v>146.52000000000001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173.89510000000001</v>
      </c>
      <c r="L1849">
        <v>0</v>
      </c>
      <c r="M1849">
        <v>0</v>
      </c>
      <c r="N1849">
        <v>183.15</v>
      </c>
      <c r="O1849">
        <v>190.333</v>
      </c>
      <c r="P1849">
        <v>0</v>
      </c>
      <c r="Q1849">
        <v>0</v>
      </c>
      <c r="R1849">
        <v>0</v>
      </c>
    </row>
    <row r="1850" spans="1:18" hidden="1" x14ac:dyDescent="0.25">
      <c r="A1850" t="s">
        <v>1979</v>
      </c>
      <c r="B1850" t="s">
        <v>333</v>
      </c>
      <c r="C1850" t="s">
        <v>279</v>
      </c>
      <c r="D1850" t="s">
        <v>23</v>
      </c>
      <c r="E1850">
        <v>274.72500000000002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274.05799999999999</v>
      </c>
      <c r="L1850">
        <v>0</v>
      </c>
      <c r="M1850">
        <v>0</v>
      </c>
      <c r="N1850">
        <v>244.2</v>
      </c>
      <c r="O1850">
        <v>332.75</v>
      </c>
      <c r="P1850">
        <v>247.11170000000001</v>
      </c>
      <c r="Q1850">
        <v>0</v>
      </c>
      <c r="R1850">
        <v>253.70400000000001</v>
      </c>
    </row>
    <row r="1851" spans="1:18" hidden="1" x14ac:dyDescent="0.25">
      <c r="A1851" t="s">
        <v>1980</v>
      </c>
      <c r="B1851" t="s">
        <v>333</v>
      </c>
      <c r="C1851" t="s">
        <v>279</v>
      </c>
      <c r="D1851" t="s">
        <v>25</v>
      </c>
      <c r="E1851">
        <v>282.48</v>
      </c>
      <c r="F1851">
        <v>0</v>
      </c>
      <c r="G1851">
        <v>257.18</v>
      </c>
      <c r="H1851">
        <v>0</v>
      </c>
      <c r="I1851">
        <v>0</v>
      </c>
      <c r="J1851">
        <v>0</v>
      </c>
      <c r="K1851">
        <v>297.36959999999999</v>
      </c>
      <c r="L1851">
        <v>0</v>
      </c>
      <c r="M1851">
        <v>0</v>
      </c>
      <c r="N1851">
        <v>308</v>
      </c>
      <c r="O1851">
        <v>360.70100000000002</v>
      </c>
      <c r="P1851">
        <v>251.14779999999999</v>
      </c>
      <c r="Q1851">
        <v>0</v>
      </c>
      <c r="R1851">
        <v>280.85199999999998</v>
      </c>
    </row>
    <row r="1852" spans="1:18" hidden="1" x14ac:dyDescent="0.25">
      <c r="A1852" t="s">
        <v>1981</v>
      </c>
      <c r="B1852" t="s">
        <v>333</v>
      </c>
      <c r="C1852" t="s">
        <v>279</v>
      </c>
      <c r="D1852" t="s">
        <v>27</v>
      </c>
      <c r="E1852">
        <v>348.48</v>
      </c>
      <c r="F1852">
        <v>0</v>
      </c>
      <c r="G1852">
        <v>331.98</v>
      </c>
      <c r="H1852">
        <v>0</v>
      </c>
      <c r="I1852">
        <v>372.13</v>
      </c>
      <c r="J1852">
        <v>0</v>
      </c>
      <c r="K1852">
        <v>0</v>
      </c>
      <c r="L1852">
        <v>0</v>
      </c>
      <c r="M1852">
        <v>0</v>
      </c>
      <c r="N1852">
        <v>369.6</v>
      </c>
      <c r="O1852">
        <v>379.33499999999998</v>
      </c>
      <c r="P1852">
        <v>281.77379999999999</v>
      </c>
      <c r="Q1852">
        <v>0</v>
      </c>
      <c r="R1852">
        <v>327.69</v>
      </c>
    </row>
    <row r="1853" spans="1:18" hidden="1" x14ac:dyDescent="0.25">
      <c r="A1853" t="s">
        <v>1982</v>
      </c>
      <c r="B1853" t="s">
        <v>333</v>
      </c>
      <c r="C1853" t="s">
        <v>279</v>
      </c>
      <c r="D1853" t="s">
        <v>29</v>
      </c>
      <c r="E1853">
        <v>158.72999999999999</v>
      </c>
      <c r="F1853">
        <v>159.44499999999999</v>
      </c>
      <c r="G1853">
        <v>0</v>
      </c>
      <c r="H1853">
        <v>0</v>
      </c>
      <c r="I1853">
        <v>0</v>
      </c>
      <c r="J1853">
        <v>0</v>
      </c>
      <c r="K1853">
        <v>186.79140000000001</v>
      </c>
      <c r="L1853">
        <v>0</v>
      </c>
      <c r="M1853">
        <v>0</v>
      </c>
      <c r="N1853">
        <v>189.255</v>
      </c>
      <c r="O1853">
        <v>240.911</v>
      </c>
      <c r="P1853">
        <v>163.02000000000001</v>
      </c>
      <c r="Q1853">
        <v>159.44499999999999</v>
      </c>
      <c r="R1853">
        <v>163.02000000000001</v>
      </c>
    </row>
    <row r="1854" spans="1:18" hidden="1" x14ac:dyDescent="0.25">
      <c r="A1854" t="s">
        <v>1983</v>
      </c>
      <c r="B1854" t="s">
        <v>333</v>
      </c>
      <c r="C1854" t="s">
        <v>279</v>
      </c>
      <c r="D1854" t="s">
        <v>31</v>
      </c>
      <c r="E1854">
        <v>195.36</v>
      </c>
      <c r="F1854">
        <v>190.113</v>
      </c>
      <c r="G1854">
        <v>0</v>
      </c>
      <c r="H1854">
        <v>0</v>
      </c>
      <c r="I1854">
        <v>0</v>
      </c>
      <c r="J1854">
        <v>0</v>
      </c>
      <c r="K1854">
        <v>212.60679999999999</v>
      </c>
      <c r="L1854">
        <v>0</v>
      </c>
      <c r="M1854">
        <v>0</v>
      </c>
      <c r="N1854">
        <v>207.57</v>
      </c>
      <c r="O1854">
        <v>264.86900000000003</v>
      </c>
      <c r="P1854">
        <v>195.87479999999999</v>
      </c>
      <c r="Q1854">
        <v>190.113</v>
      </c>
      <c r="R1854">
        <v>195.87700000000001</v>
      </c>
    </row>
    <row r="1855" spans="1:18" hidden="1" x14ac:dyDescent="0.25">
      <c r="A1855" t="s">
        <v>1984</v>
      </c>
      <c r="B1855" t="s">
        <v>333</v>
      </c>
      <c r="C1855" t="s">
        <v>279</v>
      </c>
      <c r="D1855" t="s">
        <v>33</v>
      </c>
      <c r="E1855">
        <v>213.4</v>
      </c>
      <c r="F1855">
        <v>208.505</v>
      </c>
      <c r="G1855">
        <v>213.4</v>
      </c>
      <c r="H1855">
        <v>0</v>
      </c>
      <c r="I1855">
        <v>209.27500000000001</v>
      </c>
      <c r="J1855">
        <v>0</v>
      </c>
      <c r="K1855">
        <v>226.65299999999999</v>
      </c>
      <c r="L1855">
        <v>0</v>
      </c>
      <c r="M1855">
        <v>0</v>
      </c>
      <c r="N1855">
        <v>221.76</v>
      </c>
      <c r="O1855">
        <v>280.84100000000001</v>
      </c>
      <c r="P1855">
        <v>214.6848</v>
      </c>
      <c r="Q1855">
        <v>208.505</v>
      </c>
      <c r="R1855">
        <v>227.887</v>
      </c>
    </row>
    <row r="1856" spans="1:18" hidden="1" x14ac:dyDescent="0.25">
      <c r="A1856" t="s">
        <v>1985</v>
      </c>
      <c r="B1856" t="s">
        <v>333</v>
      </c>
      <c r="C1856" t="s">
        <v>279</v>
      </c>
      <c r="D1856" t="s">
        <v>35</v>
      </c>
      <c r="E1856">
        <v>364.1</v>
      </c>
      <c r="F1856">
        <v>0</v>
      </c>
      <c r="G1856">
        <v>367.4</v>
      </c>
      <c r="H1856">
        <v>0</v>
      </c>
      <c r="I1856" s="107">
        <v>333.16800000000001</v>
      </c>
      <c r="J1856">
        <v>0</v>
      </c>
      <c r="K1856">
        <v>0</v>
      </c>
      <c r="L1856">
        <v>0</v>
      </c>
      <c r="M1856">
        <v>0</v>
      </c>
      <c r="N1856">
        <v>366.3</v>
      </c>
      <c r="O1856">
        <v>393.976</v>
      </c>
      <c r="P1856">
        <v>281.77379999999999</v>
      </c>
      <c r="Q1856">
        <v>0</v>
      </c>
      <c r="R1856">
        <v>345.67500000000001</v>
      </c>
    </row>
    <row r="1857" spans="1:18" hidden="1" x14ac:dyDescent="0.25">
      <c r="A1857" t="s">
        <v>1986</v>
      </c>
      <c r="B1857" t="s">
        <v>333</v>
      </c>
      <c r="C1857" t="s">
        <v>288</v>
      </c>
      <c r="D1857" t="s">
        <v>21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R1857">
        <v>0</v>
      </c>
    </row>
    <row r="1858" spans="1:18" hidden="1" x14ac:dyDescent="0.25">
      <c r="A1858" t="s">
        <v>1987</v>
      </c>
      <c r="B1858" t="s">
        <v>333</v>
      </c>
      <c r="C1858" t="s">
        <v>288</v>
      </c>
      <c r="D1858" t="s">
        <v>23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279.26580000000001</v>
      </c>
      <c r="R1858">
        <v>279.26799999999997</v>
      </c>
    </row>
    <row r="1859" spans="1:18" hidden="1" x14ac:dyDescent="0.25">
      <c r="A1859" t="s">
        <v>1988</v>
      </c>
      <c r="B1859" t="s">
        <v>333</v>
      </c>
      <c r="C1859" t="s">
        <v>288</v>
      </c>
      <c r="D1859" t="s">
        <v>25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320.08350000000002</v>
      </c>
      <c r="R1859">
        <v>320.089</v>
      </c>
    </row>
    <row r="1860" spans="1:18" hidden="1" x14ac:dyDescent="0.25">
      <c r="A1860" t="s">
        <v>1989</v>
      </c>
      <c r="B1860" t="s">
        <v>333</v>
      </c>
      <c r="C1860" t="s">
        <v>288</v>
      </c>
      <c r="D1860" t="s">
        <v>27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480.34469999999999</v>
      </c>
      <c r="N1860">
        <v>0</v>
      </c>
      <c r="O1860">
        <v>0</v>
      </c>
      <c r="P1860">
        <v>383.21050000000002</v>
      </c>
      <c r="R1860">
        <v>383.20699999999999</v>
      </c>
    </row>
    <row r="1861" spans="1:18" hidden="1" x14ac:dyDescent="0.25">
      <c r="A1861" t="s">
        <v>1990</v>
      </c>
      <c r="B1861" t="s">
        <v>333</v>
      </c>
      <c r="C1861" t="s">
        <v>288</v>
      </c>
      <c r="D1861" t="s">
        <v>29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194.21950000000001</v>
      </c>
      <c r="R1861">
        <v>194.21600000000001</v>
      </c>
    </row>
    <row r="1862" spans="1:18" hidden="1" x14ac:dyDescent="0.25">
      <c r="A1862" t="s">
        <v>1991</v>
      </c>
      <c r="B1862" t="s">
        <v>333</v>
      </c>
      <c r="C1862" t="s">
        <v>288</v>
      </c>
      <c r="D1862" t="s">
        <v>31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239.99459999999999</v>
      </c>
      <c r="R1862">
        <v>239.99799999999999</v>
      </c>
    </row>
    <row r="1863" spans="1:18" hidden="1" x14ac:dyDescent="0.25">
      <c r="A1863" t="s">
        <v>1992</v>
      </c>
      <c r="B1863" t="s">
        <v>333</v>
      </c>
      <c r="C1863" t="s">
        <v>288</v>
      </c>
      <c r="D1863" t="s">
        <v>33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262.97629999999998</v>
      </c>
      <c r="R1863">
        <v>262.97699999999998</v>
      </c>
    </row>
    <row r="1864" spans="1:18" hidden="1" x14ac:dyDescent="0.25">
      <c r="A1864" t="s">
        <v>1993</v>
      </c>
      <c r="B1864" t="s">
        <v>333</v>
      </c>
      <c r="C1864" t="s">
        <v>288</v>
      </c>
      <c r="D1864" t="s">
        <v>35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489.74970000000002</v>
      </c>
      <c r="N1864">
        <v>0</v>
      </c>
      <c r="O1864">
        <v>0</v>
      </c>
      <c r="P1864">
        <v>396.08280000000002</v>
      </c>
      <c r="R1864">
        <v>396.08800000000002</v>
      </c>
    </row>
    <row r="1865" spans="1:18" hidden="1" x14ac:dyDescent="0.25">
      <c r="A1865" t="s">
        <v>1994</v>
      </c>
      <c r="B1865" t="s">
        <v>333</v>
      </c>
      <c r="C1865" t="s">
        <v>297</v>
      </c>
      <c r="D1865" t="s">
        <v>21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R1865">
        <v>0</v>
      </c>
    </row>
    <row r="1866" spans="1:18" hidden="1" x14ac:dyDescent="0.25">
      <c r="A1866" t="s">
        <v>1995</v>
      </c>
      <c r="B1866" t="s">
        <v>333</v>
      </c>
      <c r="C1866" t="s">
        <v>297</v>
      </c>
      <c r="D1866" t="s">
        <v>23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248.2764</v>
      </c>
      <c r="R1866">
        <v>248.28100000000001</v>
      </c>
    </row>
    <row r="1867" spans="1:18" hidden="1" x14ac:dyDescent="0.25">
      <c r="A1867" t="s">
        <v>1996</v>
      </c>
      <c r="B1867" t="s">
        <v>333</v>
      </c>
      <c r="C1867" t="s">
        <v>297</v>
      </c>
      <c r="D1867" t="s">
        <v>25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251.90020000000001</v>
      </c>
      <c r="R1867">
        <v>251.9</v>
      </c>
    </row>
    <row r="1868" spans="1:18" hidden="1" x14ac:dyDescent="0.25">
      <c r="A1868" t="s">
        <v>1997</v>
      </c>
      <c r="B1868" t="s">
        <v>333</v>
      </c>
      <c r="C1868" t="s">
        <v>297</v>
      </c>
      <c r="D1868" t="s">
        <v>27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377.72669999999999</v>
      </c>
      <c r="R1868">
        <v>377.72899999999998</v>
      </c>
    </row>
    <row r="1869" spans="1:18" hidden="1" x14ac:dyDescent="0.25">
      <c r="A1869" t="s">
        <v>1998</v>
      </c>
      <c r="B1869" t="s">
        <v>333</v>
      </c>
      <c r="C1869" t="s">
        <v>297</v>
      </c>
      <c r="D1869" t="s">
        <v>29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173.27690000000001</v>
      </c>
      <c r="R1869">
        <v>173.27199999999999</v>
      </c>
    </row>
    <row r="1870" spans="1:18" hidden="1" x14ac:dyDescent="0.25">
      <c r="A1870" t="s">
        <v>1999</v>
      </c>
      <c r="B1870" t="s">
        <v>333</v>
      </c>
      <c r="C1870" t="s">
        <v>297</v>
      </c>
      <c r="D1870" t="s">
        <v>31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224.80699999999999</v>
      </c>
      <c r="R1870">
        <v>224.80699999999999</v>
      </c>
    </row>
    <row r="1871" spans="1:18" hidden="1" x14ac:dyDescent="0.25">
      <c r="A1871" t="s">
        <v>2000</v>
      </c>
      <c r="B1871" t="s">
        <v>333</v>
      </c>
      <c r="C1871" t="s">
        <v>297</v>
      </c>
      <c r="D1871" t="s">
        <v>33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233.6327</v>
      </c>
      <c r="R1871">
        <v>233.62899999999999</v>
      </c>
    </row>
    <row r="1872" spans="1:18" hidden="1" x14ac:dyDescent="0.25">
      <c r="A1872" t="s">
        <v>2001</v>
      </c>
      <c r="B1872" t="s">
        <v>333</v>
      </c>
      <c r="C1872" t="s">
        <v>297</v>
      </c>
      <c r="D1872" t="s">
        <v>35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404.92750000000001</v>
      </c>
      <c r="R1872">
        <v>404.93200000000002</v>
      </c>
    </row>
    <row r="1873" spans="1:18" hidden="1" x14ac:dyDescent="0.25">
      <c r="A1873" t="s">
        <v>2002</v>
      </c>
      <c r="B1873" t="s">
        <v>333</v>
      </c>
      <c r="C1873" t="s">
        <v>306</v>
      </c>
      <c r="D1873" t="s">
        <v>21</v>
      </c>
      <c r="E1873">
        <v>207.57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107.8717</v>
      </c>
      <c r="L1873">
        <v>0</v>
      </c>
      <c r="M1873">
        <v>0</v>
      </c>
      <c r="N1873">
        <v>183.15</v>
      </c>
      <c r="O1873">
        <v>179.685</v>
      </c>
      <c r="P1873">
        <v>0</v>
      </c>
      <c r="R1873">
        <v>0</v>
      </c>
    </row>
    <row r="1874" spans="1:18" hidden="1" x14ac:dyDescent="0.25">
      <c r="A1874" t="s">
        <v>2003</v>
      </c>
      <c r="B1874" t="s">
        <v>333</v>
      </c>
      <c r="C1874" t="s">
        <v>306</v>
      </c>
      <c r="D1874" t="s">
        <v>23</v>
      </c>
      <c r="E1874">
        <v>305.25</v>
      </c>
      <c r="F1874">
        <v>0</v>
      </c>
      <c r="G1874">
        <v>0</v>
      </c>
      <c r="H1874">
        <v>0</v>
      </c>
      <c r="I1874">
        <v>0</v>
      </c>
      <c r="J1874">
        <v>0</v>
      </c>
      <c r="K1874" s="1">
        <v>278.2552</v>
      </c>
      <c r="L1874">
        <v>0</v>
      </c>
      <c r="M1874">
        <v>0</v>
      </c>
      <c r="N1874">
        <v>244.2</v>
      </c>
      <c r="O1874">
        <v>295.48200000000003</v>
      </c>
      <c r="P1874">
        <v>248.05070000000001</v>
      </c>
      <c r="R1874">
        <v>248.05</v>
      </c>
    </row>
    <row r="1875" spans="1:18" hidden="1" x14ac:dyDescent="0.25">
      <c r="A1875" t="s">
        <v>2004</v>
      </c>
      <c r="B1875" t="s">
        <v>333</v>
      </c>
      <c r="C1875" t="s">
        <v>306</v>
      </c>
      <c r="D1875" t="s">
        <v>25</v>
      </c>
      <c r="E1875">
        <v>323.565</v>
      </c>
      <c r="F1875">
        <v>0</v>
      </c>
      <c r="G1875">
        <v>0</v>
      </c>
      <c r="H1875">
        <v>0</v>
      </c>
      <c r="I1875">
        <v>0</v>
      </c>
      <c r="J1875">
        <v>0</v>
      </c>
      <c r="K1875" s="1">
        <v>302.40629999999999</v>
      </c>
      <c r="L1875">
        <v>0</v>
      </c>
      <c r="M1875">
        <v>0</v>
      </c>
      <c r="N1875">
        <v>305.25</v>
      </c>
      <c r="O1875">
        <v>375.46300000000002</v>
      </c>
      <c r="P1875">
        <v>252.0883</v>
      </c>
      <c r="R1875">
        <v>252.08699999999999</v>
      </c>
    </row>
    <row r="1876" spans="1:18" hidden="1" x14ac:dyDescent="0.25">
      <c r="A1876" t="s">
        <v>2005</v>
      </c>
      <c r="B1876" t="s">
        <v>333</v>
      </c>
      <c r="C1876" t="s">
        <v>306</v>
      </c>
      <c r="D1876" t="s">
        <v>27</v>
      </c>
      <c r="E1876">
        <v>384.61500000000001</v>
      </c>
      <c r="F1876">
        <v>0</v>
      </c>
      <c r="G1876">
        <v>0</v>
      </c>
      <c r="H1876">
        <v>0</v>
      </c>
      <c r="I1876">
        <v>384.61500000000001</v>
      </c>
      <c r="J1876">
        <v>0</v>
      </c>
      <c r="K1876" s="1">
        <v>0</v>
      </c>
      <c r="L1876">
        <v>0</v>
      </c>
      <c r="M1876">
        <v>0</v>
      </c>
      <c r="N1876">
        <v>366.3</v>
      </c>
      <c r="O1876">
        <v>431.24400000000003</v>
      </c>
      <c r="P1876">
        <v>365.91719999999998</v>
      </c>
      <c r="R1876">
        <v>365.91500000000002</v>
      </c>
    </row>
    <row r="1877" spans="1:18" hidden="1" x14ac:dyDescent="0.25">
      <c r="A1877" t="s">
        <v>2006</v>
      </c>
      <c r="B1877" t="s">
        <v>333</v>
      </c>
      <c r="C1877" t="s">
        <v>306</v>
      </c>
      <c r="D1877" t="s">
        <v>29</v>
      </c>
      <c r="E1877">
        <v>219.78</v>
      </c>
      <c r="F1877">
        <v>0</v>
      </c>
      <c r="G1877">
        <v>0</v>
      </c>
      <c r="H1877">
        <v>0</v>
      </c>
      <c r="I1877">
        <v>0</v>
      </c>
      <c r="J1877">
        <v>0</v>
      </c>
      <c r="K1877" s="1">
        <v>114.55759999999999</v>
      </c>
      <c r="L1877">
        <v>0</v>
      </c>
      <c r="M1877">
        <v>0</v>
      </c>
      <c r="N1877">
        <v>189.255</v>
      </c>
      <c r="O1877">
        <v>215.62200000000001</v>
      </c>
      <c r="P1877">
        <v>114.4355</v>
      </c>
      <c r="R1877">
        <v>114.43300000000001</v>
      </c>
    </row>
    <row r="1878" spans="1:18" hidden="1" x14ac:dyDescent="0.25">
      <c r="A1878" t="s">
        <v>2007</v>
      </c>
      <c r="B1878" t="s">
        <v>333</v>
      </c>
      <c r="C1878" t="s">
        <v>306</v>
      </c>
      <c r="D1878" t="s">
        <v>31</v>
      </c>
      <c r="E1878">
        <v>250.8</v>
      </c>
      <c r="F1878">
        <v>0</v>
      </c>
      <c r="G1878">
        <v>0</v>
      </c>
      <c r="H1878">
        <v>0</v>
      </c>
      <c r="I1878">
        <v>0</v>
      </c>
      <c r="J1878">
        <v>0</v>
      </c>
      <c r="K1878" s="1">
        <v>192.90989999999999</v>
      </c>
      <c r="L1878">
        <v>0</v>
      </c>
      <c r="M1878">
        <v>0</v>
      </c>
      <c r="N1878">
        <v>207.57</v>
      </c>
      <c r="O1878">
        <v>235.58699999999999</v>
      </c>
      <c r="P1878">
        <v>192.71469999999999</v>
      </c>
      <c r="R1878">
        <v>192.72</v>
      </c>
    </row>
    <row r="1879" spans="1:18" hidden="1" x14ac:dyDescent="0.25">
      <c r="A1879" t="s">
        <v>2008</v>
      </c>
      <c r="B1879" t="s">
        <v>333</v>
      </c>
      <c r="C1879" t="s">
        <v>306</v>
      </c>
      <c r="D1879" t="s">
        <v>33</v>
      </c>
      <c r="E1879">
        <v>262.51499999999999</v>
      </c>
      <c r="F1879">
        <v>0</v>
      </c>
      <c r="G1879">
        <v>0</v>
      </c>
      <c r="H1879">
        <v>0</v>
      </c>
      <c r="I1879">
        <v>0</v>
      </c>
      <c r="J1879">
        <v>0</v>
      </c>
      <c r="K1879" s="1">
        <v>210.16800000000001</v>
      </c>
      <c r="L1879">
        <v>0</v>
      </c>
      <c r="M1879">
        <v>0</v>
      </c>
      <c r="N1879">
        <v>219.78</v>
      </c>
      <c r="O1879">
        <v>250.22800000000001</v>
      </c>
      <c r="P1879">
        <v>201.16669999999999</v>
      </c>
      <c r="R1879">
        <v>201.16800000000001</v>
      </c>
    </row>
    <row r="1880" spans="1:18" hidden="1" x14ac:dyDescent="0.25">
      <c r="A1880" t="s">
        <v>2009</v>
      </c>
      <c r="B1880" t="s">
        <v>333</v>
      </c>
      <c r="C1880" t="s">
        <v>306</v>
      </c>
      <c r="D1880" t="s">
        <v>35</v>
      </c>
      <c r="E1880">
        <v>415.14</v>
      </c>
      <c r="F1880">
        <v>0</v>
      </c>
      <c r="G1880">
        <v>0</v>
      </c>
      <c r="H1880">
        <v>0</v>
      </c>
      <c r="I1880">
        <v>384.61500000000001</v>
      </c>
      <c r="J1880">
        <v>0</v>
      </c>
      <c r="K1880" s="1">
        <v>0</v>
      </c>
      <c r="L1880">
        <v>0</v>
      </c>
      <c r="M1880">
        <v>0</v>
      </c>
      <c r="N1880">
        <v>402.93</v>
      </c>
      <c r="O1880">
        <v>461.85700000000003</v>
      </c>
      <c r="P1880">
        <v>378.5575</v>
      </c>
      <c r="R1880">
        <v>378.55399999999997</v>
      </c>
    </row>
    <row r="1881" spans="1:18" hidden="1" x14ac:dyDescent="0.25">
      <c r="A1881" t="s">
        <v>2010</v>
      </c>
      <c r="B1881" t="s">
        <v>333</v>
      </c>
      <c r="C1881" t="s">
        <v>315</v>
      </c>
      <c r="D1881" t="s">
        <v>21</v>
      </c>
      <c r="E1881">
        <v>166.023</v>
      </c>
      <c r="F1881">
        <v>0</v>
      </c>
      <c r="G1881">
        <v>0</v>
      </c>
      <c r="H1881">
        <v>0</v>
      </c>
      <c r="I1881">
        <v>0</v>
      </c>
      <c r="J1881">
        <v>0</v>
      </c>
      <c r="K1881" s="1">
        <v>479.96550000000002</v>
      </c>
      <c r="L1881">
        <v>0</v>
      </c>
      <c r="M1881">
        <v>0</v>
      </c>
      <c r="N1881">
        <v>494.505</v>
      </c>
      <c r="O1881">
        <v>665.5</v>
      </c>
      <c r="P1881">
        <v>0</v>
      </c>
      <c r="R1881">
        <v>0</v>
      </c>
    </row>
    <row r="1882" spans="1:18" hidden="1" x14ac:dyDescent="0.25">
      <c r="A1882" t="s">
        <v>2011</v>
      </c>
      <c r="B1882" t="s">
        <v>333</v>
      </c>
      <c r="C1882" t="s">
        <v>315</v>
      </c>
      <c r="D1882" t="s">
        <v>23</v>
      </c>
      <c r="E1882">
        <v>261.26100000000002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768.47400000000005</v>
      </c>
      <c r="L1882">
        <v>0</v>
      </c>
      <c r="M1882">
        <v>0</v>
      </c>
      <c r="N1882">
        <v>781.44</v>
      </c>
      <c r="O1882">
        <v>911.73500000000001</v>
      </c>
      <c r="P1882">
        <v>341.22019999999998</v>
      </c>
      <c r="R1882">
        <v>341.22</v>
      </c>
    </row>
    <row r="1883" spans="1:18" hidden="1" x14ac:dyDescent="0.25">
      <c r="A1883" t="s">
        <v>2012</v>
      </c>
      <c r="B1883" t="s">
        <v>333</v>
      </c>
      <c r="C1883" t="s">
        <v>315</v>
      </c>
      <c r="D1883" t="s">
        <v>25</v>
      </c>
      <c r="E1883">
        <v>285.714</v>
      </c>
      <c r="F1883">
        <v>0</v>
      </c>
      <c r="G1883">
        <v>826.43</v>
      </c>
      <c r="H1883">
        <v>0</v>
      </c>
      <c r="I1883">
        <v>0</v>
      </c>
      <c r="J1883">
        <v>0</v>
      </c>
      <c r="K1883">
        <v>890.66880000000003</v>
      </c>
      <c r="L1883">
        <v>0</v>
      </c>
      <c r="M1883">
        <v>0</v>
      </c>
      <c r="N1883">
        <v>793.65</v>
      </c>
      <c r="O1883">
        <v>1003.574</v>
      </c>
      <c r="P1883">
        <v>347.02929999999998</v>
      </c>
      <c r="R1883">
        <v>347.02800000000002</v>
      </c>
    </row>
    <row r="1884" spans="1:18" hidden="1" x14ac:dyDescent="0.25">
      <c r="A1884" t="s">
        <v>2013</v>
      </c>
      <c r="B1884" t="s">
        <v>333</v>
      </c>
      <c r="C1884" t="s">
        <v>315</v>
      </c>
      <c r="D1884" t="s">
        <v>27</v>
      </c>
      <c r="E1884">
        <v>416.988</v>
      </c>
      <c r="F1884">
        <v>0</v>
      </c>
      <c r="G1884">
        <v>1108.3599999999999</v>
      </c>
      <c r="H1884">
        <v>0</v>
      </c>
      <c r="I1884">
        <v>989.01</v>
      </c>
      <c r="J1884">
        <v>0</v>
      </c>
      <c r="K1884">
        <v>0</v>
      </c>
      <c r="L1884">
        <v>0</v>
      </c>
      <c r="M1884">
        <v>0</v>
      </c>
      <c r="N1884">
        <v>976.8</v>
      </c>
      <c r="O1884">
        <v>1059.4760000000001</v>
      </c>
      <c r="P1884">
        <v>493.05169999999998</v>
      </c>
      <c r="R1884">
        <v>493.053</v>
      </c>
    </row>
    <row r="1885" spans="1:18" hidden="1" x14ac:dyDescent="0.25">
      <c r="A1885" t="s">
        <v>2014</v>
      </c>
      <c r="B1885" t="s">
        <v>333</v>
      </c>
      <c r="C1885" t="s">
        <v>315</v>
      </c>
      <c r="D1885" t="s">
        <v>29</v>
      </c>
      <c r="E1885">
        <v>173.745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506.709</v>
      </c>
      <c r="L1885">
        <v>0</v>
      </c>
      <c r="M1885">
        <v>0</v>
      </c>
      <c r="N1885">
        <v>518.92499999999995</v>
      </c>
      <c r="O1885">
        <v>726.726</v>
      </c>
      <c r="P1885">
        <v>230.0087</v>
      </c>
      <c r="R1885">
        <v>230.01</v>
      </c>
    </row>
    <row r="1886" spans="1:18" hidden="1" x14ac:dyDescent="0.25">
      <c r="A1886" t="s">
        <v>2015</v>
      </c>
      <c r="B1886" t="s">
        <v>333</v>
      </c>
      <c r="C1886" t="s">
        <v>315</v>
      </c>
      <c r="D1886" t="s">
        <v>31</v>
      </c>
      <c r="E1886">
        <v>208.494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645.69489999999996</v>
      </c>
      <c r="L1886">
        <v>0</v>
      </c>
      <c r="M1886">
        <v>0</v>
      </c>
      <c r="N1886">
        <v>659.34</v>
      </c>
      <c r="O1886">
        <v>771.98</v>
      </c>
      <c r="P1886">
        <v>286.35230000000001</v>
      </c>
      <c r="R1886">
        <v>286.35199999999998</v>
      </c>
    </row>
    <row r="1887" spans="1:18" hidden="1" x14ac:dyDescent="0.25">
      <c r="A1887" t="s">
        <v>2016</v>
      </c>
      <c r="B1887" t="s">
        <v>333</v>
      </c>
      <c r="C1887" t="s">
        <v>315</v>
      </c>
      <c r="D1887" t="s">
        <v>33</v>
      </c>
      <c r="E1887">
        <v>227.79900000000001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666.17780000000005</v>
      </c>
      <c r="L1887">
        <v>0</v>
      </c>
      <c r="M1887">
        <v>0</v>
      </c>
      <c r="N1887">
        <v>683.76</v>
      </c>
      <c r="O1887">
        <v>802.59299999999996</v>
      </c>
      <c r="P1887">
        <v>315.44369999999998</v>
      </c>
      <c r="R1887">
        <v>315.447</v>
      </c>
    </row>
    <row r="1888" spans="1:18" hidden="1" x14ac:dyDescent="0.25">
      <c r="A1888" t="s">
        <v>2017</v>
      </c>
      <c r="B1888" t="s">
        <v>333</v>
      </c>
      <c r="C1888" t="s">
        <v>315</v>
      </c>
      <c r="D1888" t="s">
        <v>35</v>
      </c>
      <c r="E1888">
        <v>446.589</v>
      </c>
      <c r="F1888">
        <v>0</v>
      </c>
      <c r="G1888">
        <v>1180.96</v>
      </c>
      <c r="H1888">
        <v>0</v>
      </c>
      <c r="I1888">
        <v>989.01</v>
      </c>
      <c r="J1888">
        <v>0</v>
      </c>
      <c r="K1888">
        <v>0</v>
      </c>
      <c r="L1888">
        <v>0</v>
      </c>
      <c r="M1888">
        <v>0</v>
      </c>
      <c r="N1888">
        <v>989.01</v>
      </c>
      <c r="O1888">
        <v>1141.998</v>
      </c>
      <c r="P1888">
        <v>516.70209999999997</v>
      </c>
      <c r="R1888">
        <v>516.70299999999997</v>
      </c>
    </row>
    <row r="1889" spans="1:18" hidden="1" x14ac:dyDescent="0.25">
      <c r="A1889" t="s">
        <v>2018</v>
      </c>
      <c r="B1889" t="s">
        <v>333</v>
      </c>
      <c r="C1889" t="s">
        <v>324</v>
      </c>
      <c r="D1889" t="s">
        <v>21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R1889">
        <v>0</v>
      </c>
    </row>
    <row r="1890" spans="1:18" hidden="1" x14ac:dyDescent="0.25">
      <c r="A1890" t="s">
        <v>2019</v>
      </c>
      <c r="B1890" t="s">
        <v>333</v>
      </c>
      <c r="C1890" t="s">
        <v>324</v>
      </c>
      <c r="D1890" t="s">
        <v>23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501.75839999999999</v>
      </c>
      <c r="R1890">
        <v>501.75400000000002</v>
      </c>
    </row>
    <row r="1891" spans="1:18" hidden="1" x14ac:dyDescent="0.25">
      <c r="A1891" t="s">
        <v>2020</v>
      </c>
      <c r="B1891" t="s">
        <v>333</v>
      </c>
      <c r="C1891" t="s">
        <v>324</v>
      </c>
      <c r="D1891" t="s">
        <v>25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541.86</v>
      </c>
      <c r="R1891">
        <v>541.86</v>
      </c>
    </row>
    <row r="1892" spans="1:18" hidden="1" x14ac:dyDescent="0.25">
      <c r="A1892" t="s">
        <v>2021</v>
      </c>
      <c r="B1892" t="s">
        <v>333</v>
      </c>
      <c r="C1892" t="s">
        <v>324</v>
      </c>
      <c r="D1892" t="s">
        <v>27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710.14530000000002</v>
      </c>
      <c r="R1892">
        <v>710.149</v>
      </c>
    </row>
    <row r="1893" spans="1:18" hidden="1" x14ac:dyDescent="0.25">
      <c r="A1893" t="s">
        <v>2022</v>
      </c>
      <c r="B1893" t="s">
        <v>333</v>
      </c>
      <c r="C1893" t="s">
        <v>324</v>
      </c>
      <c r="D1893" t="s">
        <v>29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400.96870000000001</v>
      </c>
      <c r="R1893">
        <v>400.97199999999998</v>
      </c>
    </row>
    <row r="1894" spans="1:18" hidden="1" x14ac:dyDescent="0.25">
      <c r="A1894" t="s">
        <v>2023</v>
      </c>
      <c r="B1894" t="s">
        <v>333</v>
      </c>
      <c r="C1894" t="s">
        <v>324</v>
      </c>
      <c r="D1894" t="s">
        <v>31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428.79880000000003</v>
      </c>
      <c r="R1894">
        <v>428.80200000000002</v>
      </c>
    </row>
    <row r="1895" spans="1:18" hidden="1" x14ac:dyDescent="0.25">
      <c r="A1895" t="s">
        <v>2024</v>
      </c>
      <c r="B1895" t="s">
        <v>333</v>
      </c>
      <c r="C1895" t="s">
        <v>324</v>
      </c>
      <c r="D1895" t="s">
        <v>33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466.2022</v>
      </c>
      <c r="R1895">
        <v>466.202</v>
      </c>
    </row>
    <row r="1896" spans="1:18" hidden="1" x14ac:dyDescent="0.25">
      <c r="A1896" t="s">
        <v>2025</v>
      </c>
      <c r="B1896" t="s">
        <v>333</v>
      </c>
      <c r="C1896" t="s">
        <v>324</v>
      </c>
      <c r="D1896" t="s">
        <v>35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761.47900000000004</v>
      </c>
      <c r="R1896">
        <v>761.47500000000002</v>
      </c>
    </row>
    <row r="1897" spans="1:18" hidden="1" x14ac:dyDescent="0.25">
      <c r="A1897" t="s">
        <v>2026</v>
      </c>
      <c r="B1897" t="s">
        <v>333</v>
      </c>
      <c r="C1897" t="s">
        <v>333</v>
      </c>
      <c r="D1897" t="s">
        <v>21</v>
      </c>
      <c r="E1897">
        <v>439.56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81.229699999999994</v>
      </c>
      <c r="L1897">
        <v>0</v>
      </c>
      <c r="M1897">
        <v>0</v>
      </c>
      <c r="N1897">
        <v>85.47</v>
      </c>
      <c r="O1897">
        <v>146.41</v>
      </c>
      <c r="P1897">
        <v>0</v>
      </c>
      <c r="Q1897">
        <v>0</v>
      </c>
      <c r="R1897">
        <v>0</v>
      </c>
    </row>
    <row r="1898" spans="1:18" hidden="1" x14ac:dyDescent="0.25">
      <c r="A1898" t="s">
        <v>2027</v>
      </c>
      <c r="B1898" t="s">
        <v>333</v>
      </c>
      <c r="C1898" t="s">
        <v>333</v>
      </c>
      <c r="D1898" t="s">
        <v>23</v>
      </c>
      <c r="E1898">
        <v>622.71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157.18119999999999</v>
      </c>
      <c r="L1898">
        <v>0</v>
      </c>
      <c r="M1898">
        <v>0</v>
      </c>
      <c r="N1898">
        <v>158.72999999999999</v>
      </c>
      <c r="O1898">
        <v>206.30500000000001</v>
      </c>
      <c r="P1898">
        <v>156.8503</v>
      </c>
      <c r="Q1898">
        <v>0</v>
      </c>
      <c r="R1898">
        <v>156.84899999999999</v>
      </c>
    </row>
    <row r="1899" spans="1:18" hidden="1" x14ac:dyDescent="0.25">
      <c r="A1899" t="s">
        <v>2028</v>
      </c>
      <c r="B1899" t="s">
        <v>333</v>
      </c>
      <c r="C1899" t="s">
        <v>333</v>
      </c>
      <c r="D1899" t="s">
        <v>25</v>
      </c>
      <c r="E1899">
        <v>634.91999999999996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179.1866</v>
      </c>
      <c r="L1899">
        <v>0</v>
      </c>
      <c r="M1899">
        <v>0</v>
      </c>
      <c r="N1899">
        <v>170.94</v>
      </c>
      <c r="O1899">
        <v>218.28399999999999</v>
      </c>
      <c r="P1899">
        <v>168.09870000000001</v>
      </c>
      <c r="Q1899">
        <v>0</v>
      </c>
      <c r="R1899">
        <v>168.102</v>
      </c>
    </row>
    <row r="1900" spans="1:18" hidden="1" x14ac:dyDescent="0.25">
      <c r="A1900" t="s">
        <v>2029</v>
      </c>
      <c r="B1900" t="s">
        <v>333</v>
      </c>
      <c r="C1900" t="s">
        <v>333</v>
      </c>
      <c r="D1900" t="s">
        <v>27</v>
      </c>
      <c r="E1900">
        <v>715.66</v>
      </c>
      <c r="F1900">
        <v>0</v>
      </c>
      <c r="G1900">
        <v>243.76</v>
      </c>
      <c r="H1900">
        <v>242</v>
      </c>
      <c r="I1900">
        <v>216.81</v>
      </c>
      <c r="J1900">
        <v>0</v>
      </c>
      <c r="K1900">
        <v>0</v>
      </c>
      <c r="L1900">
        <v>0</v>
      </c>
      <c r="M1900">
        <v>0</v>
      </c>
      <c r="N1900">
        <v>227.92</v>
      </c>
      <c r="O1900">
        <v>227.601</v>
      </c>
      <c r="P1900">
        <v>214.03270000000001</v>
      </c>
      <c r="Q1900">
        <v>0</v>
      </c>
      <c r="R1900">
        <v>214.03800000000001</v>
      </c>
    </row>
    <row r="1901" spans="1:18" hidden="1" x14ac:dyDescent="0.25">
      <c r="A1901" t="s">
        <v>2030</v>
      </c>
      <c r="B1901" t="s">
        <v>333</v>
      </c>
      <c r="C1901" t="s">
        <v>333</v>
      </c>
      <c r="D1901" t="s">
        <v>29</v>
      </c>
      <c r="E1901">
        <v>451.77</v>
      </c>
      <c r="F1901">
        <v>87.12</v>
      </c>
      <c r="G1901">
        <v>0</v>
      </c>
      <c r="H1901">
        <v>0</v>
      </c>
      <c r="I1901">
        <v>0</v>
      </c>
      <c r="J1901">
        <v>0</v>
      </c>
      <c r="K1901">
        <v>86.082899999999995</v>
      </c>
      <c r="L1901">
        <v>0</v>
      </c>
      <c r="M1901">
        <v>0</v>
      </c>
      <c r="N1901">
        <v>91.575000000000003</v>
      </c>
      <c r="O1901">
        <v>155.727</v>
      </c>
      <c r="P1901">
        <v>89.297300000000007</v>
      </c>
      <c r="Q1901">
        <v>87.12</v>
      </c>
      <c r="R1901">
        <v>89.298000000000002</v>
      </c>
    </row>
    <row r="1902" spans="1:18" hidden="1" x14ac:dyDescent="0.25">
      <c r="A1902" t="s">
        <v>2031</v>
      </c>
      <c r="B1902" t="s">
        <v>333</v>
      </c>
      <c r="C1902" t="s">
        <v>333</v>
      </c>
      <c r="D1902" t="s">
        <v>31</v>
      </c>
      <c r="E1902">
        <v>505.63339999999999</v>
      </c>
      <c r="F1902">
        <v>108.9</v>
      </c>
      <c r="G1902">
        <v>133.83330000000001</v>
      </c>
      <c r="H1902">
        <v>0</v>
      </c>
      <c r="I1902">
        <v>100.012</v>
      </c>
      <c r="J1902">
        <v>0</v>
      </c>
      <c r="K1902">
        <v>104.3385</v>
      </c>
      <c r="L1902">
        <v>0</v>
      </c>
      <c r="M1902">
        <v>0</v>
      </c>
      <c r="N1902">
        <v>110.88</v>
      </c>
      <c r="O1902">
        <v>166.375</v>
      </c>
      <c r="P1902">
        <v>106.88039999999999</v>
      </c>
      <c r="Q1902">
        <v>108.9</v>
      </c>
      <c r="R1902">
        <v>106.876</v>
      </c>
    </row>
    <row r="1903" spans="1:18" hidden="1" x14ac:dyDescent="0.25">
      <c r="A1903" t="s">
        <v>2032</v>
      </c>
      <c r="B1903" t="s">
        <v>333</v>
      </c>
      <c r="C1903" t="s">
        <v>333</v>
      </c>
      <c r="D1903" t="s">
        <v>33</v>
      </c>
      <c r="E1903">
        <v>573.87</v>
      </c>
      <c r="F1903">
        <v>121</v>
      </c>
      <c r="G1903">
        <v>0</v>
      </c>
      <c r="H1903">
        <v>0</v>
      </c>
      <c r="I1903">
        <v>0</v>
      </c>
      <c r="J1903">
        <v>0</v>
      </c>
      <c r="K1903">
        <v>120.6815</v>
      </c>
      <c r="L1903">
        <v>0</v>
      </c>
      <c r="M1903">
        <v>0</v>
      </c>
      <c r="N1903">
        <v>122.1</v>
      </c>
      <c r="O1903">
        <v>186.34</v>
      </c>
      <c r="P1903">
        <v>106.88039999999999</v>
      </c>
      <c r="Q1903">
        <v>121</v>
      </c>
      <c r="R1903">
        <v>106.876</v>
      </c>
    </row>
    <row r="1904" spans="1:18" hidden="1" x14ac:dyDescent="0.25">
      <c r="A1904" t="s">
        <v>2033</v>
      </c>
      <c r="B1904" t="s">
        <v>333</v>
      </c>
      <c r="C1904" t="s">
        <v>333</v>
      </c>
      <c r="D1904" t="s">
        <v>35</v>
      </c>
      <c r="E1904">
        <v>728.2</v>
      </c>
      <c r="F1904">
        <v>0</v>
      </c>
      <c r="G1904">
        <v>228.8</v>
      </c>
      <c r="H1904">
        <v>242</v>
      </c>
      <c r="I1904">
        <v>180.268</v>
      </c>
      <c r="J1904">
        <v>0</v>
      </c>
      <c r="K1904">
        <v>0</v>
      </c>
      <c r="L1904">
        <v>0</v>
      </c>
      <c r="M1904">
        <v>0</v>
      </c>
      <c r="N1904">
        <v>246.4</v>
      </c>
      <c r="O1904">
        <v>242.24199999999999</v>
      </c>
      <c r="P1904">
        <v>198.58340000000001</v>
      </c>
      <c r="Q1904">
        <v>0</v>
      </c>
      <c r="R1904">
        <v>198.583</v>
      </c>
    </row>
    <row r="1905" spans="1:18" hidden="1" x14ac:dyDescent="0.25">
      <c r="A1905" t="s">
        <v>2034</v>
      </c>
      <c r="B1905" t="s">
        <v>333</v>
      </c>
      <c r="C1905" t="s">
        <v>342</v>
      </c>
      <c r="D1905" t="s">
        <v>21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R1905">
        <v>0</v>
      </c>
    </row>
    <row r="1906" spans="1:18" hidden="1" x14ac:dyDescent="0.25">
      <c r="A1906" t="s">
        <v>2035</v>
      </c>
      <c r="B1906" t="s">
        <v>333</v>
      </c>
      <c r="C1906" t="s">
        <v>342</v>
      </c>
      <c r="D1906" t="s">
        <v>23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176.01140000000001</v>
      </c>
      <c r="R1906">
        <v>176.011</v>
      </c>
    </row>
    <row r="1907" spans="1:18" hidden="1" x14ac:dyDescent="0.25">
      <c r="A1907" t="s">
        <v>2036</v>
      </c>
      <c r="B1907" t="s">
        <v>333</v>
      </c>
      <c r="C1907" t="s">
        <v>342</v>
      </c>
      <c r="D1907" t="s">
        <v>25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191.17230000000001</v>
      </c>
      <c r="R1907">
        <v>191.16900000000001</v>
      </c>
    </row>
    <row r="1908" spans="1:18" hidden="1" x14ac:dyDescent="0.25">
      <c r="A1908" t="s">
        <v>2037</v>
      </c>
      <c r="B1908" t="s">
        <v>333</v>
      </c>
      <c r="C1908" t="s">
        <v>342</v>
      </c>
      <c r="D1908" t="s">
        <v>27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220.97989999999999</v>
      </c>
      <c r="R1908">
        <v>220.97900000000001</v>
      </c>
    </row>
    <row r="1909" spans="1:18" hidden="1" x14ac:dyDescent="0.25">
      <c r="A1909" t="s">
        <v>2038</v>
      </c>
      <c r="B1909" t="s">
        <v>333</v>
      </c>
      <c r="C1909" t="s">
        <v>342</v>
      </c>
      <c r="D1909" t="s">
        <v>29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101.72450000000001</v>
      </c>
      <c r="R1909">
        <v>101.72799999999999</v>
      </c>
    </row>
    <row r="1910" spans="1:18" hidden="1" x14ac:dyDescent="0.25">
      <c r="A1910" t="s">
        <v>2039</v>
      </c>
      <c r="B1910" t="s">
        <v>333</v>
      </c>
      <c r="C1910" t="s">
        <v>342</v>
      </c>
      <c r="D1910" t="s">
        <v>31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119.1802</v>
      </c>
      <c r="R1910">
        <v>119.185</v>
      </c>
    </row>
    <row r="1911" spans="1:18" hidden="1" x14ac:dyDescent="0.25">
      <c r="A1911" t="s">
        <v>2040</v>
      </c>
      <c r="B1911" t="s">
        <v>333</v>
      </c>
      <c r="C1911" t="s">
        <v>342</v>
      </c>
      <c r="D1911" t="s">
        <v>33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130.66679999999999</v>
      </c>
      <c r="R1911">
        <v>130.66900000000001</v>
      </c>
    </row>
    <row r="1912" spans="1:18" hidden="1" x14ac:dyDescent="0.25">
      <c r="A1912" t="s">
        <v>2041</v>
      </c>
      <c r="B1912" t="s">
        <v>333</v>
      </c>
      <c r="C1912" t="s">
        <v>342</v>
      </c>
      <c r="D1912" t="s">
        <v>35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232.8295</v>
      </c>
      <c r="R1912">
        <v>232.82599999999999</v>
      </c>
    </row>
    <row r="1913" spans="1:18" hidden="1" x14ac:dyDescent="0.25">
      <c r="A1913" t="s">
        <v>2042</v>
      </c>
      <c r="B1913" t="s">
        <v>333</v>
      </c>
      <c r="C1913" t="s">
        <v>351</v>
      </c>
      <c r="D1913" t="s">
        <v>21</v>
      </c>
      <c r="E1913">
        <v>162.16200000000001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296.87180000000001</v>
      </c>
      <c r="L1913">
        <v>0</v>
      </c>
      <c r="M1913">
        <v>0</v>
      </c>
      <c r="N1913">
        <v>305.25</v>
      </c>
      <c r="O1913">
        <v>590.96400000000006</v>
      </c>
      <c r="P1913">
        <v>0</v>
      </c>
      <c r="R1913">
        <v>0</v>
      </c>
    </row>
    <row r="1914" spans="1:18" hidden="1" x14ac:dyDescent="0.25">
      <c r="A1914" t="s">
        <v>2043</v>
      </c>
      <c r="B1914" t="s">
        <v>333</v>
      </c>
      <c r="C1914" t="s">
        <v>351</v>
      </c>
      <c r="D1914" t="s">
        <v>23</v>
      </c>
      <c r="E1914">
        <v>218.79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431.48700000000002</v>
      </c>
      <c r="L1914">
        <v>0</v>
      </c>
      <c r="M1914">
        <v>0</v>
      </c>
      <c r="N1914">
        <v>439.56</v>
      </c>
      <c r="O1914">
        <v>725.39499999999998</v>
      </c>
      <c r="P1914">
        <v>252.00380000000001</v>
      </c>
      <c r="R1914">
        <v>251.999</v>
      </c>
    </row>
    <row r="1915" spans="1:18" hidden="1" x14ac:dyDescent="0.25">
      <c r="A1915" t="s">
        <v>2044</v>
      </c>
      <c r="B1915" t="s">
        <v>333</v>
      </c>
      <c r="C1915" t="s">
        <v>351</v>
      </c>
      <c r="D1915" t="s">
        <v>25</v>
      </c>
      <c r="E1915">
        <v>271.55700000000002</v>
      </c>
      <c r="F1915">
        <v>0</v>
      </c>
      <c r="G1915">
        <v>488.84</v>
      </c>
      <c r="H1915">
        <v>0</v>
      </c>
      <c r="I1915">
        <v>0</v>
      </c>
      <c r="J1915">
        <v>0</v>
      </c>
      <c r="K1915">
        <v>486.28440000000001</v>
      </c>
      <c r="L1915">
        <v>0</v>
      </c>
      <c r="M1915">
        <v>0</v>
      </c>
      <c r="N1915">
        <v>457.875</v>
      </c>
      <c r="O1915">
        <v>763.99400000000003</v>
      </c>
      <c r="P1915">
        <v>291.86849999999998</v>
      </c>
      <c r="R1915">
        <v>291.87400000000002</v>
      </c>
    </row>
    <row r="1916" spans="1:18" hidden="1" x14ac:dyDescent="0.25">
      <c r="A1916" t="s">
        <v>2045</v>
      </c>
      <c r="B1916" t="s">
        <v>333</v>
      </c>
      <c r="C1916" t="s">
        <v>351</v>
      </c>
      <c r="D1916" t="s">
        <v>27</v>
      </c>
      <c r="E1916">
        <v>348.77699999999999</v>
      </c>
      <c r="F1916">
        <v>0</v>
      </c>
      <c r="G1916">
        <v>664.29</v>
      </c>
      <c r="H1916">
        <v>805.2</v>
      </c>
      <c r="I1916">
        <v>708.18</v>
      </c>
      <c r="J1916">
        <v>0</v>
      </c>
      <c r="K1916">
        <v>0</v>
      </c>
      <c r="L1916">
        <v>0</v>
      </c>
      <c r="M1916">
        <v>572.13750000000005</v>
      </c>
      <c r="N1916">
        <v>683.76</v>
      </c>
      <c r="O1916">
        <v>785.29</v>
      </c>
      <c r="P1916">
        <v>402.55590000000001</v>
      </c>
      <c r="R1916">
        <v>402.55599999999998</v>
      </c>
    </row>
    <row r="1917" spans="1:18" hidden="1" x14ac:dyDescent="0.25">
      <c r="A1917" t="s">
        <v>2046</v>
      </c>
      <c r="B1917" t="s">
        <v>333</v>
      </c>
      <c r="C1917" t="s">
        <v>351</v>
      </c>
      <c r="D1917" t="s">
        <v>29</v>
      </c>
      <c r="E1917">
        <v>173.745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311.80279999999999</v>
      </c>
      <c r="L1917">
        <v>0</v>
      </c>
      <c r="M1917">
        <v>0</v>
      </c>
      <c r="N1917">
        <v>317.45999999999998</v>
      </c>
      <c r="O1917">
        <v>622.90800000000002</v>
      </c>
      <c r="P1917">
        <v>194.57060000000001</v>
      </c>
      <c r="R1917">
        <v>194.56800000000001</v>
      </c>
    </row>
    <row r="1918" spans="1:18" hidden="1" x14ac:dyDescent="0.25">
      <c r="A1918" t="s">
        <v>2047</v>
      </c>
      <c r="B1918" t="s">
        <v>333</v>
      </c>
      <c r="C1918" t="s">
        <v>351</v>
      </c>
      <c r="D1918" t="s">
        <v>31</v>
      </c>
      <c r="E1918">
        <v>180.18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362.19490000000002</v>
      </c>
      <c r="L1918">
        <v>0</v>
      </c>
      <c r="M1918">
        <v>0</v>
      </c>
      <c r="N1918">
        <v>366.3</v>
      </c>
      <c r="O1918">
        <v>653.52099999999996</v>
      </c>
      <c r="P1918">
        <v>213.74430000000001</v>
      </c>
      <c r="R1918">
        <v>213.74100000000001</v>
      </c>
    </row>
    <row r="1919" spans="1:18" hidden="1" x14ac:dyDescent="0.25">
      <c r="A1919" t="s">
        <v>2048</v>
      </c>
      <c r="B1919" t="s">
        <v>333</v>
      </c>
      <c r="C1919" t="s">
        <v>351</v>
      </c>
      <c r="D1919" t="s">
        <v>33</v>
      </c>
      <c r="E1919">
        <v>190.476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381.44929999999999</v>
      </c>
      <c r="L1919">
        <v>0</v>
      </c>
      <c r="M1919">
        <v>0</v>
      </c>
      <c r="N1919">
        <v>384.61500000000001</v>
      </c>
      <c r="O1919">
        <v>689.45799999999997</v>
      </c>
      <c r="P1919">
        <v>225.3563</v>
      </c>
      <c r="R1919">
        <v>225.357</v>
      </c>
    </row>
    <row r="1920" spans="1:18" hidden="1" x14ac:dyDescent="0.25">
      <c r="A1920" t="s">
        <v>2049</v>
      </c>
      <c r="B1920" t="s">
        <v>333</v>
      </c>
      <c r="C1920" t="s">
        <v>351</v>
      </c>
      <c r="D1920" t="s">
        <v>35</v>
      </c>
      <c r="E1920">
        <v>359.07299999999998</v>
      </c>
      <c r="F1920">
        <v>0</v>
      </c>
      <c r="G1920">
        <v>707.85</v>
      </c>
      <c r="H1920">
        <v>805.2</v>
      </c>
      <c r="I1920">
        <v>708.18</v>
      </c>
      <c r="J1920">
        <v>0</v>
      </c>
      <c r="K1920">
        <v>0</v>
      </c>
      <c r="L1920">
        <v>0</v>
      </c>
      <c r="M1920">
        <v>653.33399999999995</v>
      </c>
      <c r="N1920">
        <v>708.18</v>
      </c>
      <c r="O1920">
        <v>802.59299999999996</v>
      </c>
      <c r="P1920">
        <v>426.71179999999998</v>
      </c>
      <c r="R1920">
        <v>426.71199999999999</v>
      </c>
    </row>
    <row r="1921" spans="1:18" hidden="1" x14ac:dyDescent="0.25">
      <c r="A1921" t="s">
        <v>2050</v>
      </c>
      <c r="B1921" t="s">
        <v>333</v>
      </c>
      <c r="C1921" t="s">
        <v>360</v>
      </c>
      <c r="D1921" t="s">
        <v>21</v>
      </c>
      <c r="E1921">
        <v>313.5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296.87180000000001</v>
      </c>
      <c r="L1921">
        <v>0</v>
      </c>
      <c r="M1921">
        <v>0</v>
      </c>
      <c r="N1921">
        <v>305.25</v>
      </c>
      <c r="O1921">
        <v>601.61199999999997</v>
      </c>
      <c r="P1921">
        <v>0</v>
      </c>
      <c r="R1921">
        <v>0</v>
      </c>
    </row>
    <row r="1922" spans="1:18" hidden="1" x14ac:dyDescent="0.25">
      <c r="A1922" t="s">
        <v>2051</v>
      </c>
      <c r="B1922" t="s">
        <v>333</v>
      </c>
      <c r="C1922" t="s">
        <v>360</v>
      </c>
      <c r="D1922" t="s">
        <v>23</v>
      </c>
      <c r="E1922">
        <v>451.44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431.48700000000002</v>
      </c>
      <c r="L1922">
        <v>0</v>
      </c>
      <c r="M1922">
        <v>0</v>
      </c>
      <c r="N1922">
        <v>439.56</v>
      </c>
      <c r="O1922">
        <v>737.37400000000002</v>
      </c>
      <c r="P1922">
        <v>423.72660000000002</v>
      </c>
      <c r="R1922">
        <v>423.73099999999999</v>
      </c>
    </row>
    <row r="1923" spans="1:18" hidden="1" x14ac:dyDescent="0.25">
      <c r="A1923" t="s">
        <v>2052</v>
      </c>
      <c r="B1923" t="s">
        <v>333</v>
      </c>
      <c r="C1923" t="s">
        <v>360</v>
      </c>
      <c r="D1923" t="s">
        <v>25</v>
      </c>
      <c r="E1923">
        <v>470.25</v>
      </c>
      <c r="F1923">
        <v>0</v>
      </c>
      <c r="G1923">
        <v>459.8</v>
      </c>
      <c r="H1923">
        <v>0</v>
      </c>
      <c r="I1923">
        <v>0</v>
      </c>
      <c r="J1923">
        <v>0</v>
      </c>
      <c r="K1923">
        <v>486.28440000000001</v>
      </c>
      <c r="L1923">
        <v>0</v>
      </c>
      <c r="M1923">
        <v>0</v>
      </c>
      <c r="N1923">
        <v>457.875</v>
      </c>
      <c r="O1923">
        <v>778.63499999999999</v>
      </c>
      <c r="P1923">
        <v>449.99790000000002</v>
      </c>
      <c r="R1923">
        <v>449.99900000000002</v>
      </c>
    </row>
    <row r="1924" spans="1:18" hidden="1" x14ac:dyDescent="0.25">
      <c r="A1924" t="s">
        <v>2053</v>
      </c>
      <c r="B1924" t="s">
        <v>333</v>
      </c>
      <c r="C1924" t="s">
        <v>360</v>
      </c>
      <c r="D1924" t="s">
        <v>27</v>
      </c>
      <c r="E1924">
        <v>683.76</v>
      </c>
      <c r="F1924">
        <v>0</v>
      </c>
      <c r="G1924">
        <v>631.62</v>
      </c>
      <c r="H1924">
        <v>805.2</v>
      </c>
      <c r="I1924">
        <v>708.18</v>
      </c>
      <c r="J1924">
        <v>0</v>
      </c>
      <c r="K1924">
        <v>0</v>
      </c>
      <c r="L1924">
        <v>0</v>
      </c>
      <c r="M1924">
        <v>572.13750000000005</v>
      </c>
      <c r="N1924">
        <v>683.76</v>
      </c>
      <c r="O1924">
        <v>819.89599999999996</v>
      </c>
      <c r="P1924">
        <v>594.39909999999998</v>
      </c>
      <c r="R1924">
        <v>594.39599999999996</v>
      </c>
    </row>
    <row r="1925" spans="1:18" hidden="1" x14ac:dyDescent="0.25">
      <c r="A1925" t="s">
        <v>2054</v>
      </c>
      <c r="B1925" t="s">
        <v>333</v>
      </c>
      <c r="C1925" t="s">
        <v>360</v>
      </c>
      <c r="D1925" t="s">
        <v>29</v>
      </c>
      <c r="E1925">
        <v>326.04000000000002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311.80279999999999</v>
      </c>
      <c r="L1925">
        <v>0</v>
      </c>
      <c r="M1925">
        <v>0</v>
      </c>
      <c r="N1925">
        <v>317.45999999999998</v>
      </c>
      <c r="O1925">
        <v>632.22500000000002</v>
      </c>
      <c r="P1925">
        <v>312.67239999999998</v>
      </c>
      <c r="R1925">
        <v>312.67500000000001</v>
      </c>
    </row>
    <row r="1926" spans="1:18" hidden="1" x14ac:dyDescent="0.25">
      <c r="A1926" t="s">
        <v>2055</v>
      </c>
      <c r="B1926" t="s">
        <v>333</v>
      </c>
      <c r="C1926" t="s">
        <v>360</v>
      </c>
      <c r="D1926" t="s">
        <v>31</v>
      </c>
      <c r="E1926">
        <v>376.2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362.19490000000002</v>
      </c>
      <c r="L1926">
        <v>0</v>
      </c>
      <c r="M1926">
        <v>0</v>
      </c>
      <c r="N1926">
        <v>366.3</v>
      </c>
      <c r="O1926">
        <v>665.5</v>
      </c>
      <c r="P1926">
        <v>361.34010000000001</v>
      </c>
      <c r="R1926">
        <v>361.339</v>
      </c>
    </row>
    <row r="1927" spans="1:18" hidden="1" x14ac:dyDescent="0.25">
      <c r="A1927" t="s">
        <v>2056</v>
      </c>
      <c r="B1927" t="s">
        <v>333</v>
      </c>
      <c r="C1927" t="s">
        <v>360</v>
      </c>
      <c r="D1927" t="s">
        <v>33</v>
      </c>
      <c r="E1927">
        <v>395.01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381.44929999999999</v>
      </c>
      <c r="L1927">
        <v>0</v>
      </c>
      <c r="M1927">
        <v>0</v>
      </c>
      <c r="N1927">
        <v>384.61500000000001</v>
      </c>
      <c r="O1927">
        <v>701.43700000000001</v>
      </c>
      <c r="P1927">
        <v>375.20929999999998</v>
      </c>
      <c r="R1927">
        <v>375.21</v>
      </c>
    </row>
    <row r="1928" spans="1:18" hidden="1" x14ac:dyDescent="0.25">
      <c r="A1928" t="s">
        <v>2057</v>
      </c>
      <c r="B1928" t="s">
        <v>333</v>
      </c>
      <c r="C1928" t="s">
        <v>360</v>
      </c>
      <c r="D1928" t="s">
        <v>35</v>
      </c>
      <c r="E1928">
        <v>708.18</v>
      </c>
      <c r="F1928">
        <v>0</v>
      </c>
      <c r="G1928">
        <v>671.55</v>
      </c>
      <c r="H1928">
        <v>805.2</v>
      </c>
      <c r="I1928">
        <v>708.18</v>
      </c>
      <c r="J1928">
        <v>0</v>
      </c>
      <c r="K1928">
        <v>0</v>
      </c>
      <c r="L1928">
        <v>0</v>
      </c>
      <c r="M1928">
        <v>604.11450000000002</v>
      </c>
      <c r="N1928">
        <v>708.18</v>
      </c>
      <c r="O1928">
        <v>862.48800000000006</v>
      </c>
      <c r="P1928">
        <v>627.56119999999999</v>
      </c>
      <c r="R1928">
        <v>627.56100000000004</v>
      </c>
    </row>
    <row r="1929" spans="1:18" hidden="1" x14ac:dyDescent="0.25">
      <c r="A1929" t="s">
        <v>2058</v>
      </c>
      <c r="B1929" t="s">
        <v>333</v>
      </c>
      <c r="C1929" t="s">
        <v>369</v>
      </c>
      <c r="D1929" t="s">
        <v>21</v>
      </c>
      <c r="E1929">
        <v>313.5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463.80599999999998</v>
      </c>
      <c r="L1929">
        <v>0</v>
      </c>
      <c r="M1929">
        <v>0</v>
      </c>
      <c r="N1929">
        <v>476.19</v>
      </c>
      <c r="O1929">
        <v>529.73800000000006</v>
      </c>
      <c r="P1929">
        <v>0</v>
      </c>
      <c r="R1929">
        <v>0</v>
      </c>
    </row>
    <row r="1930" spans="1:18" hidden="1" x14ac:dyDescent="0.25">
      <c r="A1930" t="s">
        <v>2059</v>
      </c>
      <c r="B1930" t="s">
        <v>333</v>
      </c>
      <c r="C1930" t="s">
        <v>369</v>
      </c>
      <c r="D1930" t="s">
        <v>23</v>
      </c>
      <c r="E1930">
        <v>451.44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650.34900000000005</v>
      </c>
      <c r="L1930">
        <v>0</v>
      </c>
      <c r="M1930">
        <v>0</v>
      </c>
      <c r="N1930">
        <v>659.34</v>
      </c>
      <c r="O1930">
        <v>734.71199999999999</v>
      </c>
      <c r="P1930">
        <v>472.96660000000003</v>
      </c>
      <c r="R1930">
        <v>472.96699999999998</v>
      </c>
    </row>
    <row r="1931" spans="1:18" hidden="1" x14ac:dyDescent="0.25">
      <c r="A1931" t="s">
        <v>2060</v>
      </c>
      <c r="B1931" t="s">
        <v>333</v>
      </c>
      <c r="C1931" t="s">
        <v>369</v>
      </c>
      <c r="D1931" t="s">
        <v>25</v>
      </c>
      <c r="E1931">
        <v>470.25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748.91880000000003</v>
      </c>
      <c r="L1931">
        <v>0</v>
      </c>
      <c r="M1931">
        <v>0</v>
      </c>
      <c r="N1931">
        <v>671.55</v>
      </c>
      <c r="O1931">
        <v>887.77700000000004</v>
      </c>
      <c r="P1931">
        <v>485.3673</v>
      </c>
      <c r="R1931">
        <v>485.36399999999998</v>
      </c>
    </row>
    <row r="1932" spans="1:18" hidden="1" x14ac:dyDescent="0.25">
      <c r="A1932" t="s">
        <v>2061</v>
      </c>
      <c r="B1932" t="s">
        <v>333</v>
      </c>
      <c r="C1932" t="s">
        <v>369</v>
      </c>
      <c r="D1932" t="s">
        <v>27</v>
      </c>
      <c r="E1932">
        <v>702.24</v>
      </c>
      <c r="F1932">
        <v>0</v>
      </c>
      <c r="G1932">
        <v>0</v>
      </c>
      <c r="H1932">
        <v>0</v>
      </c>
      <c r="I1932">
        <v>830.28</v>
      </c>
      <c r="J1932">
        <v>0</v>
      </c>
      <c r="K1932">
        <v>0</v>
      </c>
      <c r="L1932">
        <v>0</v>
      </c>
      <c r="M1932">
        <v>0</v>
      </c>
      <c r="N1932">
        <v>818.07</v>
      </c>
      <c r="O1932">
        <v>914.15499999999997</v>
      </c>
      <c r="P1932">
        <v>706.03210000000001</v>
      </c>
      <c r="R1932">
        <v>706.03499999999997</v>
      </c>
    </row>
    <row r="1933" spans="1:18" hidden="1" x14ac:dyDescent="0.25">
      <c r="A1933" t="s">
        <v>2062</v>
      </c>
      <c r="B1933" t="s">
        <v>333</v>
      </c>
      <c r="C1933" t="s">
        <v>369</v>
      </c>
      <c r="D1933" t="s">
        <v>29</v>
      </c>
      <c r="E1933">
        <v>326.04000000000002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477.17779999999999</v>
      </c>
      <c r="L1933">
        <v>0</v>
      </c>
      <c r="M1933">
        <v>0</v>
      </c>
      <c r="N1933">
        <v>488.4</v>
      </c>
      <c r="O1933">
        <v>574.99199999999996</v>
      </c>
      <c r="P1933">
        <v>344.41329999999999</v>
      </c>
      <c r="R1933">
        <v>344.41</v>
      </c>
    </row>
    <row r="1934" spans="1:18" hidden="1" x14ac:dyDescent="0.25">
      <c r="A1934" t="s">
        <v>2063</v>
      </c>
      <c r="B1934" t="s">
        <v>333</v>
      </c>
      <c r="C1934" t="s">
        <v>369</v>
      </c>
      <c r="D1934" t="s">
        <v>31</v>
      </c>
      <c r="E1934">
        <v>376.2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576.81619999999998</v>
      </c>
      <c r="L1934">
        <v>0</v>
      </c>
      <c r="M1934">
        <v>0</v>
      </c>
      <c r="N1934">
        <v>592.18499999999995</v>
      </c>
      <c r="O1934">
        <v>597.61900000000003</v>
      </c>
      <c r="P1934">
        <v>387.1019</v>
      </c>
      <c r="R1934">
        <v>387.101</v>
      </c>
    </row>
    <row r="1935" spans="1:18" hidden="1" x14ac:dyDescent="0.25">
      <c r="A1935" t="s">
        <v>2064</v>
      </c>
      <c r="B1935" t="s">
        <v>333</v>
      </c>
      <c r="C1935" t="s">
        <v>369</v>
      </c>
      <c r="D1935" t="s">
        <v>33</v>
      </c>
      <c r="E1935">
        <v>395.01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599.98050000000001</v>
      </c>
      <c r="L1935">
        <v>0</v>
      </c>
      <c r="M1935">
        <v>0</v>
      </c>
      <c r="N1935">
        <v>610.5</v>
      </c>
      <c r="O1935">
        <v>628.23199999999997</v>
      </c>
      <c r="P1935">
        <v>418.65050000000002</v>
      </c>
      <c r="R1935">
        <v>418.649</v>
      </c>
    </row>
    <row r="1936" spans="1:18" hidden="1" x14ac:dyDescent="0.25">
      <c r="A1936" t="s">
        <v>2065</v>
      </c>
      <c r="B1936" t="s">
        <v>333</v>
      </c>
      <c r="C1936" t="s">
        <v>369</v>
      </c>
      <c r="D1936" t="s">
        <v>35</v>
      </c>
      <c r="E1936">
        <v>727.32</v>
      </c>
      <c r="F1936">
        <v>0</v>
      </c>
      <c r="G1936">
        <v>0</v>
      </c>
      <c r="H1936">
        <v>0</v>
      </c>
      <c r="I1936">
        <v>830.28</v>
      </c>
      <c r="J1936">
        <v>0</v>
      </c>
      <c r="K1936">
        <v>0</v>
      </c>
      <c r="L1936">
        <v>0</v>
      </c>
      <c r="M1936">
        <v>0</v>
      </c>
      <c r="N1936">
        <v>836.38499999999999</v>
      </c>
      <c r="O1936">
        <v>983.60900000000004</v>
      </c>
      <c r="P1936">
        <v>724.02949999999998</v>
      </c>
      <c r="R1936">
        <v>724.03099999999995</v>
      </c>
    </row>
    <row r="1937" spans="1:18" hidden="1" x14ac:dyDescent="0.25">
      <c r="A1937" t="s">
        <v>2066</v>
      </c>
      <c r="B1937" t="s">
        <v>333</v>
      </c>
      <c r="C1937" t="s">
        <v>378</v>
      </c>
      <c r="D1937" t="s">
        <v>21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R1937">
        <v>0</v>
      </c>
    </row>
    <row r="1938" spans="1:18" hidden="1" x14ac:dyDescent="0.25">
      <c r="A1938" t="s">
        <v>2067</v>
      </c>
      <c r="B1938" t="s">
        <v>333</v>
      </c>
      <c r="C1938" t="s">
        <v>378</v>
      </c>
      <c r="D1938" t="s">
        <v>23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316.22980000000001</v>
      </c>
      <c r="R1938">
        <v>316.22800000000001</v>
      </c>
    </row>
    <row r="1939" spans="1:18" hidden="1" x14ac:dyDescent="0.25">
      <c r="A1939" t="s">
        <v>2068</v>
      </c>
      <c r="B1939" t="s">
        <v>333</v>
      </c>
      <c r="C1939" t="s">
        <v>378</v>
      </c>
      <c r="D1939" t="s">
        <v>25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318.74810000000002</v>
      </c>
      <c r="R1939">
        <v>318.74700000000001</v>
      </c>
    </row>
    <row r="1940" spans="1:18" hidden="1" x14ac:dyDescent="0.25">
      <c r="A1940" t="s">
        <v>2069</v>
      </c>
      <c r="B1940" t="s">
        <v>333</v>
      </c>
      <c r="C1940" t="s">
        <v>378</v>
      </c>
      <c r="D1940" t="s">
        <v>27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469.6474</v>
      </c>
      <c r="R1940">
        <v>469.64499999999998</v>
      </c>
    </row>
    <row r="1941" spans="1:18" hidden="1" x14ac:dyDescent="0.25">
      <c r="A1941" t="s">
        <v>2070</v>
      </c>
      <c r="B1941" t="s">
        <v>333</v>
      </c>
      <c r="C1941" t="s">
        <v>378</v>
      </c>
      <c r="D1941" t="s">
        <v>29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186.1438</v>
      </c>
      <c r="R1941">
        <v>186.142</v>
      </c>
    </row>
    <row r="1942" spans="1:18" hidden="1" x14ac:dyDescent="0.25">
      <c r="A1942" t="s">
        <v>2071</v>
      </c>
      <c r="B1942" t="s">
        <v>333</v>
      </c>
      <c r="C1942" t="s">
        <v>378</v>
      </c>
      <c r="D1942" t="s">
        <v>31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271.2527</v>
      </c>
      <c r="R1942">
        <v>271.24900000000002</v>
      </c>
    </row>
    <row r="1943" spans="1:18" hidden="1" x14ac:dyDescent="0.25">
      <c r="A1943" t="s">
        <v>2072</v>
      </c>
      <c r="B1943" t="s">
        <v>333</v>
      </c>
      <c r="C1943" t="s">
        <v>378</v>
      </c>
      <c r="D1943" t="s">
        <v>33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280.1687</v>
      </c>
      <c r="R1943">
        <v>280.17</v>
      </c>
    </row>
    <row r="1944" spans="1:18" hidden="1" x14ac:dyDescent="0.25">
      <c r="A1944" t="s">
        <v>2073</v>
      </c>
      <c r="B1944" t="s">
        <v>333</v>
      </c>
      <c r="C1944" t="s">
        <v>378</v>
      </c>
      <c r="D1944" t="s">
        <v>35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470.77600000000001</v>
      </c>
      <c r="R1944">
        <v>470.77800000000002</v>
      </c>
    </row>
    <row r="1945" spans="1:18" hidden="1" x14ac:dyDescent="0.25">
      <c r="A1945" t="s">
        <v>2074</v>
      </c>
      <c r="B1945" t="s">
        <v>333</v>
      </c>
      <c r="C1945" t="s">
        <v>387</v>
      </c>
      <c r="D1945" t="s">
        <v>21</v>
      </c>
      <c r="E1945">
        <v>177.04499999999999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121.2435</v>
      </c>
      <c r="L1945">
        <v>0</v>
      </c>
      <c r="M1945">
        <v>0</v>
      </c>
      <c r="N1945">
        <v>122.1</v>
      </c>
      <c r="O1945">
        <v>196.988</v>
      </c>
      <c r="P1945">
        <v>0</v>
      </c>
      <c r="R1945">
        <v>0</v>
      </c>
    </row>
    <row r="1946" spans="1:18" hidden="1" x14ac:dyDescent="0.25">
      <c r="A1946" t="s">
        <v>2075</v>
      </c>
      <c r="B1946" t="s">
        <v>333</v>
      </c>
      <c r="C1946" t="s">
        <v>387</v>
      </c>
      <c r="D1946" t="s">
        <v>23</v>
      </c>
      <c r="E1946">
        <v>323.565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183.42449999999999</v>
      </c>
      <c r="L1946">
        <v>0</v>
      </c>
      <c r="M1946">
        <v>0</v>
      </c>
      <c r="N1946">
        <v>183.15</v>
      </c>
      <c r="O1946">
        <v>332.75</v>
      </c>
      <c r="P1946">
        <v>179.87379999999999</v>
      </c>
      <c r="R1946">
        <v>179.87200000000001</v>
      </c>
    </row>
    <row r="1947" spans="1:18" hidden="1" x14ac:dyDescent="0.25">
      <c r="A1947" t="s">
        <v>2076</v>
      </c>
      <c r="B1947" t="s">
        <v>333</v>
      </c>
      <c r="C1947" t="s">
        <v>387</v>
      </c>
      <c r="D1947" t="s">
        <v>25</v>
      </c>
      <c r="E1947">
        <v>335.77499999999998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199.28739999999999</v>
      </c>
      <c r="L1947">
        <v>0</v>
      </c>
      <c r="M1947">
        <v>0</v>
      </c>
      <c r="N1947">
        <v>195.36</v>
      </c>
      <c r="O1947">
        <v>379.33499999999998</v>
      </c>
      <c r="P1947">
        <v>192.11279999999999</v>
      </c>
      <c r="R1947">
        <v>192.11500000000001</v>
      </c>
    </row>
    <row r="1948" spans="1:18" hidden="1" x14ac:dyDescent="0.25">
      <c r="A1948" t="s">
        <v>2077</v>
      </c>
      <c r="B1948" t="s">
        <v>333</v>
      </c>
      <c r="C1948" t="s">
        <v>387</v>
      </c>
      <c r="D1948" t="s">
        <v>27</v>
      </c>
      <c r="E1948">
        <v>482.29500000000002</v>
      </c>
      <c r="F1948">
        <v>0</v>
      </c>
      <c r="G1948">
        <v>0</v>
      </c>
      <c r="H1948">
        <v>0</v>
      </c>
      <c r="I1948">
        <v>262.51499999999999</v>
      </c>
      <c r="J1948">
        <v>0</v>
      </c>
      <c r="K1948">
        <v>0</v>
      </c>
      <c r="L1948">
        <v>0</v>
      </c>
      <c r="M1948">
        <v>0</v>
      </c>
      <c r="N1948">
        <v>256.41000000000003</v>
      </c>
      <c r="O1948">
        <v>407.286</v>
      </c>
      <c r="P1948">
        <v>251.33860000000001</v>
      </c>
      <c r="R1948">
        <v>251.339</v>
      </c>
    </row>
    <row r="1949" spans="1:18" hidden="1" x14ac:dyDescent="0.25">
      <c r="A1949" t="s">
        <v>2078</v>
      </c>
      <c r="B1949" t="s">
        <v>333</v>
      </c>
      <c r="C1949" t="s">
        <v>387</v>
      </c>
      <c r="D1949" t="s">
        <v>29</v>
      </c>
      <c r="E1949">
        <v>189.255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146.42779999999999</v>
      </c>
      <c r="L1949">
        <v>0</v>
      </c>
      <c r="M1949">
        <v>0</v>
      </c>
      <c r="N1949">
        <v>146.52000000000001</v>
      </c>
      <c r="O1949">
        <v>232.92500000000001</v>
      </c>
      <c r="P1949">
        <v>144.31030000000001</v>
      </c>
      <c r="R1949">
        <v>144.309</v>
      </c>
    </row>
    <row r="1950" spans="1:18" hidden="1" x14ac:dyDescent="0.25">
      <c r="A1950" t="s">
        <v>2079</v>
      </c>
      <c r="B1950" t="s">
        <v>333</v>
      </c>
      <c r="C1950" t="s">
        <v>387</v>
      </c>
      <c r="D1950" t="s">
        <v>31</v>
      </c>
      <c r="E1950">
        <v>274.72500000000002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179.1011</v>
      </c>
      <c r="L1950">
        <v>0</v>
      </c>
      <c r="M1950">
        <v>0</v>
      </c>
      <c r="N1950">
        <v>177.04499999999999</v>
      </c>
      <c r="O1950">
        <v>259.54500000000002</v>
      </c>
      <c r="P1950">
        <v>167.3972</v>
      </c>
      <c r="R1950">
        <v>167.398</v>
      </c>
    </row>
    <row r="1951" spans="1:18" hidden="1" x14ac:dyDescent="0.25">
      <c r="A1951" t="s">
        <v>2080</v>
      </c>
      <c r="B1951" t="s">
        <v>333</v>
      </c>
      <c r="C1951" t="s">
        <v>387</v>
      </c>
      <c r="D1951" t="s">
        <v>33</v>
      </c>
      <c r="E1951">
        <v>286.935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168.82429999999999</v>
      </c>
      <c r="L1951">
        <v>0</v>
      </c>
      <c r="M1951">
        <v>0</v>
      </c>
      <c r="N1951">
        <v>164.83500000000001</v>
      </c>
      <c r="O1951">
        <v>279.51</v>
      </c>
      <c r="P1951">
        <v>162.3554</v>
      </c>
      <c r="R1951">
        <v>162.36000000000001</v>
      </c>
    </row>
    <row r="1952" spans="1:18" hidden="1" x14ac:dyDescent="0.25">
      <c r="A1952" t="s">
        <v>2081</v>
      </c>
      <c r="B1952" t="s">
        <v>333</v>
      </c>
      <c r="C1952" t="s">
        <v>387</v>
      </c>
      <c r="D1952" t="s">
        <v>35</v>
      </c>
      <c r="E1952">
        <v>488.4</v>
      </c>
      <c r="F1952">
        <v>0</v>
      </c>
      <c r="G1952">
        <v>0</v>
      </c>
      <c r="H1952">
        <v>0</v>
      </c>
      <c r="I1952">
        <v>262.51499999999999</v>
      </c>
      <c r="J1952">
        <v>0</v>
      </c>
      <c r="K1952">
        <v>0</v>
      </c>
      <c r="L1952">
        <v>0</v>
      </c>
      <c r="M1952">
        <v>0</v>
      </c>
      <c r="N1952">
        <v>268.62</v>
      </c>
      <c r="O1952">
        <v>424.589</v>
      </c>
      <c r="P1952">
        <v>263.44029999999998</v>
      </c>
      <c r="R1952">
        <v>263.43900000000002</v>
      </c>
    </row>
    <row r="1953" spans="1:18" hidden="1" x14ac:dyDescent="0.25">
      <c r="A1953" t="s">
        <v>2082</v>
      </c>
      <c r="B1953" t="s">
        <v>333</v>
      </c>
      <c r="C1953" t="s">
        <v>396</v>
      </c>
      <c r="D1953" t="s">
        <v>21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R1953">
        <v>0</v>
      </c>
    </row>
    <row r="1954" spans="1:18" hidden="1" x14ac:dyDescent="0.25">
      <c r="A1954" t="s">
        <v>2083</v>
      </c>
      <c r="B1954" t="s">
        <v>333</v>
      </c>
      <c r="C1954" t="s">
        <v>396</v>
      </c>
      <c r="D1954" t="s">
        <v>23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230.53540000000001</v>
      </c>
      <c r="R1954">
        <v>230.53800000000001</v>
      </c>
    </row>
    <row r="1955" spans="1:18" hidden="1" x14ac:dyDescent="0.25">
      <c r="A1955" t="s">
        <v>2084</v>
      </c>
      <c r="B1955" t="s">
        <v>333</v>
      </c>
      <c r="C1955" t="s">
        <v>396</v>
      </c>
      <c r="D1955" t="s">
        <v>25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235.261</v>
      </c>
      <c r="R1955">
        <v>235.25700000000001</v>
      </c>
    </row>
    <row r="1956" spans="1:18" hidden="1" x14ac:dyDescent="0.25">
      <c r="A1956" t="s">
        <v>2085</v>
      </c>
      <c r="B1956" t="s">
        <v>333</v>
      </c>
      <c r="C1956" t="s">
        <v>396</v>
      </c>
      <c r="D1956" t="s">
        <v>27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501.66269999999997</v>
      </c>
      <c r="N1956">
        <v>0</v>
      </c>
      <c r="O1956">
        <v>0</v>
      </c>
      <c r="P1956">
        <v>320.53750000000002</v>
      </c>
      <c r="R1956">
        <v>320.54000000000002</v>
      </c>
    </row>
    <row r="1957" spans="1:18" hidden="1" x14ac:dyDescent="0.25">
      <c r="A1957" t="s">
        <v>2086</v>
      </c>
      <c r="B1957" t="s">
        <v>333</v>
      </c>
      <c r="C1957" t="s">
        <v>396</v>
      </c>
      <c r="D1957" t="s">
        <v>29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176.37270000000001</v>
      </c>
      <c r="R1957">
        <v>176.374</v>
      </c>
    </row>
    <row r="1958" spans="1:18" hidden="1" x14ac:dyDescent="0.25">
      <c r="A1958" t="s">
        <v>2087</v>
      </c>
      <c r="B1958" t="s">
        <v>333</v>
      </c>
      <c r="C1958" t="s">
        <v>396</v>
      </c>
      <c r="D1958" t="s">
        <v>31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205.4546</v>
      </c>
      <c r="R1958">
        <v>205.458</v>
      </c>
    </row>
    <row r="1959" spans="1:18" hidden="1" x14ac:dyDescent="0.25">
      <c r="A1959" t="s">
        <v>2088</v>
      </c>
      <c r="B1959" t="s">
        <v>333</v>
      </c>
      <c r="C1959" t="s">
        <v>396</v>
      </c>
      <c r="D1959" t="s">
        <v>33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207.0215</v>
      </c>
      <c r="R1959">
        <v>207.02</v>
      </c>
    </row>
    <row r="1960" spans="1:18" hidden="1" x14ac:dyDescent="0.25">
      <c r="A1960" t="s">
        <v>2089</v>
      </c>
      <c r="B1960" t="s">
        <v>333</v>
      </c>
      <c r="C1960" t="s">
        <v>396</v>
      </c>
      <c r="D1960" t="s">
        <v>35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533.63969999999995</v>
      </c>
      <c r="N1960">
        <v>0</v>
      </c>
      <c r="O1960">
        <v>0</v>
      </c>
      <c r="P1960">
        <v>337.74239999999998</v>
      </c>
      <c r="R1960">
        <v>337.74400000000003</v>
      </c>
    </row>
    <row r="1961" spans="1:18" hidden="1" x14ac:dyDescent="0.25">
      <c r="A1961" t="s">
        <v>2090</v>
      </c>
      <c r="B1961" t="s">
        <v>333</v>
      </c>
      <c r="C1961" t="s">
        <v>405</v>
      </c>
      <c r="D1961" t="s">
        <v>21</v>
      </c>
      <c r="E1961">
        <v>327.22800000000001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115.3372</v>
      </c>
      <c r="L1961">
        <v>0</v>
      </c>
      <c r="M1961">
        <v>0</v>
      </c>
      <c r="N1961">
        <v>115.995</v>
      </c>
      <c r="O1961">
        <v>190.333</v>
      </c>
      <c r="P1961">
        <v>0</v>
      </c>
      <c r="Q1961">
        <v>0</v>
      </c>
      <c r="R1961">
        <v>0</v>
      </c>
    </row>
    <row r="1962" spans="1:18" hidden="1" x14ac:dyDescent="0.25">
      <c r="A1962" t="s">
        <v>2091</v>
      </c>
      <c r="B1962" t="s">
        <v>333</v>
      </c>
      <c r="C1962" t="s">
        <v>405</v>
      </c>
      <c r="D1962" t="s">
        <v>23</v>
      </c>
      <c r="E1962">
        <v>467.64299999999997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171.61199999999999</v>
      </c>
      <c r="L1962">
        <v>0</v>
      </c>
      <c r="M1962">
        <v>0</v>
      </c>
      <c r="N1962">
        <v>170.94</v>
      </c>
      <c r="O1962">
        <v>326.09500000000003</v>
      </c>
      <c r="P1962">
        <v>168.36199999999999</v>
      </c>
      <c r="Q1962">
        <v>0</v>
      </c>
      <c r="R1962">
        <v>168.36600000000001</v>
      </c>
    </row>
    <row r="1963" spans="1:18" hidden="1" x14ac:dyDescent="0.25">
      <c r="A1963" t="s">
        <v>2092</v>
      </c>
      <c r="B1963" t="s">
        <v>333</v>
      </c>
      <c r="C1963" t="s">
        <v>405</v>
      </c>
      <c r="D1963" t="s">
        <v>25</v>
      </c>
      <c r="E1963">
        <v>500.61</v>
      </c>
      <c r="F1963">
        <v>0</v>
      </c>
      <c r="G1963">
        <v>249.26</v>
      </c>
      <c r="H1963">
        <v>0</v>
      </c>
      <c r="I1963">
        <v>0</v>
      </c>
      <c r="J1963">
        <v>0</v>
      </c>
      <c r="K1963">
        <v>193.3296</v>
      </c>
      <c r="L1963">
        <v>0</v>
      </c>
      <c r="M1963">
        <v>0</v>
      </c>
      <c r="N1963">
        <v>183.15</v>
      </c>
      <c r="O1963">
        <v>356.70800000000003</v>
      </c>
      <c r="P1963">
        <v>179.5728</v>
      </c>
      <c r="Q1963">
        <v>0</v>
      </c>
      <c r="R1963">
        <v>179.57499999999999</v>
      </c>
    </row>
    <row r="1964" spans="1:18" hidden="1" x14ac:dyDescent="0.25">
      <c r="A1964" t="s">
        <v>2093</v>
      </c>
      <c r="B1964" t="s">
        <v>333</v>
      </c>
      <c r="C1964" t="s">
        <v>405</v>
      </c>
      <c r="D1964" t="s">
        <v>27</v>
      </c>
      <c r="E1964">
        <v>617.82600000000002</v>
      </c>
      <c r="F1964">
        <v>0</v>
      </c>
      <c r="G1964">
        <v>360.58</v>
      </c>
      <c r="H1964">
        <v>302.5</v>
      </c>
      <c r="I1964">
        <v>256.41000000000003</v>
      </c>
      <c r="J1964">
        <v>0</v>
      </c>
      <c r="K1964">
        <v>0</v>
      </c>
      <c r="L1964">
        <v>0</v>
      </c>
      <c r="M1964">
        <v>0</v>
      </c>
      <c r="N1964">
        <v>244.2</v>
      </c>
      <c r="O1964">
        <v>379.33499999999998</v>
      </c>
      <c r="P1964">
        <v>240.89340000000001</v>
      </c>
      <c r="Q1964">
        <v>0</v>
      </c>
      <c r="R1964">
        <v>240.88900000000001</v>
      </c>
    </row>
    <row r="1965" spans="1:18" hidden="1" x14ac:dyDescent="0.25">
      <c r="A1965" t="s">
        <v>2094</v>
      </c>
      <c r="B1965" t="s">
        <v>333</v>
      </c>
      <c r="C1965" t="s">
        <v>405</v>
      </c>
      <c r="D1965" t="s">
        <v>29</v>
      </c>
      <c r="E1965">
        <v>340.65899999999999</v>
      </c>
      <c r="F1965">
        <v>123.75</v>
      </c>
      <c r="G1965">
        <v>0</v>
      </c>
      <c r="H1965">
        <v>0</v>
      </c>
      <c r="I1965">
        <v>0</v>
      </c>
      <c r="J1965">
        <v>0</v>
      </c>
      <c r="K1965">
        <v>122.8028</v>
      </c>
      <c r="L1965">
        <v>0</v>
      </c>
      <c r="M1965">
        <v>0</v>
      </c>
      <c r="N1965">
        <v>122.1</v>
      </c>
      <c r="O1965">
        <v>240.911</v>
      </c>
      <c r="P1965">
        <v>120.44670000000001</v>
      </c>
      <c r="Q1965">
        <v>123.75</v>
      </c>
      <c r="R1965">
        <v>120.45</v>
      </c>
    </row>
    <row r="1966" spans="1:18" hidden="1" x14ac:dyDescent="0.25">
      <c r="A1966" t="s">
        <v>2095</v>
      </c>
      <c r="B1966" t="s">
        <v>333</v>
      </c>
      <c r="C1966" t="s">
        <v>405</v>
      </c>
      <c r="D1966" t="s">
        <v>31</v>
      </c>
      <c r="E1966">
        <v>382.173</v>
      </c>
      <c r="F1966">
        <v>152.21799999999999</v>
      </c>
      <c r="G1966">
        <v>0</v>
      </c>
      <c r="H1966">
        <v>0</v>
      </c>
      <c r="I1966">
        <v>0</v>
      </c>
      <c r="J1966">
        <v>0</v>
      </c>
      <c r="K1966">
        <v>143.6636</v>
      </c>
      <c r="L1966">
        <v>0</v>
      </c>
      <c r="M1966">
        <v>0</v>
      </c>
      <c r="N1966">
        <v>140.41499999999999</v>
      </c>
      <c r="O1966">
        <v>264.86900000000003</v>
      </c>
      <c r="P1966">
        <v>138.49180000000001</v>
      </c>
      <c r="Q1966">
        <v>152.21799999999999</v>
      </c>
      <c r="R1966">
        <v>138.49</v>
      </c>
    </row>
    <row r="1967" spans="1:18" hidden="1" x14ac:dyDescent="0.25">
      <c r="A1967" t="s">
        <v>2096</v>
      </c>
      <c r="B1967" t="s">
        <v>333</v>
      </c>
      <c r="C1967" t="s">
        <v>405</v>
      </c>
      <c r="D1967" t="s">
        <v>33</v>
      </c>
      <c r="E1967">
        <v>416.36099999999999</v>
      </c>
      <c r="F1967">
        <v>198</v>
      </c>
      <c r="G1967">
        <v>0</v>
      </c>
      <c r="H1967">
        <v>0</v>
      </c>
      <c r="I1967">
        <v>0</v>
      </c>
      <c r="J1967">
        <v>0</v>
      </c>
      <c r="K1967">
        <v>152.334</v>
      </c>
      <c r="L1967">
        <v>0</v>
      </c>
      <c r="M1967">
        <v>0</v>
      </c>
      <c r="N1967">
        <v>152.625</v>
      </c>
      <c r="O1967">
        <v>280.84100000000001</v>
      </c>
      <c r="P1967">
        <v>145.41380000000001</v>
      </c>
      <c r="Q1967">
        <v>198</v>
      </c>
      <c r="R1967">
        <v>145.40899999999999</v>
      </c>
    </row>
    <row r="1968" spans="1:18" hidden="1" x14ac:dyDescent="0.25">
      <c r="A1968" t="s">
        <v>2097</v>
      </c>
      <c r="B1968" t="s">
        <v>333</v>
      </c>
      <c r="C1968" t="s">
        <v>405</v>
      </c>
      <c r="D1968" t="s">
        <v>35</v>
      </c>
      <c r="E1968">
        <v>659.34</v>
      </c>
      <c r="F1968">
        <v>0</v>
      </c>
      <c r="G1968">
        <v>372.68</v>
      </c>
      <c r="H1968">
        <v>302.5</v>
      </c>
      <c r="I1968">
        <v>256.41000000000003</v>
      </c>
      <c r="J1968">
        <v>0</v>
      </c>
      <c r="K1968">
        <v>0</v>
      </c>
      <c r="L1968">
        <v>0</v>
      </c>
      <c r="M1968">
        <v>0</v>
      </c>
      <c r="N1968">
        <v>256.41000000000003</v>
      </c>
      <c r="O1968">
        <v>393.976</v>
      </c>
      <c r="P1968">
        <v>251.42830000000001</v>
      </c>
      <c r="Q1968">
        <v>0</v>
      </c>
      <c r="R1968">
        <v>251.42699999999999</v>
      </c>
    </row>
    <row r="1969" spans="1:18" hidden="1" x14ac:dyDescent="0.25">
      <c r="A1969" t="s">
        <v>2098</v>
      </c>
      <c r="B1969" t="s">
        <v>333</v>
      </c>
      <c r="C1969" t="s">
        <v>414</v>
      </c>
      <c r="D1969" t="s">
        <v>21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R1969">
        <v>0</v>
      </c>
    </row>
    <row r="1970" spans="1:18" hidden="1" x14ac:dyDescent="0.25">
      <c r="A1970" t="s">
        <v>2099</v>
      </c>
      <c r="B1970" t="s">
        <v>333</v>
      </c>
      <c r="C1970" t="s">
        <v>414</v>
      </c>
      <c r="D1970" t="s">
        <v>23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188.49969999999999</v>
      </c>
      <c r="R1970">
        <v>188.49600000000001</v>
      </c>
    </row>
    <row r="1971" spans="1:18" hidden="1" x14ac:dyDescent="0.25">
      <c r="A1971" t="s">
        <v>2100</v>
      </c>
      <c r="B1971" t="s">
        <v>333</v>
      </c>
      <c r="C1971" t="s">
        <v>414</v>
      </c>
      <c r="D1971" t="s">
        <v>25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197.00210000000001</v>
      </c>
      <c r="R1971">
        <v>196.999</v>
      </c>
    </row>
    <row r="1972" spans="1:18" hidden="1" x14ac:dyDescent="0.25">
      <c r="A1972" t="s">
        <v>2101</v>
      </c>
      <c r="B1972" t="s">
        <v>333</v>
      </c>
      <c r="C1972" t="s">
        <v>414</v>
      </c>
      <c r="D1972" t="s">
        <v>27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269.61149999999998</v>
      </c>
      <c r="R1972">
        <v>269.61</v>
      </c>
    </row>
    <row r="1973" spans="1:18" hidden="1" x14ac:dyDescent="0.25">
      <c r="A1973" t="s">
        <v>2102</v>
      </c>
      <c r="B1973" t="s">
        <v>333</v>
      </c>
      <c r="C1973" t="s">
        <v>414</v>
      </c>
      <c r="D1973" t="s">
        <v>29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132.68889999999999</v>
      </c>
      <c r="R1973">
        <v>132.69300000000001</v>
      </c>
    </row>
    <row r="1974" spans="1:18" hidden="1" x14ac:dyDescent="0.25">
      <c r="A1974" t="s">
        <v>2103</v>
      </c>
      <c r="B1974" t="s">
        <v>333</v>
      </c>
      <c r="C1974" t="s">
        <v>414</v>
      </c>
      <c r="D1974" t="s">
        <v>31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148.7637</v>
      </c>
      <c r="R1974">
        <v>148.76400000000001</v>
      </c>
    </row>
    <row r="1975" spans="1:18" hidden="1" x14ac:dyDescent="0.25">
      <c r="A1975" t="s">
        <v>2104</v>
      </c>
      <c r="B1975" t="s">
        <v>333</v>
      </c>
      <c r="C1975" t="s">
        <v>414</v>
      </c>
      <c r="D1975" t="s">
        <v>33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165.13720000000001</v>
      </c>
      <c r="R1975">
        <v>165.13200000000001</v>
      </c>
    </row>
    <row r="1976" spans="1:18" hidden="1" x14ac:dyDescent="0.25">
      <c r="A1976" t="s">
        <v>2105</v>
      </c>
      <c r="B1976" t="s">
        <v>333</v>
      </c>
      <c r="C1976" t="s">
        <v>414</v>
      </c>
      <c r="D1976" t="s">
        <v>35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279.89429999999999</v>
      </c>
      <c r="R1976">
        <v>279.89499999999998</v>
      </c>
    </row>
    <row r="1977" spans="1:18" hidden="1" x14ac:dyDescent="0.25">
      <c r="A1977" t="s">
        <v>2106</v>
      </c>
      <c r="B1977" t="s">
        <v>333</v>
      </c>
      <c r="C1977" t="s">
        <v>423</v>
      </c>
      <c r="D1977" t="s">
        <v>21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R1977">
        <v>0</v>
      </c>
    </row>
    <row r="1978" spans="1:18" hidden="1" x14ac:dyDescent="0.25">
      <c r="A1978" t="s">
        <v>2107</v>
      </c>
      <c r="B1978" t="s">
        <v>333</v>
      </c>
      <c r="C1978" t="s">
        <v>423</v>
      </c>
      <c r="D1978" t="s">
        <v>23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287.99360000000001</v>
      </c>
      <c r="R1978">
        <v>287.99099999999999</v>
      </c>
    </row>
    <row r="1979" spans="1:18" hidden="1" x14ac:dyDescent="0.25">
      <c r="A1979" t="s">
        <v>2108</v>
      </c>
      <c r="B1979" t="s">
        <v>333</v>
      </c>
      <c r="C1979" t="s">
        <v>423</v>
      </c>
      <c r="D1979" t="s">
        <v>25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303.59339999999997</v>
      </c>
      <c r="R1979">
        <v>303.589</v>
      </c>
    </row>
    <row r="1980" spans="1:18" hidden="1" x14ac:dyDescent="0.25">
      <c r="A1980" t="s">
        <v>2109</v>
      </c>
      <c r="B1980" t="s">
        <v>333</v>
      </c>
      <c r="C1980" t="s">
        <v>423</v>
      </c>
      <c r="D1980" t="s">
        <v>27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572.13750000000005</v>
      </c>
      <c r="N1980">
        <v>0</v>
      </c>
      <c r="O1980">
        <v>0</v>
      </c>
      <c r="P1980">
        <v>422.27199999999999</v>
      </c>
      <c r="R1980">
        <v>422.26799999999997</v>
      </c>
    </row>
    <row r="1981" spans="1:18" hidden="1" x14ac:dyDescent="0.25">
      <c r="A1981" t="s">
        <v>2110</v>
      </c>
      <c r="B1981" t="s">
        <v>333</v>
      </c>
      <c r="C1981" t="s">
        <v>423</v>
      </c>
      <c r="D1981" t="s">
        <v>29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194.57060000000001</v>
      </c>
      <c r="R1981">
        <v>194.56800000000001</v>
      </c>
    </row>
    <row r="1982" spans="1:18" hidden="1" x14ac:dyDescent="0.25">
      <c r="A1982" t="s">
        <v>2111</v>
      </c>
      <c r="B1982" t="s">
        <v>333</v>
      </c>
      <c r="C1982" t="s">
        <v>423</v>
      </c>
      <c r="D1982" t="s">
        <v>31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221.6696</v>
      </c>
      <c r="R1982">
        <v>221.672</v>
      </c>
    </row>
    <row r="1983" spans="1:18" hidden="1" x14ac:dyDescent="0.25">
      <c r="A1983" t="s">
        <v>2112</v>
      </c>
      <c r="B1983" t="s">
        <v>333</v>
      </c>
      <c r="C1983" t="s">
        <v>423</v>
      </c>
      <c r="D1983" t="s">
        <v>33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248.14150000000001</v>
      </c>
      <c r="R1983">
        <v>248.13800000000001</v>
      </c>
    </row>
    <row r="1984" spans="1:18" hidden="1" x14ac:dyDescent="0.25">
      <c r="A1984" t="s">
        <v>2113</v>
      </c>
      <c r="B1984" t="s">
        <v>333</v>
      </c>
      <c r="C1984" t="s">
        <v>423</v>
      </c>
      <c r="D1984" t="s">
        <v>35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604.11450000000002</v>
      </c>
      <c r="N1984">
        <v>0</v>
      </c>
      <c r="O1984">
        <v>0</v>
      </c>
      <c r="P1984">
        <v>437.57080000000002</v>
      </c>
      <c r="R1984">
        <v>437.56900000000002</v>
      </c>
    </row>
    <row r="1985" spans="1:18" hidden="1" x14ac:dyDescent="0.25">
      <c r="A1985" t="s">
        <v>2114</v>
      </c>
      <c r="B1985" t="s">
        <v>333</v>
      </c>
      <c r="C1985" t="s">
        <v>432</v>
      </c>
      <c r="D1985" t="s">
        <v>21</v>
      </c>
      <c r="E1985">
        <v>305.25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117.4162</v>
      </c>
      <c r="L1985">
        <v>0</v>
      </c>
      <c r="M1985">
        <v>0</v>
      </c>
      <c r="N1985">
        <v>109.89</v>
      </c>
      <c r="O1985">
        <v>146.41</v>
      </c>
      <c r="P1985">
        <v>0</v>
      </c>
      <c r="Q1985">
        <v>0</v>
      </c>
      <c r="R1985">
        <v>0</v>
      </c>
    </row>
    <row r="1986" spans="1:18" hidden="1" x14ac:dyDescent="0.25">
      <c r="A1986" t="s">
        <v>2115</v>
      </c>
      <c r="B1986" t="s">
        <v>333</v>
      </c>
      <c r="C1986" t="s">
        <v>432</v>
      </c>
      <c r="D1986" t="s">
        <v>23</v>
      </c>
      <c r="E1986">
        <v>439.56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213.09370000000001</v>
      </c>
      <c r="L1986">
        <v>0</v>
      </c>
      <c r="M1986">
        <v>0</v>
      </c>
      <c r="N1986">
        <v>170.94</v>
      </c>
      <c r="O1986">
        <v>206.30500000000001</v>
      </c>
      <c r="P1986">
        <v>177.5915</v>
      </c>
      <c r="Q1986">
        <v>0</v>
      </c>
      <c r="R1986">
        <v>177.595</v>
      </c>
    </row>
    <row r="1987" spans="1:18" hidden="1" x14ac:dyDescent="0.25">
      <c r="A1987" t="s">
        <v>2116</v>
      </c>
      <c r="B1987" t="s">
        <v>333</v>
      </c>
      <c r="C1987" t="s">
        <v>432</v>
      </c>
      <c r="D1987" t="s">
        <v>25</v>
      </c>
      <c r="E1987">
        <v>457.875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224.21250000000001</v>
      </c>
      <c r="L1987">
        <v>0</v>
      </c>
      <c r="M1987">
        <v>0</v>
      </c>
      <c r="N1987">
        <v>195.36</v>
      </c>
      <c r="O1987">
        <v>218.28399999999999</v>
      </c>
      <c r="P1987">
        <v>199.57409999999999</v>
      </c>
      <c r="Q1987">
        <v>0</v>
      </c>
      <c r="R1987">
        <v>199.57300000000001</v>
      </c>
    </row>
    <row r="1988" spans="1:18" hidden="1" x14ac:dyDescent="0.25">
      <c r="A1988" t="s">
        <v>2117</v>
      </c>
      <c r="B1988" t="s">
        <v>333</v>
      </c>
      <c r="C1988" t="s">
        <v>432</v>
      </c>
      <c r="D1988" t="s">
        <v>27</v>
      </c>
      <c r="E1988">
        <v>752.13599999999997</v>
      </c>
      <c r="F1988">
        <v>0</v>
      </c>
      <c r="G1988">
        <v>0</v>
      </c>
      <c r="H1988">
        <v>0</v>
      </c>
      <c r="I1988">
        <v>268.62</v>
      </c>
      <c r="J1988">
        <v>0</v>
      </c>
      <c r="K1988">
        <v>0</v>
      </c>
      <c r="L1988">
        <v>0</v>
      </c>
      <c r="M1988">
        <v>0</v>
      </c>
      <c r="N1988">
        <v>244.2</v>
      </c>
      <c r="O1988">
        <v>234.256</v>
      </c>
      <c r="P1988">
        <v>235.48769999999999</v>
      </c>
      <c r="Q1988">
        <v>0</v>
      </c>
      <c r="R1988">
        <v>235.488</v>
      </c>
    </row>
    <row r="1989" spans="1:18" hidden="1" x14ac:dyDescent="0.25">
      <c r="A1989" t="s">
        <v>2118</v>
      </c>
      <c r="B1989" t="s">
        <v>333</v>
      </c>
      <c r="C1989" t="s">
        <v>432</v>
      </c>
      <c r="D1989" t="s">
        <v>29</v>
      </c>
      <c r="E1989">
        <v>136.75200000000001</v>
      </c>
      <c r="F1989">
        <v>114.95</v>
      </c>
      <c r="G1989">
        <v>0</v>
      </c>
      <c r="H1989">
        <v>0</v>
      </c>
      <c r="I1989">
        <v>0</v>
      </c>
      <c r="J1989">
        <v>0</v>
      </c>
      <c r="K1989">
        <v>123.00749999999999</v>
      </c>
      <c r="L1989">
        <v>0</v>
      </c>
      <c r="M1989">
        <v>0</v>
      </c>
      <c r="N1989">
        <v>122.1</v>
      </c>
      <c r="O1989">
        <v>155.727</v>
      </c>
      <c r="P1989">
        <v>120.44670000000001</v>
      </c>
      <c r="Q1989">
        <v>114.95</v>
      </c>
      <c r="R1989">
        <v>120.45</v>
      </c>
    </row>
    <row r="1990" spans="1:18" hidden="1" x14ac:dyDescent="0.25">
      <c r="A1990" t="s">
        <v>2119</v>
      </c>
      <c r="B1990" t="s">
        <v>333</v>
      </c>
      <c r="C1990" t="s">
        <v>432</v>
      </c>
      <c r="D1990" t="s">
        <v>31</v>
      </c>
      <c r="E1990">
        <v>366.3</v>
      </c>
      <c r="F1990">
        <v>139.15</v>
      </c>
      <c r="G1990">
        <v>0</v>
      </c>
      <c r="H1990">
        <v>0</v>
      </c>
      <c r="I1990">
        <v>0</v>
      </c>
      <c r="J1990">
        <v>0</v>
      </c>
      <c r="K1990">
        <v>163.95779999999999</v>
      </c>
      <c r="L1990">
        <v>0</v>
      </c>
      <c r="M1990">
        <v>0</v>
      </c>
      <c r="N1990">
        <v>134.31</v>
      </c>
      <c r="O1990">
        <v>166.375</v>
      </c>
      <c r="P1990">
        <v>139.44479999999999</v>
      </c>
      <c r="Q1990">
        <v>139.15</v>
      </c>
      <c r="R1990">
        <v>139.447</v>
      </c>
    </row>
    <row r="1991" spans="1:18" hidden="1" x14ac:dyDescent="0.25">
      <c r="A1991" t="s">
        <v>2120</v>
      </c>
      <c r="B1991" t="s">
        <v>333</v>
      </c>
      <c r="C1991" t="s">
        <v>432</v>
      </c>
      <c r="D1991" t="s">
        <v>33</v>
      </c>
      <c r="E1991">
        <v>353.28339999999997</v>
      </c>
      <c r="F1991">
        <v>151.25</v>
      </c>
      <c r="G1991">
        <v>151.98330000000001</v>
      </c>
      <c r="H1991">
        <v>0</v>
      </c>
      <c r="I1991">
        <v>162.16200000000001</v>
      </c>
      <c r="J1991">
        <v>0</v>
      </c>
      <c r="K1991">
        <v>150.95849999999999</v>
      </c>
      <c r="L1991">
        <v>0</v>
      </c>
      <c r="M1991">
        <v>0</v>
      </c>
      <c r="N1991">
        <v>146.52000000000001</v>
      </c>
      <c r="O1991">
        <v>186.34</v>
      </c>
      <c r="P1991">
        <v>151.98480000000001</v>
      </c>
      <c r="Q1991">
        <v>151.25</v>
      </c>
      <c r="R1991">
        <v>151.98699999999999</v>
      </c>
    </row>
    <row r="1992" spans="1:18" hidden="1" x14ac:dyDescent="0.25">
      <c r="A1992" t="s">
        <v>2121</v>
      </c>
      <c r="B1992" t="s">
        <v>333</v>
      </c>
      <c r="C1992" t="s">
        <v>432</v>
      </c>
      <c r="D1992" t="s">
        <v>35</v>
      </c>
      <c r="E1992">
        <v>791.20799999999997</v>
      </c>
      <c r="F1992">
        <v>0</v>
      </c>
      <c r="G1992">
        <v>0</v>
      </c>
      <c r="H1992">
        <v>0</v>
      </c>
      <c r="I1992">
        <v>268.62</v>
      </c>
      <c r="J1992">
        <v>0</v>
      </c>
      <c r="K1992">
        <v>0</v>
      </c>
      <c r="L1992">
        <v>0</v>
      </c>
      <c r="M1992">
        <v>0</v>
      </c>
      <c r="N1992">
        <v>268.62</v>
      </c>
      <c r="O1992">
        <v>242.24199999999999</v>
      </c>
      <c r="P1992">
        <v>242.51519999999999</v>
      </c>
      <c r="Q1992">
        <v>0</v>
      </c>
      <c r="R1992">
        <v>242.517</v>
      </c>
    </row>
    <row r="1993" spans="1:18" hidden="1" x14ac:dyDescent="0.25">
      <c r="A1993" t="s">
        <v>2122</v>
      </c>
      <c r="B1993" t="s">
        <v>333</v>
      </c>
      <c r="C1993" t="s">
        <v>441</v>
      </c>
      <c r="D1993" t="s">
        <v>21</v>
      </c>
      <c r="E1993">
        <v>132.8066</v>
      </c>
      <c r="F1993">
        <v>0</v>
      </c>
      <c r="G1993">
        <v>209.80670000000001</v>
      </c>
      <c r="H1993">
        <v>0</v>
      </c>
      <c r="I1993">
        <v>0</v>
      </c>
      <c r="J1993">
        <v>0</v>
      </c>
      <c r="K1993">
        <v>134.792</v>
      </c>
      <c r="L1993">
        <v>0</v>
      </c>
      <c r="M1993">
        <v>0</v>
      </c>
      <c r="N1993">
        <v>183.15</v>
      </c>
      <c r="O1993">
        <v>198.31899999999999</v>
      </c>
      <c r="P1993">
        <v>0</v>
      </c>
      <c r="R1993">
        <v>0</v>
      </c>
    </row>
    <row r="1994" spans="1:18" hidden="1" x14ac:dyDescent="0.25">
      <c r="A1994" t="s">
        <v>2123</v>
      </c>
      <c r="B1994" t="s">
        <v>333</v>
      </c>
      <c r="C1994" t="s">
        <v>441</v>
      </c>
      <c r="D1994" t="s">
        <v>23</v>
      </c>
      <c r="E1994">
        <v>194.33699999999999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295.64330000000001</v>
      </c>
      <c r="L1994">
        <v>0</v>
      </c>
      <c r="M1994">
        <v>0</v>
      </c>
      <c r="N1994">
        <v>244.2</v>
      </c>
      <c r="O1994">
        <v>425.92</v>
      </c>
      <c r="P1994">
        <v>200.4143</v>
      </c>
      <c r="R1994">
        <v>200.40899999999999</v>
      </c>
    </row>
    <row r="1995" spans="1:18" hidden="1" x14ac:dyDescent="0.25">
      <c r="A1995" t="s">
        <v>2124</v>
      </c>
      <c r="B1995" t="s">
        <v>333</v>
      </c>
      <c r="C1995" t="s">
        <v>441</v>
      </c>
      <c r="D1995" t="s">
        <v>25</v>
      </c>
      <c r="E1995">
        <v>209.41800000000001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323.27190000000002</v>
      </c>
      <c r="L1995">
        <v>0</v>
      </c>
      <c r="M1995">
        <v>0</v>
      </c>
      <c r="N1995">
        <v>305.25</v>
      </c>
      <c r="O1995">
        <v>439.23</v>
      </c>
      <c r="P1995">
        <v>222.73609999999999</v>
      </c>
      <c r="R1995">
        <v>222.739</v>
      </c>
    </row>
    <row r="1996" spans="1:18" hidden="1" x14ac:dyDescent="0.25">
      <c r="A1996" t="s">
        <v>2125</v>
      </c>
      <c r="B1996" t="s">
        <v>333</v>
      </c>
      <c r="C1996" t="s">
        <v>441</v>
      </c>
      <c r="D1996" t="s">
        <v>27</v>
      </c>
      <c r="E1996">
        <v>244.53</v>
      </c>
      <c r="F1996">
        <v>0</v>
      </c>
      <c r="G1996">
        <v>0</v>
      </c>
      <c r="H1996">
        <v>0</v>
      </c>
      <c r="I1996">
        <v>409.03500000000003</v>
      </c>
      <c r="J1996">
        <v>0</v>
      </c>
      <c r="K1996">
        <v>0</v>
      </c>
      <c r="L1996">
        <v>0</v>
      </c>
      <c r="M1996">
        <v>0</v>
      </c>
      <c r="N1996">
        <v>366.3</v>
      </c>
      <c r="O1996">
        <v>479.16</v>
      </c>
      <c r="P1996">
        <v>263.08920000000001</v>
      </c>
      <c r="R1996">
        <v>263.08699999999999</v>
      </c>
    </row>
    <row r="1997" spans="1:18" hidden="1" x14ac:dyDescent="0.25">
      <c r="A1997" t="s">
        <v>2126</v>
      </c>
      <c r="B1997" t="s">
        <v>333</v>
      </c>
      <c r="C1997" t="s">
        <v>441</v>
      </c>
      <c r="D1997" t="s">
        <v>29</v>
      </c>
      <c r="E1997">
        <v>137.94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122.82899999999999</v>
      </c>
      <c r="L1997">
        <v>0</v>
      </c>
      <c r="M1997">
        <v>0</v>
      </c>
      <c r="N1997">
        <v>189.255</v>
      </c>
      <c r="O1997">
        <v>266.2</v>
      </c>
      <c r="P1997">
        <v>136.9117</v>
      </c>
      <c r="R1997">
        <v>136.917</v>
      </c>
    </row>
    <row r="1998" spans="1:18" hidden="1" x14ac:dyDescent="0.25">
      <c r="A1998" t="s">
        <v>2127</v>
      </c>
      <c r="B1998" t="s">
        <v>333</v>
      </c>
      <c r="C1998" t="s">
        <v>441</v>
      </c>
      <c r="D1998" t="s">
        <v>31</v>
      </c>
      <c r="E1998">
        <v>162.16200000000001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220.44489999999999</v>
      </c>
      <c r="L1998">
        <v>0</v>
      </c>
      <c r="M1998">
        <v>0</v>
      </c>
      <c r="N1998">
        <v>207.57</v>
      </c>
      <c r="O1998">
        <v>306.13</v>
      </c>
      <c r="P1998">
        <v>169.59100000000001</v>
      </c>
      <c r="R1998">
        <v>169.58699999999999</v>
      </c>
    </row>
    <row r="1999" spans="1:18" hidden="1" x14ac:dyDescent="0.25">
      <c r="A1999" t="s">
        <v>2128</v>
      </c>
      <c r="B1999" t="s">
        <v>333</v>
      </c>
      <c r="C1999" t="s">
        <v>441</v>
      </c>
      <c r="D1999" t="s">
        <v>33</v>
      </c>
      <c r="E1999">
        <v>173.745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229.11529999999999</v>
      </c>
      <c r="L1999">
        <v>0</v>
      </c>
      <c r="M1999">
        <v>0</v>
      </c>
      <c r="N1999">
        <v>219.78</v>
      </c>
      <c r="O1999">
        <v>332.75</v>
      </c>
      <c r="P1999">
        <v>181.1403</v>
      </c>
      <c r="R1999">
        <v>181.137</v>
      </c>
    </row>
    <row r="2000" spans="1:18" hidden="1" x14ac:dyDescent="0.25">
      <c r="A2000" t="s">
        <v>2129</v>
      </c>
      <c r="B2000" t="s">
        <v>333</v>
      </c>
      <c r="C2000" t="s">
        <v>441</v>
      </c>
      <c r="D2000" t="s">
        <v>35</v>
      </c>
      <c r="E2000">
        <v>253.53899999999999</v>
      </c>
      <c r="F2000">
        <v>0</v>
      </c>
      <c r="G2000">
        <v>0</v>
      </c>
      <c r="H2000">
        <v>0</v>
      </c>
      <c r="I2000">
        <v>409.03500000000003</v>
      </c>
      <c r="J2000">
        <v>0</v>
      </c>
      <c r="K2000">
        <v>0</v>
      </c>
      <c r="L2000">
        <v>0</v>
      </c>
      <c r="M2000">
        <v>0</v>
      </c>
      <c r="N2000">
        <v>402.93</v>
      </c>
      <c r="O2000">
        <v>485.815</v>
      </c>
      <c r="P2000">
        <v>273.37920000000003</v>
      </c>
      <c r="R2000">
        <v>273.38299999999998</v>
      </c>
    </row>
    <row r="2001" spans="1:18" hidden="1" x14ac:dyDescent="0.25">
      <c r="A2001" t="s">
        <v>2130</v>
      </c>
      <c r="B2001" t="s">
        <v>333</v>
      </c>
      <c r="C2001" t="s">
        <v>450</v>
      </c>
      <c r="D2001" t="s">
        <v>21</v>
      </c>
      <c r="E2001">
        <v>180.18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239.36850000000001</v>
      </c>
      <c r="L2001">
        <v>0</v>
      </c>
      <c r="M2001">
        <v>0</v>
      </c>
      <c r="N2001">
        <v>244.2</v>
      </c>
      <c r="O2001">
        <v>437.899</v>
      </c>
      <c r="P2001">
        <v>0</v>
      </c>
      <c r="R2001">
        <v>0</v>
      </c>
    </row>
    <row r="2002" spans="1:18" hidden="1" x14ac:dyDescent="0.25">
      <c r="A2002" t="s">
        <v>2131</v>
      </c>
      <c r="B2002" t="s">
        <v>333</v>
      </c>
      <c r="C2002" t="s">
        <v>450</v>
      </c>
      <c r="D2002" t="s">
        <v>23</v>
      </c>
      <c r="E2002">
        <v>313.5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408.19279999999998</v>
      </c>
      <c r="L2002">
        <v>0</v>
      </c>
      <c r="M2002">
        <v>0</v>
      </c>
      <c r="N2002">
        <v>409.03500000000003</v>
      </c>
      <c r="O2002">
        <v>537.72400000000005</v>
      </c>
      <c r="P2002">
        <v>323.30970000000002</v>
      </c>
      <c r="R2002">
        <v>404.78899999999999</v>
      </c>
    </row>
    <row r="2003" spans="1:18" hidden="1" x14ac:dyDescent="0.25">
      <c r="A2003" t="s">
        <v>2132</v>
      </c>
      <c r="B2003" t="s">
        <v>333</v>
      </c>
      <c r="C2003" t="s">
        <v>450</v>
      </c>
      <c r="D2003" t="s">
        <v>25</v>
      </c>
      <c r="E2003">
        <v>390.72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458.3313</v>
      </c>
      <c r="L2003">
        <v>0</v>
      </c>
      <c r="M2003">
        <v>0</v>
      </c>
      <c r="N2003">
        <v>427.35</v>
      </c>
      <c r="O2003">
        <v>568.33699999999999</v>
      </c>
      <c r="P2003">
        <v>372.99059999999997</v>
      </c>
      <c r="R2003">
        <v>442.05700000000002</v>
      </c>
    </row>
    <row r="2004" spans="1:18" hidden="1" x14ac:dyDescent="0.25">
      <c r="A2004" t="s">
        <v>2133</v>
      </c>
      <c r="B2004" t="s">
        <v>333</v>
      </c>
      <c r="C2004" t="s">
        <v>450</v>
      </c>
      <c r="D2004" t="s">
        <v>27</v>
      </c>
      <c r="E2004">
        <v>451.44</v>
      </c>
      <c r="F2004">
        <v>0</v>
      </c>
      <c r="G2004">
        <v>0</v>
      </c>
      <c r="H2004">
        <v>697.84</v>
      </c>
      <c r="I2004">
        <v>610.5</v>
      </c>
      <c r="J2004">
        <v>0</v>
      </c>
      <c r="K2004">
        <v>0</v>
      </c>
      <c r="L2004">
        <v>0</v>
      </c>
      <c r="M2004">
        <v>461.53469999999999</v>
      </c>
      <c r="N2004">
        <v>604.39499999999998</v>
      </c>
      <c r="O2004">
        <v>598.95000000000005</v>
      </c>
      <c r="P2004">
        <v>454.16559999999998</v>
      </c>
      <c r="R2004">
        <v>545.27</v>
      </c>
    </row>
    <row r="2005" spans="1:18" hidden="1" x14ac:dyDescent="0.25">
      <c r="A2005" t="s">
        <v>2134</v>
      </c>
      <c r="B2005" t="s">
        <v>333</v>
      </c>
      <c r="C2005" t="s">
        <v>450</v>
      </c>
      <c r="D2005" t="s">
        <v>29</v>
      </c>
      <c r="E2005">
        <v>186.846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250.4014</v>
      </c>
      <c r="L2005">
        <v>0</v>
      </c>
      <c r="M2005">
        <v>0</v>
      </c>
      <c r="N2005">
        <v>256.41000000000003</v>
      </c>
      <c r="O2005">
        <v>460.52600000000001</v>
      </c>
      <c r="P2005">
        <v>198.35769999999999</v>
      </c>
      <c r="R2005">
        <v>198.363</v>
      </c>
    </row>
    <row r="2006" spans="1:18" hidden="1" x14ac:dyDescent="0.25">
      <c r="A2006" t="s">
        <v>2135</v>
      </c>
      <c r="B2006" t="s">
        <v>333</v>
      </c>
      <c r="C2006" t="s">
        <v>450</v>
      </c>
      <c r="D2006" t="s">
        <v>31</v>
      </c>
      <c r="E2006">
        <v>250.8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311.03489999999999</v>
      </c>
      <c r="L2006">
        <v>0</v>
      </c>
      <c r="M2006">
        <v>0</v>
      </c>
      <c r="N2006">
        <v>317.45999999999998</v>
      </c>
      <c r="O2006">
        <v>484.48399999999998</v>
      </c>
      <c r="P2006">
        <v>258.81709999999998</v>
      </c>
      <c r="R2006">
        <v>258.81900000000002</v>
      </c>
    </row>
    <row r="2007" spans="1:18" hidden="1" x14ac:dyDescent="0.25">
      <c r="A2007" t="s">
        <v>2136</v>
      </c>
      <c r="B2007" t="s">
        <v>333</v>
      </c>
      <c r="C2007" t="s">
        <v>450</v>
      </c>
      <c r="D2007" t="s">
        <v>33</v>
      </c>
      <c r="E2007">
        <v>288.42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328.29300000000001</v>
      </c>
      <c r="L2007">
        <v>0</v>
      </c>
      <c r="M2007">
        <v>0</v>
      </c>
      <c r="N2007">
        <v>329.67</v>
      </c>
      <c r="O2007">
        <v>509.77300000000002</v>
      </c>
      <c r="P2007">
        <v>295.26679999999999</v>
      </c>
      <c r="R2007">
        <v>377.27800000000002</v>
      </c>
    </row>
    <row r="2008" spans="1:18" hidden="1" x14ac:dyDescent="0.25">
      <c r="A2008" t="s">
        <v>2137</v>
      </c>
      <c r="B2008" t="s">
        <v>333</v>
      </c>
      <c r="C2008" t="s">
        <v>450</v>
      </c>
      <c r="D2008" t="s">
        <v>35</v>
      </c>
      <c r="E2008">
        <v>457.71</v>
      </c>
      <c r="F2008">
        <v>0</v>
      </c>
      <c r="G2008">
        <v>0</v>
      </c>
      <c r="H2008">
        <v>697.84</v>
      </c>
      <c r="I2008">
        <v>610.5</v>
      </c>
      <c r="J2008">
        <v>0</v>
      </c>
      <c r="K2008">
        <v>0</v>
      </c>
      <c r="L2008">
        <v>0</v>
      </c>
      <c r="M2008">
        <v>496.0197</v>
      </c>
      <c r="N2008">
        <v>622.71</v>
      </c>
      <c r="O2008">
        <v>652.19000000000005</v>
      </c>
      <c r="P2008">
        <v>468.05360000000002</v>
      </c>
      <c r="R2008">
        <v>568.86500000000001</v>
      </c>
    </row>
    <row r="2009" spans="1:18" hidden="1" x14ac:dyDescent="0.25">
      <c r="A2009" t="s">
        <v>2138</v>
      </c>
      <c r="B2009" t="s">
        <v>333</v>
      </c>
      <c r="C2009" t="s">
        <v>459</v>
      </c>
      <c r="D2009" t="s">
        <v>21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</row>
    <row r="2010" spans="1:18" hidden="1" x14ac:dyDescent="0.25">
      <c r="A2010" t="s">
        <v>2139</v>
      </c>
      <c r="B2010" t="s">
        <v>333</v>
      </c>
      <c r="C2010" t="s">
        <v>459</v>
      </c>
      <c r="D2010" t="s">
        <v>23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315.58120000000002</v>
      </c>
      <c r="Q2010">
        <v>0</v>
      </c>
      <c r="R2010">
        <v>315.57900000000001</v>
      </c>
    </row>
    <row r="2011" spans="1:18" hidden="1" x14ac:dyDescent="0.25">
      <c r="A2011" t="s">
        <v>2140</v>
      </c>
      <c r="B2011" t="s">
        <v>333</v>
      </c>
      <c r="C2011" t="s">
        <v>459</v>
      </c>
      <c r="D2011" t="s">
        <v>25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323.07440000000003</v>
      </c>
      <c r="Q2011">
        <v>0</v>
      </c>
      <c r="R2011">
        <v>323.07</v>
      </c>
    </row>
    <row r="2012" spans="1:18" hidden="1" x14ac:dyDescent="0.25">
      <c r="A2012" t="s">
        <v>2141</v>
      </c>
      <c r="B2012" t="s">
        <v>333</v>
      </c>
      <c r="C2012" t="s">
        <v>459</v>
      </c>
      <c r="D2012" t="s">
        <v>27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460.86329999999998</v>
      </c>
      <c r="Q2012">
        <v>0</v>
      </c>
      <c r="R2012">
        <v>460.86700000000002</v>
      </c>
    </row>
    <row r="2013" spans="1:18" hidden="1" x14ac:dyDescent="0.25">
      <c r="A2013" t="s">
        <v>2142</v>
      </c>
      <c r="B2013" t="s">
        <v>333</v>
      </c>
      <c r="C2013" t="s">
        <v>459</v>
      </c>
      <c r="D2013" t="s">
        <v>29</v>
      </c>
      <c r="E2013">
        <v>0</v>
      </c>
      <c r="F2013">
        <v>217.8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216.80410000000001</v>
      </c>
      <c r="Q2013">
        <v>217.8</v>
      </c>
      <c r="R2013">
        <v>216.79900000000001</v>
      </c>
    </row>
    <row r="2014" spans="1:18" hidden="1" x14ac:dyDescent="0.25">
      <c r="A2014" t="s">
        <v>2143</v>
      </c>
      <c r="B2014" t="s">
        <v>333</v>
      </c>
      <c r="C2014" t="s">
        <v>459</v>
      </c>
      <c r="D2014" t="s">
        <v>31</v>
      </c>
      <c r="E2014">
        <v>0</v>
      </c>
      <c r="F2014">
        <v>290.39999999999998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255.55850000000001</v>
      </c>
      <c r="Q2014">
        <v>290.39999999999998</v>
      </c>
      <c r="R2014">
        <v>255.56299999999999</v>
      </c>
    </row>
    <row r="2015" spans="1:18" hidden="1" x14ac:dyDescent="0.25">
      <c r="A2015" t="s">
        <v>2144</v>
      </c>
      <c r="B2015" t="s">
        <v>333</v>
      </c>
      <c r="C2015" t="s">
        <v>459</v>
      </c>
      <c r="D2015" t="s">
        <v>33</v>
      </c>
      <c r="E2015">
        <v>0</v>
      </c>
      <c r="F2015">
        <v>314.60000000000002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274.7054</v>
      </c>
      <c r="Q2015">
        <v>314.60000000000002</v>
      </c>
      <c r="R2015">
        <v>274.70299999999997</v>
      </c>
    </row>
    <row r="2016" spans="1:18" hidden="1" x14ac:dyDescent="0.25">
      <c r="A2016" t="s">
        <v>2145</v>
      </c>
      <c r="B2016" t="s">
        <v>333</v>
      </c>
      <c r="C2016" t="s">
        <v>459</v>
      </c>
      <c r="D2016" t="s">
        <v>35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470.77600000000001</v>
      </c>
      <c r="Q2016">
        <v>0</v>
      </c>
      <c r="R2016">
        <v>470.77800000000002</v>
      </c>
    </row>
    <row r="2017" spans="1:18" hidden="1" x14ac:dyDescent="0.25">
      <c r="A2017" t="s">
        <v>2146</v>
      </c>
      <c r="B2017" t="s">
        <v>333</v>
      </c>
      <c r="C2017" t="s">
        <v>468</v>
      </c>
      <c r="D2017" t="s">
        <v>21</v>
      </c>
      <c r="E2017">
        <v>206.06659999999999</v>
      </c>
      <c r="F2017">
        <v>0</v>
      </c>
      <c r="G2017">
        <v>297.36669999999998</v>
      </c>
      <c r="H2017">
        <v>0</v>
      </c>
      <c r="I2017">
        <v>0</v>
      </c>
      <c r="J2017">
        <v>0</v>
      </c>
      <c r="K2017">
        <v>215.22200000000001</v>
      </c>
      <c r="L2017">
        <v>0</v>
      </c>
      <c r="M2017">
        <v>0</v>
      </c>
      <c r="N2017">
        <v>222.56299999999999</v>
      </c>
      <c r="O2017">
        <v>326.09500000000003</v>
      </c>
      <c r="P2017">
        <v>0</v>
      </c>
      <c r="R2017">
        <v>0</v>
      </c>
    </row>
    <row r="2018" spans="1:18" hidden="1" x14ac:dyDescent="0.25">
      <c r="A2018" t="s">
        <v>2147</v>
      </c>
      <c r="B2018" t="s">
        <v>333</v>
      </c>
      <c r="C2018" t="s">
        <v>468</v>
      </c>
      <c r="D2018" t="s">
        <v>23</v>
      </c>
      <c r="E2018">
        <v>284.42700000000002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366.51819999999998</v>
      </c>
      <c r="L2018">
        <v>0</v>
      </c>
      <c r="M2018">
        <v>0</v>
      </c>
      <c r="N2018">
        <v>372.40499999999997</v>
      </c>
      <c r="O2018">
        <v>469.84300000000002</v>
      </c>
      <c r="P2018">
        <v>292.70870000000002</v>
      </c>
      <c r="R2018">
        <v>292.70999999999998</v>
      </c>
    </row>
    <row r="2019" spans="1:18" hidden="1" x14ac:dyDescent="0.25">
      <c r="A2019" t="s">
        <v>2148</v>
      </c>
      <c r="B2019" t="s">
        <v>333</v>
      </c>
      <c r="C2019" t="s">
        <v>468</v>
      </c>
      <c r="D2019" t="s">
        <v>25</v>
      </c>
      <c r="E2019">
        <v>332.04599999999999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408.32190000000003</v>
      </c>
      <c r="L2019">
        <v>0</v>
      </c>
      <c r="M2019">
        <v>0</v>
      </c>
      <c r="N2019">
        <v>390.72</v>
      </c>
      <c r="O2019">
        <v>524.41399999999999</v>
      </c>
      <c r="P2019">
        <v>330.202</v>
      </c>
      <c r="R2019">
        <v>330.19799999999998</v>
      </c>
    </row>
    <row r="2020" spans="1:18" hidden="1" x14ac:dyDescent="0.25">
      <c r="A2020" t="s">
        <v>2149</v>
      </c>
      <c r="B2020" t="s">
        <v>333</v>
      </c>
      <c r="C2020" t="s">
        <v>468</v>
      </c>
      <c r="D2020" t="s">
        <v>27</v>
      </c>
      <c r="E2020">
        <v>476.19</v>
      </c>
      <c r="F2020">
        <v>0</v>
      </c>
      <c r="G2020">
        <v>0</v>
      </c>
      <c r="H2020">
        <v>0</v>
      </c>
      <c r="I2020">
        <v>543.34500000000003</v>
      </c>
      <c r="J2020">
        <v>0</v>
      </c>
      <c r="K2020">
        <v>0</v>
      </c>
      <c r="L2020">
        <v>0</v>
      </c>
      <c r="M2020">
        <v>0</v>
      </c>
      <c r="N2020">
        <v>537.24</v>
      </c>
      <c r="O2020">
        <v>590.96400000000006</v>
      </c>
      <c r="P2020">
        <v>474.81459999999998</v>
      </c>
      <c r="R2020">
        <v>474.815</v>
      </c>
    </row>
    <row r="2021" spans="1:18" hidden="1" x14ac:dyDescent="0.25">
      <c r="A2021" t="s">
        <v>2150</v>
      </c>
      <c r="B2021" t="s">
        <v>333</v>
      </c>
      <c r="C2021" t="s">
        <v>468</v>
      </c>
      <c r="D2021" t="s">
        <v>29</v>
      </c>
      <c r="E2021">
        <v>213.642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223.209</v>
      </c>
      <c r="L2021">
        <v>0</v>
      </c>
      <c r="M2021">
        <v>0</v>
      </c>
      <c r="N2021">
        <v>225.88499999999999</v>
      </c>
      <c r="O2021">
        <v>363.363</v>
      </c>
      <c r="P2021">
        <v>210.4212</v>
      </c>
      <c r="R2021">
        <v>210.41900000000001</v>
      </c>
    </row>
    <row r="2022" spans="1:18" hidden="1" x14ac:dyDescent="0.25">
      <c r="A2022" t="s">
        <v>2151</v>
      </c>
      <c r="B2022" t="s">
        <v>333</v>
      </c>
      <c r="C2022" t="s">
        <v>468</v>
      </c>
      <c r="D2022" t="s">
        <v>31</v>
      </c>
      <c r="E2022">
        <v>245.81700000000001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320.85109999999997</v>
      </c>
      <c r="L2022">
        <v>0</v>
      </c>
      <c r="M2022">
        <v>0</v>
      </c>
      <c r="N2022">
        <v>323.565</v>
      </c>
      <c r="O2022">
        <v>408.61700000000002</v>
      </c>
      <c r="P2022">
        <v>249.90119999999999</v>
      </c>
      <c r="R2022">
        <v>249.898</v>
      </c>
    </row>
    <row r="2023" spans="1:18" hidden="1" x14ac:dyDescent="0.25">
      <c r="A2023" t="s">
        <v>2152</v>
      </c>
      <c r="B2023" t="s">
        <v>333</v>
      </c>
      <c r="C2023" t="s">
        <v>468</v>
      </c>
      <c r="D2023" t="s">
        <v>33</v>
      </c>
      <c r="E2023">
        <v>261.26100000000002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334.19929999999999</v>
      </c>
      <c r="L2023">
        <v>0</v>
      </c>
      <c r="M2023">
        <v>0</v>
      </c>
      <c r="N2023">
        <v>335.77499999999998</v>
      </c>
      <c r="O2023">
        <v>424.589</v>
      </c>
      <c r="P2023">
        <v>269.83569999999997</v>
      </c>
      <c r="R2023">
        <v>269.84100000000001</v>
      </c>
    </row>
    <row r="2024" spans="1:18" hidden="1" x14ac:dyDescent="0.25">
      <c r="A2024" t="s">
        <v>2153</v>
      </c>
      <c r="B2024" t="s">
        <v>333</v>
      </c>
      <c r="C2024" t="s">
        <v>468</v>
      </c>
      <c r="D2024" t="s">
        <v>35</v>
      </c>
      <c r="E2024">
        <v>485.298</v>
      </c>
      <c r="F2024">
        <v>0</v>
      </c>
      <c r="G2024">
        <v>0</v>
      </c>
      <c r="H2024">
        <v>0</v>
      </c>
      <c r="I2024">
        <v>543.34500000000003</v>
      </c>
      <c r="J2024">
        <v>0</v>
      </c>
      <c r="K2024">
        <v>0</v>
      </c>
      <c r="L2024">
        <v>0</v>
      </c>
      <c r="M2024">
        <v>0</v>
      </c>
      <c r="N2024">
        <v>549.45000000000005</v>
      </c>
      <c r="O2024">
        <v>658.84500000000003</v>
      </c>
      <c r="P2024">
        <v>494.55250000000001</v>
      </c>
      <c r="R2024">
        <v>494.54899999999998</v>
      </c>
    </row>
    <row r="2025" spans="1:18" hidden="1" x14ac:dyDescent="0.25">
      <c r="A2025" t="s">
        <v>2154</v>
      </c>
      <c r="B2025" t="s">
        <v>333</v>
      </c>
      <c r="C2025" t="s">
        <v>477</v>
      </c>
      <c r="D2025" t="s">
        <v>21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</row>
    <row r="2026" spans="1:18" hidden="1" x14ac:dyDescent="0.25">
      <c r="A2026" t="s">
        <v>2155</v>
      </c>
      <c r="B2026" t="s">
        <v>333</v>
      </c>
      <c r="C2026" t="s">
        <v>477</v>
      </c>
      <c r="D2026" t="s">
        <v>23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257.0489</v>
      </c>
      <c r="Q2026">
        <v>0</v>
      </c>
      <c r="R2026">
        <v>257.048</v>
      </c>
    </row>
    <row r="2027" spans="1:18" hidden="1" x14ac:dyDescent="0.25">
      <c r="A2027" t="s">
        <v>2156</v>
      </c>
      <c r="B2027" t="s">
        <v>333</v>
      </c>
      <c r="C2027" t="s">
        <v>477</v>
      </c>
      <c r="D2027" t="s">
        <v>25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289.71359999999999</v>
      </c>
      <c r="Q2027">
        <v>0</v>
      </c>
      <c r="R2027">
        <v>289.71800000000002</v>
      </c>
    </row>
    <row r="2028" spans="1:18" hidden="1" x14ac:dyDescent="0.25">
      <c r="A2028" t="s">
        <v>2157</v>
      </c>
      <c r="B2028" t="s">
        <v>333</v>
      </c>
      <c r="C2028" t="s">
        <v>477</v>
      </c>
      <c r="D2028" t="s">
        <v>27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381.39159999999998</v>
      </c>
      <c r="Q2028">
        <v>0</v>
      </c>
      <c r="R2028">
        <v>381.392</v>
      </c>
    </row>
    <row r="2029" spans="1:18" hidden="1" x14ac:dyDescent="0.25">
      <c r="A2029" t="s">
        <v>2158</v>
      </c>
      <c r="B2029" t="s">
        <v>333</v>
      </c>
      <c r="C2029" t="s">
        <v>477</v>
      </c>
      <c r="D2029" t="s">
        <v>29</v>
      </c>
      <c r="E2029">
        <v>0</v>
      </c>
      <c r="F2029">
        <v>157.30000000000001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157.07599999999999</v>
      </c>
      <c r="Q2029">
        <v>157.30000000000001</v>
      </c>
      <c r="R2029">
        <v>157.08000000000001</v>
      </c>
    </row>
    <row r="2030" spans="1:18" hidden="1" x14ac:dyDescent="0.25">
      <c r="A2030" t="s">
        <v>2159</v>
      </c>
      <c r="B2030" t="s">
        <v>333</v>
      </c>
      <c r="C2030" t="s">
        <v>477</v>
      </c>
      <c r="D2030" t="s">
        <v>31</v>
      </c>
      <c r="E2030">
        <v>0</v>
      </c>
      <c r="F2030">
        <v>223.85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217.6944</v>
      </c>
      <c r="Q2030">
        <v>223.85</v>
      </c>
      <c r="R2030">
        <v>217.69</v>
      </c>
    </row>
    <row r="2031" spans="1:18" hidden="1" x14ac:dyDescent="0.25">
      <c r="A2031" t="s">
        <v>2160</v>
      </c>
      <c r="B2031" t="s">
        <v>333</v>
      </c>
      <c r="C2031" t="s">
        <v>477</v>
      </c>
      <c r="D2031" t="s">
        <v>33</v>
      </c>
      <c r="E2031">
        <v>0</v>
      </c>
      <c r="F2031">
        <v>239.58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230.23439999999999</v>
      </c>
      <c r="Q2031">
        <v>239.58</v>
      </c>
      <c r="R2031">
        <v>230.23</v>
      </c>
    </row>
    <row r="2032" spans="1:18" hidden="1" x14ac:dyDescent="0.25">
      <c r="A2032" t="s">
        <v>2161</v>
      </c>
      <c r="B2032" t="s">
        <v>333</v>
      </c>
      <c r="C2032" t="s">
        <v>477</v>
      </c>
      <c r="D2032" t="s">
        <v>35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414.27140000000003</v>
      </c>
      <c r="Q2032">
        <v>0</v>
      </c>
      <c r="R2032">
        <v>414.27100000000002</v>
      </c>
    </row>
    <row r="2033" spans="1:18" hidden="1" x14ac:dyDescent="0.25">
      <c r="A2033" t="s">
        <v>2162</v>
      </c>
      <c r="B2033" t="s">
        <v>333</v>
      </c>
      <c r="C2033" t="s">
        <v>486</v>
      </c>
      <c r="D2033" t="s">
        <v>21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R2033">
        <v>0</v>
      </c>
    </row>
    <row r="2034" spans="1:18" hidden="1" x14ac:dyDescent="0.25">
      <c r="A2034" t="s">
        <v>2163</v>
      </c>
      <c r="B2034" t="s">
        <v>333</v>
      </c>
      <c r="C2034" t="s">
        <v>486</v>
      </c>
      <c r="D2034" t="s">
        <v>23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246.19720000000001</v>
      </c>
      <c r="R2034">
        <v>246.202</v>
      </c>
    </row>
    <row r="2035" spans="1:18" hidden="1" x14ac:dyDescent="0.25">
      <c r="A2035" t="s">
        <v>2164</v>
      </c>
      <c r="B2035" t="s">
        <v>333</v>
      </c>
      <c r="C2035" t="s">
        <v>486</v>
      </c>
      <c r="D2035" t="s">
        <v>25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255.97659999999999</v>
      </c>
      <c r="R2035">
        <v>255.98099999999999</v>
      </c>
    </row>
    <row r="2036" spans="1:18" hidden="1" x14ac:dyDescent="0.25">
      <c r="A2036" t="s">
        <v>2165</v>
      </c>
      <c r="B2036" t="s">
        <v>333</v>
      </c>
      <c r="C2036" t="s">
        <v>486</v>
      </c>
      <c r="D2036" t="s">
        <v>27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360.7758</v>
      </c>
      <c r="R2036">
        <v>360.77800000000002</v>
      </c>
    </row>
    <row r="2037" spans="1:18" hidden="1" x14ac:dyDescent="0.25">
      <c r="A2037" t="s">
        <v>2166</v>
      </c>
      <c r="B2037" t="s">
        <v>333</v>
      </c>
      <c r="C2037" t="s">
        <v>486</v>
      </c>
      <c r="D2037" t="s">
        <v>29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156.8503</v>
      </c>
      <c r="R2037">
        <v>156.84899999999999</v>
      </c>
    </row>
    <row r="2038" spans="1:18" hidden="1" x14ac:dyDescent="0.25">
      <c r="A2038" t="s">
        <v>2167</v>
      </c>
      <c r="B2038" t="s">
        <v>333</v>
      </c>
      <c r="C2038" t="s">
        <v>486</v>
      </c>
      <c r="D2038" t="s">
        <v>31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191.03710000000001</v>
      </c>
      <c r="R2038">
        <v>191.03700000000001</v>
      </c>
    </row>
    <row r="2039" spans="1:18" hidden="1" x14ac:dyDescent="0.25">
      <c r="A2039" t="s">
        <v>2168</v>
      </c>
      <c r="B2039" t="s">
        <v>333</v>
      </c>
      <c r="C2039" t="s">
        <v>486</v>
      </c>
      <c r="D2039" t="s">
        <v>33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203.5367</v>
      </c>
      <c r="R2039">
        <v>203.53299999999999</v>
      </c>
    </row>
    <row r="2040" spans="1:18" hidden="1" x14ac:dyDescent="0.25">
      <c r="A2040" t="s">
        <v>2169</v>
      </c>
      <c r="B2040" t="s">
        <v>333</v>
      </c>
      <c r="C2040" t="s">
        <v>486</v>
      </c>
      <c r="D2040" t="s">
        <v>35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371.15890000000002</v>
      </c>
      <c r="R2040">
        <v>371.16199999999998</v>
      </c>
    </row>
    <row r="2041" spans="1:18" hidden="1" x14ac:dyDescent="0.25">
      <c r="A2041" t="s">
        <v>2170</v>
      </c>
      <c r="B2041" t="s">
        <v>333</v>
      </c>
      <c r="C2041" t="s">
        <v>495</v>
      </c>
      <c r="D2041" t="s">
        <v>21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R2041">
        <v>0</v>
      </c>
    </row>
    <row r="2042" spans="1:18" hidden="1" x14ac:dyDescent="0.25">
      <c r="A2042" t="s">
        <v>2171</v>
      </c>
      <c r="B2042" t="s">
        <v>333</v>
      </c>
      <c r="C2042" t="s">
        <v>495</v>
      </c>
      <c r="D2042" t="s">
        <v>23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271.91739999999999</v>
      </c>
      <c r="R2042">
        <v>271.92</v>
      </c>
    </row>
    <row r="2043" spans="1:18" hidden="1" x14ac:dyDescent="0.25">
      <c r="A2043" t="s">
        <v>2172</v>
      </c>
      <c r="B2043" t="s">
        <v>333</v>
      </c>
      <c r="C2043" t="s">
        <v>495</v>
      </c>
      <c r="D2043" t="s">
        <v>25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277.82040000000001</v>
      </c>
      <c r="R2043">
        <v>277.81599999999997</v>
      </c>
    </row>
    <row r="2044" spans="1:18" hidden="1" x14ac:dyDescent="0.25">
      <c r="A2044" t="s">
        <v>2173</v>
      </c>
      <c r="B2044" t="s">
        <v>333</v>
      </c>
      <c r="C2044" t="s">
        <v>495</v>
      </c>
      <c r="D2044" t="s">
        <v>27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395.05329999999998</v>
      </c>
      <c r="R2044">
        <v>395.05399999999997</v>
      </c>
    </row>
    <row r="2045" spans="1:18" hidden="1" x14ac:dyDescent="0.25">
      <c r="A2045" t="s">
        <v>2174</v>
      </c>
      <c r="B2045" t="s">
        <v>333</v>
      </c>
      <c r="C2045" t="s">
        <v>495</v>
      </c>
      <c r="D2045" t="s">
        <v>29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194.8716</v>
      </c>
      <c r="R2045">
        <v>194.876</v>
      </c>
    </row>
    <row r="2046" spans="1:18" hidden="1" x14ac:dyDescent="0.25">
      <c r="A2046" t="s">
        <v>2175</v>
      </c>
      <c r="B2046" t="s">
        <v>333</v>
      </c>
      <c r="C2046" t="s">
        <v>495</v>
      </c>
      <c r="D2046" t="s">
        <v>31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212.1816</v>
      </c>
      <c r="R2046">
        <v>212.179</v>
      </c>
    </row>
    <row r="2047" spans="1:18" hidden="1" x14ac:dyDescent="0.25">
      <c r="A2047" t="s">
        <v>2176</v>
      </c>
      <c r="B2047" t="s">
        <v>333</v>
      </c>
      <c r="C2047" t="s">
        <v>495</v>
      </c>
      <c r="D2047" t="s">
        <v>33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226.1816</v>
      </c>
      <c r="R2047">
        <v>226.18199999999999</v>
      </c>
    </row>
    <row r="2048" spans="1:18" hidden="1" x14ac:dyDescent="0.25">
      <c r="A2048" t="s">
        <v>2177</v>
      </c>
      <c r="B2048" t="s">
        <v>333</v>
      </c>
      <c r="C2048" t="s">
        <v>495</v>
      </c>
      <c r="D2048" t="s">
        <v>35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423.84519999999998</v>
      </c>
      <c r="R2048">
        <v>423.84100000000001</v>
      </c>
    </row>
    <row r="2049" spans="1:18" hidden="1" x14ac:dyDescent="0.25">
      <c r="A2049" t="s">
        <v>2178</v>
      </c>
      <c r="B2049" t="s">
        <v>333</v>
      </c>
      <c r="C2049" t="s">
        <v>504</v>
      </c>
      <c r="D2049" t="s">
        <v>21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R2049">
        <v>0</v>
      </c>
    </row>
    <row r="2050" spans="1:18" hidden="1" x14ac:dyDescent="0.25">
      <c r="A2050" t="s">
        <v>2179</v>
      </c>
      <c r="B2050" t="s">
        <v>333</v>
      </c>
      <c r="C2050" t="s">
        <v>504</v>
      </c>
      <c r="D2050" t="s">
        <v>23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285.58730000000003</v>
      </c>
      <c r="R2050">
        <v>285.58199999999999</v>
      </c>
    </row>
    <row r="2051" spans="1:18" hidden="1" x14ac:dyDescent="0.25">
      <c r="A2051" t="s">
        <v>2180</v>
      </c>
      <c r="B2051" t="s">
        <v>333</v>
      </c>
      <c r="C2051" t="s">
        <v>504</v>
      </c>
      <c r="D2051" t="s">
        <v>25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290.08980000000003</v>
      </c>
      <c r="R2051">
        <v>290.09199999999998</v>
      </c>
    </row>
    <row r="2052" spans="1:18" hidden="1" x14ac:dyDescent="0.25">
      <c r="A2052" t="s">
        <v>2181</v>
      </c>
      <c r="B2052" t="s">
        <v>333</v>
      </c>
      <c r="C2052" t="s">
        <v>504</v>
      </c>
      <c r="D2052" t="s">
        <v>27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413.79419999999999</v>
      </c>
      <c r="R2052">
        <v>413.798</v>
      </c>
    </row>
    <row r="2053" spans="1:18" hidden="1" x14ac:dyDescent="0.25">
      <c r="A2053" t="s">
        <v>2182</v>
      </c>
      <c r="B2053" t="s">
        <v>333</v>
      </c>
      <c r="C2053" t="s">
        <v>504</v>
      </c>
      <c r="D2053" t="s">
        <v>29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162.09200000000001</v>
      </c>
      <c r="R2053">
        <v>162.096</v>
      </c>
    </row>
    <row r="2054" spans="1:18" hidden="1" x14ac:dyDescent="0.25">
      <c r="A2054" t="s">
        <v>2183</v>
      </c>
      <c r="B2054" t="s">
        <v>333</v>
      </c>
      <c r="C2054" t="s">
        <v>504</v>
      </c>
      <c r="D2054" t="s">
        <v>31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234.6234</v>
      </c>
      <c r="R2054">
        <v>234.619</v>
      </c>
    </row>
    <row r="2055" spans="1:18" hidden="1" x14ac:dyDescent="0.25">
      <c r="A2055" t="s">
        <v>2184</v>
      </c>
      <c r="B2055" t="s">
        <v>333</v>
      </c>
      <c r="C2055" t="s">
        <v>504</v>
      </c>
      <c r="D2055" t="s">
        <v>33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244.53</v>
      </c>
      <c r="R2055">
        <v>244.53</v>
      </c>
    </row>
    <row r="2056" spans="1:18" hidden="1" x14ac:dyDescent="0.25">
      <c r="A2056" t="s">
        <v>2185</v>
      </c>
      <c r="B2056" t="s">
        <v>333</v>
      </c>
      <c r="C2056" t="s">
        <v>504</v>
      </c>
      <c r="D2056" t="s">
        <v>35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423.0487</v>
      </c>
      <c r="R2056">
        <v>423.04899999999998</v>
      </c>
    </row>
    <row r="2057" spans="1:18" hidden="1" x14ac:dyDescent="0.25">
      <c r="A2057" t="s">
        <v>2186</v>
      </c>
      <c r="B2057" t="s">
        <v>333</v>
      </c>
      <c r="C2057" t="s">
        <v>513</v>
      </c>
      <c r="D2057" t="s">
        <v>21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R2057">
        <v>0</v>
      </c>
    </row>
    <row r="2058" spans="1:18" hidden="1" x14ac:dyDescent="0.25">
      <c r="A2058" t="s">
        <v>2187</v>
      </c>
      <c r="B2058" t="s">
        <v>333</v>
      </c>
      <c r="C2058" t="s">
        <v>513</v>
      </c>
      <c r="D2058" t="s">
        <v>23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374.34410000000003</v>
      </c>
      <c r="R2058">
        <v>374.34100000000001</v>
      </c>
    </row>
    <row r="2059" spans="1:18" hidden="1" x14ac:dyDescent="0.25">
      <c r="A2059" t="s">
        <v>2188</v>
      </c>
      <c r="B2059" t="s">
        <v>333</v>
      </c>
      <c r="C2059" t="s">
        <v>513</v>
      </c>
      <c r="D2059" t="s">
        <v>25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395.1354</v>
      </c>
      <c r="R2059">
        <v>395.13099999999997</v>
      </c>
    </row>
    <row r="2060" spans="1:18" hidden="1" x14ac:dyDescent="0.25">
      <c r="A2060" t="s">
        <v>2189</v>
      </c>
      <c r="B2060" t="s">
        <v>333</v>
      </c>
      <c r="C2060" t="s">
        <v>513</v>
      </c>
      <c r="D2060" t="s">
        <v>27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503.15499999999997</v>
      </c>
      <c r="R2060">
        <v>503.15100000000001</v>
      </c>
    </row>
    <row r="2061" spans="1:18" hidden="1" x14ac:dyDescent="0.25">
      <c r="A2061" t="s">
        <v>2190</v>
      </c>
      <c r="B2061" t="s">
        <v>333</v>
      </c>
      <c r="C2061" t="s">
        <v>513</v>
      </c>
      <c r="D2061" t="s">
        <v>29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252.02889999999999</v>
      </c>
      <c r="R2061">
        <v>252.03200000000001</v>
      </c>
    </row>
    <row r="2062" spans="1:18" hidden="1" x14ac:dyDescent="0.25">
      <c r="A2062" t="s">
        <v>2191</v>
      </c>
      <c r="B2062" t="s">
        <v>333</v>
      </c>
      <c r="C2062" t="s">
        <v>513</v>
      </c>
      <c r="D2062" t="s">
        <v>31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294.11320000000001</v>
      </c>
      <c r="R2062">
        <v>294.11799999999999</v>
      </c>
    </row>
    <row r="2063" spans="1:18" hidden="1" x14ac:dyDescent="0.25">
      <c r="A2063" t="s">
        <v>2192</v>
      </c>
      <c r="B2063" t="s">
        <v>333</v>
      </c>
      <c r="C2063" t="s">
        <v>513</v>
      </c>
      <c r="D2063" t="s">
        <v>33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323.21850000000001</v>
      </c>
      <c r="R2063">
        <v>323.22399999999999</v>
      </c>
    </row>
    <row r="2064" spans="1:18" hidden="1" x14ac:dyDescent="0.25">
      <c r="A2064" t="s">
        <v>2193</v>
      </c>
      <c r="B2064" t="s">
        <v>333</v>
      </c>
      <c r="C2064" t="s">
        <v>513</v>
      </c>
      <c r="D2064" t="s">
        <v>35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540.35260000000005</v>
      </c>
      <c r="R2064">
        <v>540.35299999999995</v>
      </c>
    </row>
    <row r="2065" spans="1:18" hidden="1" x14ac:dyDescent="0.25">
      <c r="A2065" t="s">
        <v>2194</v>
      </c>
      <c r="B2065" t="s">
        <v>333</v>
      </c>
      <c r="C2065" t="s">
        <v>522</v>
      </c>
      <c r="D2065" t="s">
        <v>21</v>
      </c>
      <c r="E2065">
        <v>657.28660000000002</v>
      </c>
      <c r="F2065">
        <v>0</v>
      </c>
      <c r="G2065">
        <v>231.58670000000001</v>
      </c>
      <c r="H2065">
        <v>0</v>
      </c>
      <c r="I2065">
        <v>0</v>
      </c>
      <c r="J2065">
        <v>0</v>
      </c>
      <c r="K2065">
        <v>195.59399999999999</v>
      </c>
      <c r="L2065">
        <v>0</v>
      </c>
      <c r="M2065">
        <v>0</v>
      </c>
      <c r="N2065">
        <v>201.88300000000001</v>
      </c>
      <c r="O2065">
        <v>212.96</v>
      </c>
      <c r="P2065">
        <v>0</v>
      </c>
      <c r="Q2065">
        <v>0</v>
      </c>
      <c r="R2065">
        <v>0</v>
      </c>
    </row>
    <row r="2066" spans="1:18" hidden="1" x14ac:dyDescent="0.25">
      <c r="A2066" t="s">
        <v>2195</v>
      </c>
      <c r="B2066" t="s">
        <v>333</v>
      </c>
      <c r="C2066" t="s">
        <v>522</v>
      </c>
      <c r="D2066" t="s">
        <v>23</v>
      </c>
      <c r="E2066">
        <v>860.80499999999995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339.0138</v>
      </c>
      <c r="L2066">
        <v>0</v>
      </c>
      <c r="M2066">
        <v>0</v>
      </c>
      <c r="N2066">
        <v>341.88</v>
      </c>
      <c r="O2066">
        <v>397.96899999999999</v>
      </c>
      <c r="P2066">
        <v>298.70139999999998</v>
      </c>
      <c r="Q2066">
        <v>0</v>
      </c>
      <c r="R2066">
        <v>313.92899999999997</v>
      </c>
    </row>
    <row r="2067" spans="1:18" hidden="1" x14ac:dyDescent="0.25">
      <c r="A2067" t="s">
        <v>2196</v>
      </c>
      <c r="B2067" t="s">
        <v>333</v>
      </c>
      <c r="C2067" t="s">
        <v>522</v>
      </c>
      <c r="D2067" t="s">
        <v>25</v>
      </c>
      <c r="E2067">
        <v>855.58</v>
      </c>
      <c r="F2067">
        <v>0</v>
      </c>
      <c r="G2067">
        <v>324.27999999999997</v>
      </c>
      <c r="H2067">
        <v>0</v>
      </c>
      <c r="I2067">
        <v>0</v>
      </c>
      <c r="J2067">
        <v>0</v>
      </c>
      <c r="K2067">
        <v>375.31650000000002</v>
      </c>
      <c r="L2067">
        <v>0</v>
      </c>
      <c r="M2067">
        <v>0</v>
      </c>
      <c r="N2067">
        <v>363.44</v>
      </c>
      <c r="O2067">
        <v>453.87099999999998</v>
      </c>
      <c r="P2067">
        <v>303.69749999999999</v>
      </c>
      <c r="Q2067">
        <v>0</v>
      </c>
      <c r="R2067">
        <v>328.27300000000002</v>
      </c>
    </row>
    <row r="2068" spans="1:18" hidden="1" x14ac:dyDescent="0.25">
      <c r="A2068" t="s">
        <v>2197</v>
      </c>
      <c r="B2068" t="s">
        <v>333</v>
      </c>
      <c r="C2068" t="s">
        <v>522</v>
      </c>
      <c r="D2068" t="s">
        <v>27</v>
      </c>
      <c r="E2068">
        <v>1031.58</v>
      </c>
      <c r="F2068">
        <v>0</v>
      </c>
      <c r="G2068">
        <v>446.38</v>
      </c>
      <c r="H2068">
        <v>0</v>
      </c>
      <c r="I2068">
        <v>439.23</v>
      </c>
      <c r="J2068">
        <v>0</v>
      </c>
      <c r="K2068">
        <v>0</v>
      </c>
      <c r="L2068">
        <v>0</v>
      </c>
      <c r="M2068">
        <v>308.48399999999998</v>
      </c>
      <c r="N2068">
        <v>443.52</v>
      </c>
      <c r="O2068">
        <v>472.505</v>
      </c>
      <c r="P2068">
        <v>333.76459999999997</v>
      </c>
      <c r="Q2068">
        <v>0</v>
      </c>
      <c r="R2068">
        <v>382.93200000000002</v>
      </c>
    </row>
    <row r="2069" spans="1:18" hidden="1" x14ac:dyDescent="0.25">
      <c r="A2069" t="s">
        <v>2198</v>
      </c>
      <c r="B2069" t="s">
        <v>333</v>
      </c>
      <c r="C2069" t="s">
        <v>522</v>
      </c>
      <c r="D2069" t="s">
        <v>29</v>
      </c>
      <c r="E2069">
        <v>736.26300000000003</v>
      </c>
      <c r="F2069">
        <v>217.52500000000001</v>
      </c>
      <c r="G2069">
        <v>0</v>
      </c>
      <c r="H2069">
        <v>0</v>
      </c>
      <c r="I2069">
        <v>0</v>
      </c>
      <c r="J2069">
        <v>0</v>
      </c>
      <c r="K2069">
        <v>206.4932</v>
      </c>
      <c r="L2069">
        <v>0</v>
      </c>
      <c r="M2069">
        <v>0</v>
      </c>
      <c r="N2069">
        <v>213.67500000000001</v>
      </c>
      <c r="O2069">
        <v>280.84100000000001</v>
      </c>
      <c r="P2069">
        <v>210.5341</v>
      </c>
      <c r="Q2069">
        <v>217.52500000000001</v>
      </c>
      <c r="R2069">
        <v>210.529</v>
      </c>
    </row>
    <row r="2070" spans="1:18" hidden="1" x14ac:dyDescent="0.25">
      <c r="A2070" t="s">
        <v>2199</v>
      </c>
      <c r="B2070" t="s">
        <v>333</v>
      </c>
      <c r="C2070" t="s">
        <v>522</v>
      </c>
      <c r="D2070" t="s">
        <v>31</v>
      </c>
      <c r="E2070">
        <v>742.68340000000001</v>
      </c>
      <c r="F2070">
        <v>335.61</v>
      </c>
      <c r="G2070">
        <v>260.88330000000002</v>
      </c>
      <c r="H2070">
        <v>0</v>
      </c>
      <c r="I2070">
        <v>263.36200000000002</v>
      </c>
      <c r="J2070">
        <v>0</v>
      </c>
      <c r="K2070">
        <v>258.57299999999998</v>
      </c>
      <c r="L2070">
        <v>0</v>
      </c>
      <c r="M2070">
        <v>0</v>
      </c>
      <c r="N2070">
        <v>264.88</v>
      </c>
      <c r="O2070">
        <v>324.76400000000001</v>
      </c>
      <c r="P2070">
        <v>248.65979999999999</v>
      </c>
      <c r="Q2070">
        <v>335.61</v>
      </c>
      <c r="R2070">
        <v>248.655</v>
      </c>
    </row>
    <row r="2071" spans="1:18" hidden="1" x14ac:dyDescent="0.25">
      <c r="A2071" t="s">
        <v>2200</v>
      </c>
      <c r="B2071" t="s">
        <v>333</v>
      </c>
      <c r="C2071" t="s">
        <v>522</v>
      </c>
      <c r="D2071" t="s">
        <v>33</v>
      </c>
      <c r="E2071">
        <v>832.72199999999998</v>
      </c>
      <c r="F2071">
        <v>341.82499999999999</v>
      </c>
      <c r="G2071">
        <v>0</v>
      </c>
      <c r="H2071">
        <v>0</v>
      </c>
      <c r="I2071">
        <v>0</v>
      </c>
      <c r="J2071">
        <v>0</v>
      </c>
      <c r="K2071">
        <v>267.14139999999998</v>
      </c>
      <c r="L2071">
        <v>0</v>
      </c>
      <c r="M2071">
        <v>0</v>
      </c>
      <c r="N2071">
        <v>274.72500000000002</v>
      </c>
      <c r="O2071">
        <v>350.053</v>
      </c>
      <c r="P2071">
        <v>268.65699999999998</v>
      </c>
      <c r="Q2071">
        <v>341.82499999999999</v>
      </c>
      <c r="R2071">
        <v>284.108</v>
      </c>
    </row>
    <row r="2072" spans="1:18" hidden="1" x14ac:dyDescent="0.25">
      <c r="A2072" t="s">
        <v>2201</v>
      </c>
      <c r="B2072" t="s">
        <v>333</v>
      </c>
      <c r="C2072" t="s">
        <v>522</v>
      </c>
      <c r="D2072" t="s">
        <v>35</v>
      </c>
      <c r="E2072">
        <v>1082.125</v>
      </c>
      <c r="F2072">
        <v>0</v>
      </c>
      <c r="G2072">
        <v>478.1857</v>
      </c>
      <c r="H2072">
        <v>0</v>
      </c>
      <c r="I2072">
        <v>447.29300000000001</v>
      </c>
      <c r="J2072">
        <v>0</v>
      </c>
      <c r="K2072">
        <v>0</v>
      </c>
      <c r="L2072">
        <v>0</v>
      </c>
      <c r="M2072">
        <v>342.96899999999999</v>
      </c>
      <c r="N2072">
        <v>462</v>
      </c>
      <c r="O2072">
        <v>499.125</v>
      </c>
      <c r="P2072">
        <v>365.99239999999998</v>
      </c>
      <c r="Q2072">
        <v>0</v>
      </c>
      <c r="R2072" s="178">
        <v>427.185</v>
      </c>
    </row>
    <row r="2073" spans="1:18" hidden="1" x14ac:dyDescent="0.25">
      <c r="A2073" t="s">
        <v>2202</v>
      </c>
      <c r="B2073" t="s">
        <v>333</v>
      </c>
      <c r="C2073" t="s">
        <v>531</v>
      </c>
      <c r="D2073" t="s">
        <v>21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R2073">
        <v>0</v>
      </c>
    </row>
    <row r="2074" spans="1:18" hidden="1" x14ac:dyDescent="0.25">
      <c r="A2074" t="s">
        <v>2203</v>
      </c>
      <c r="B2074" t="s">
        <v>333</v>
      </c>
      <c r="C2074" t="s">
        <v>531</v>
      </c>
      <c r="D2074" t="s">
        <v>23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192.41380000000001</v>
      </c>
      <c r="R2074">
        <v>192.41200000000001</v>
      </c>
    </row>
    <row r="2075" spans="1:18" hidden="1" x14ac:dyDescent="0.25">
      <c r="A2075" t="s">
        <v>2204</v>
      </c>
      <c r="B2075" t="s">
        <v>333</v>
      </c>
      <c r="C2075" t="s">
        <v>531</v>
      </c>
      <c r="D2075" t="s">
        <v>25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208.34620000000001</v>
      </c>
      <c r="R2075">
        <v>208.351</v>
      </c>
    </row>
    <row r="2076" spans="1:18" hidden="1" x14ac:dyDescent="0.25">
      <c r="A2076" t="s">
        <v>2205</v>
      </c>
      <c r="B2076" t="s">
        <v>333</v>
      </c>
      <c r="C2076" t="s">
        <v>531</v>
      </c>
      <c r="D2076" t="s">
        <v>27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288.62060000000002</v>
      </c>
      <c r="R2076">
        <v>288.61799999999999</v>
      </c>
    </row>
    <row r="2077" spans="1:18" hidden="1" x14ac:dyDescent="0.25">
      <c r="A2077" t="s">
        <v>2206</v>
      </c>
      <c r="B2077" t="s">
        <v>333</v>
      </c>
      <c r="C2077" t="s">
        <v>531</v>
      </c>
      <c r="D2077" t="s">
        <v>29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128.79089999999999</v>
      </c>
      <c r="R2077">
        <v>128.78800000000001</v>
      </c>
    </row>
    <row r="2078" spans="1:18" hidden="1" x14ac:dyDescent="0.25">
      <c r="A2078" t="s">
        <v>2207</v>
      </c>
      <c r="B2078" t="s">
        <v>333</v>
      </c>
      <c r="C2078" t="s">
        <v>531</v>
      </c>
      <c r="D2078" t="s">
        <v>31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149.48929999999999</v>
      </c>
      <c r="R2078">
        <v>149.49</v>
      </c>
    </row>
    <row r="2079" spans="1:18" hidden="1" x14ac:dyDescent="0.25">
      <c r="A2079" t="s">
        <v>2208</v>
      </c>
      <c r="B2079" t="s">
        <v>333</v>
      </c>
      <c r="C2079" t="s">
        <v>531</v>
      </c>
      <c r="D2079" t="s">
        <v>33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152.58670000000001</v>
      </c>
      <c r="R2079">
        <v>152.59200000000001</v>
      </c>
    </row>
    <row r="2080" spans="1:18" hidden="1" x14ac:dyDescent="0.25">
      <c r="A2080" t="s">
        <v>2209</v>
      </c>
      <c r="B2080" t="s">
        <v>333</v>
      </c>
      <c r="C2080" t="s">
        <v>531</v>
      </c>
      <c r="D2080" t="s">
        <v>35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303.6628</v>
      </c>
      <c r="R2080">
        <v>303.666</v>
      </c>
    </row>
    <row r="2081" spans="1:18" hidden="1" x14ac:dyDescent="0.25">
      <c r="A2081" t="s">
        <v>2210</v>
      </c>
      <c r="B2081" t="s">
        <v>333</v>
      </c>
      <c r="C2081" t="s">
        <v>540</v>
      </c>
      <c r="D2081" t="s">
        <v>21</v>
      </c>
      <c r="E2081">
        <v>128.69999999999999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192.11850000000001</v>
      </c>
      <c r="L2081">
        <v>0</v>
      </c>
      <c r="M2081">
        <v>0</v>
      </c>
      <c r="N2081">
        <v>195.36</v>
      </c>
      <c r="O2081">
        <v>250.22800000000001</v>
      </c>
      <c r="P2081">
        <v>0</v>
      </c>
      <c r="R2081">
        <v>0</v>
      </c>
    </row>
    <row r="2082" spans="1:18" hidden="1" x14ac:dyDescent="0.25">
      <c r="A2082" t="s">
        <v>2211</v>
      </c>
      <c r="B2082" t="s">
        <v>333</v>
      </c>
      <c r="C2082" t="s">
        <v>540</v>
      </c>
      <c r="D2082" t="s">
        <v>23</v>
      </c>
      <c r="E2082">
        <v>205.92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295.97399999999999</v>
      </c>
      <c r="L2082">
        <v>0</v>
      </c>
      <c r="M2082">
        <v>0</v>
      </c>
      <c r="N2082">
        <v>293.04000000000002</v>
      </c>
      <c r="O2082">
        <v>385.99</v>
      </c>
      <c r="P2082">
        <v>215.989</v>
      </c>
      <c r="R2082">
        <v>215.98500000000001</v>
      </c>
    </row>
    <row r="2083" spans="1:18" hidden="1" x14ac:dyDescent="0.25">
      <c r="A2083" t="s">
        <v>2212</v>
      </c>
      <c r="B2083" t="s">
        <v>333</v>
      </c>
      <c r="C2083" t="s">
        <v>540</v>
      </c>
      <c r="D2083" t="s">
        <v>25</v>
      </c>
      <c r="E2083">
        <v>225.22499999999999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323.66879999999998</v>
      </c>
      <c r="L2083">
        <v>0</v>
      </c>
      <c r="M2083">
        <v>0</v>
      </c>
      <c r="N2083">
        <v>311.35500000000002</v>
      </c>
      <c r="O2083">
        <v>453.87099999999998</v>
      </c>
      <c r="P2083">
        <v>232.05269999999999</v>
      </c>
      <c r="R2083">
        <v>232.05600000000001</v>
      </c>
    </row>
    <row r="2084" spans="1:18" hidden="1" x14ac:dyDescent="0.25">
      <c r="A2084" t="s">
        <v>2213</v>
      </c>
      <c r="B2084" t="s">
        <v>333</v>
      </c>
      <c r="C2084" t="s">
        <v>540</v>
      </c>
      <c r="D2084" t="s">
        <v>27</v>
      </c>
      <c r="E2084">
        <v>308.88</v>
      </c>
      <c r="F2084">
        <v>0</v>
      </c>
      <c r="G2084">
        <v>0</v>
      </c>
      <c r="H2084">
        <v>0</v>
      </c>
      <c r="I2084">
        <v>488.4</v>
      </c>
      <c r="J2084">
        <v>0</v>
      </c>
      <c r="K2084">
        <v>0</v>
      </c>
      <c r="L2084">
        <v>0</v>
      </c>
      <c r="M2084">
        <v>420.7484</v>
      </c>
      <c r="N2084">
        <v>476.19</v>
      </c>
      <c r="O2084">
        <v>505.78</v>
      </c>
      <c r="P2084">
        <v>329.71069999999997</v>
      </c>
      <c r="R2084">
        <v>329.714</v>
      </c>
    </row>
    <row r="2085" spans="1:18" hidden="1" x14ac:dyDescent="0.25">
      <c r="A2085" t="s">
        <v>2214</v>
      </c>
      <c r="B2085" t="s">
        <v>333</v>
      </c>
      <c r="C2085" t="s">
        <v>540</v>
      </c>
      <c r="D2085" t="s">
        <v>29</v>
      </c>
      <c r="E2085">
        <v>141.57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205.49029999999999</v>
      </c>
      <c r="L2085">
        <v>0</v>
      </c>
      <c r="M2085">
        <v>0</v>
      </c>
      <c r="N2085">
        <v>207.57</v>
      </c>
      <c r="O2085">
        <v>272.85500000000002</v>
      </c>
      <c r="P2085">
        <v>149.67740000000001</v>
      </c>
      <c r="R2085">
        <v>149.67699999999999</v>
      </c>
    </row>
    <row r="2086" spans="1:18" hidden="1" x14ac:dyDescent="0.25">
      <c r="A2086" t="s">
        <v>2215</v>
      </c>
      <c r="B2086" t="s">
        <v>333</v>
      </c>
      <c r="C2086" t="s">
        <v>540</v>
      </c>
      <c r="D2086" t="s">
        <v>31</v>
      </c>
      <c r="E2086">
        <v>160.875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244.06989999999999</v>
      </c>
      <c r="L2086">
        <v>0</v>
      </c>
      <c r="M2086">
        <v>0</v>
      </c>
      <c r="N2086">
        <v>244.2</v>
      </c>
      <c r="O2086">
        <v>319.44</v>
      </c>
      <c r="P2086">
        <v>173.86709999999999</v>
      </c>
      <c r="R2086">
        <v>173.86600000000001</v>
      </c>
    </row>
    <row r="2087" spans="1:18" hidden="1" x14ac:dyDescent="0.25">
      <c r="A2087" t="s">
        <v>2216</v>
      </c>
      <c r="B2087" t="s">
        <v>333</v>
      </c>
      <c r="C2087" t="s">
        <v>540</v>
      </c>
      <c r="D2087" t="s">
        <v>33</v>
      </c>
      <c r="E2087">
        <v>173.745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263.32429999999999</v>
      </c>
      <c r="L2087">
        <v>0</v>
      </c>
      <c r="M2087">
        <v>0</v>
      </c>
      <c r="N2087">
        <v>262.51499999999999</v>
      </c>
      <c r="O2087">
        <v>332.75</v>
      </c>
      <c r="P2087">
        <v>186.40710000000001</v>
      </c>
      <c r="R2087">
        <v>186.40600000000001</v>
      </c>
    </row>
    <row r="2088" spans="1:18" hidden="1" x14ac:dyDescent="0.25">
      <c r="A2088" t="s">
        <v>2217</v>
      </c>
      <c r="B2088" t="s">
        <v>333</v>
      </c>
      <c r="C2088" t="s">
        <v>540</v>
      </c>
      <c r="D2088" t="s">
        <v>35</v>
      </c>
      <c r="E2088">
        <v>319.77</v>
      </c>
      <c r="F2088">
        <v>0</v>
      </c>
      <c r="G2088">
        <v>0</v>
      </c>
      <c r="H2088">
        <v>0</v>
      </c>
      <c r="I2088">
        <v>488.4</v>
      </c>
      <c r="J2088">
        <v>0</v>
      </c>
      <c r="K2088">
        <v>0</v>
      </c>
      <c r="L2088">
        <v>0</v>
      </c>
      <c r="M2088">
        <v>442.06639999999999</v>
      </c>
      <c r="N2088">
        <v>488.4</v>
      </c>
      <c r="O2088">
        <v>574.99199999999996</v>
      </c>
      <c r="P2088">
        <v>349.12259999999998</v>
      </c>
      <c r="R2088">
        <v>349.11799999999999</v>
      </c>
    </row>
    <row r="2089" spans="1:18" hidden="1" x14ac:dyDescent="0.25">
      <c r="A2089" t="s">
        <v>2218</v>
      </c>
      <c r="B2089" t="s">
        <v>333</v>
      </c>
      <c r="C2089" t="s">
        <v>549</v>
      </c>
      <c r="D2089" t="s">
        <v>21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R2089">
        <v>0</v>
      </c>
    </row>
    <row r="2090" spans="1:18" hidden="1" x14ac:dyDescent="0.25">
      <c r="A2090" t="s">
        <v>2219</v>
      </c>
      <c r="B2090" t="s">
        <v>333</v>
      </c>
      <c r="C2090" t="s">
        <v>549</v>
      </c>
      <c r="D2090" t="s">
        <v>23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252.58799999999999</v>
      </c>
      <c r="L2090">
        <v>0</v>
      </c>
      <c r="M2090">
        <v>0</v>
      </c>
      <c r="N2090">
        <v>0</v>
      </c>
      <c r="O2090">
        <v>0</v>
      </c>
      <c r="P2090">
        <v>192.41380000000001</v>
      </c>
      <c r="R2090">
        <v>192.41200000000001</v>
      </c>
    </row>
    <row r="2091" spans="1:18" hidden="1" x14ac:dyDescent="0.25">
      <c r="A2091" t="s">
        <v>2220</v>
      </c>
      <c r="B2091" t="s">
        <v>333</v>
      </c>
      <c r="C2091" t="s">
        <v>549</v>
      </c>
      <c r="D2091" t="s">
        <v>25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204.65280000000001</v>
      </c>
      <c r="R2091">
        <v>204.655</v>
      </c>
    </row>
    <row r="2092" spans="1:18" hidden="1" x14ac:dyDescent="0.25">
      <c r="A2092" t="s">
        <v>2221</v>
      </c>
      <c r="B2092" t="s">
        <v>333</v>
      </c>
      <c r="C2092" t="s">
        <v>549</v>
      </c>
      <c r="D2092" t="s">
        <v>27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288.62060000000002</v>
      </c>
      <c r="R2092">
        <v>288.61799999999999</v>
      </c>
    </row>
    <row r="2093" spans="1:18" hidden="1" x14ac:dyDescent="0.25">
      <c r="A2093" t="s">
        <v>2222</v>
      </c>
      <c r="B2093" t="s">
        <v>333</v>
      </c>
      <c r="C2093" t="s">
        <v>549</v>
      </c>
      <c r="D2093" t="s">
        <v>29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144.31030000000001</v>
      </c>
      <c r="R2093">
        <v>144.309</v>
      </c>
    </row>
    <row r="2094" spans="1:18" hidden="1" x14ac:dyDescent="0.25">
      <c r="A2094" t="s">
        <v>2223</v>
      </c>
      <c r="B2094" t="s">
        <v>333</v>
      </c>
      <c r="C2094" t="s">
        <v>549</v>
      </c>
      <c r="D2094" t="s">
        <v>31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157.07599999999999</v>
      </c>
      <c r="R2094">
        <v>157.08000000000001</v>
      </c>
    </row>
    <row r="2095" spans="1:18" hidden="1" x14ac:dyDescent="0.25">
      <c r="A2095" t="s">
        <v>2224</v>
      </c>
      <c r="B2095" t="s">
        <v>333</v>
      </c>
      <c r="C2095" t="s">
        <v>549</v>
      </c>
      <c r="D2095" t="s">
        <v>33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165.1267</v>
      </c>
      <c r="R2095">
        <v>165.13200000000001</v>
      </c>
    </row>
    <row r="2096" spans="1:18" hidden="1" x14ac:dyDescent="0.25">
      <c r="A2096" t="s">
        <v>2225</v>
      </c>
      <c r="B2096" t="s">
        <v>333</v>
      </c>
      <c r="C2096" t="s">
        <v>549</v>
      </c>
      <c r="D2096" t="s">
        <v>35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306.4024</v>
      </c>
      <c r="R2096">
        <v>306.40499999999997</v>
      </c>
    </row>
    <row r="2097" spans="1:18" hidden="1" x14ac:dyDescent="0.25">
      <c r="A2097" t="s">
        <v>2226</v>
      </c>
      <c r="B2097" t="s">
        <v>333</v>
      </c>
      <c r="C2097" t="s">
        <v>558</v>
      </c>
      <c r="D2097" t="s">
        <v>21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</row>
    <row r="2098" spans="1:18" hidden="1" x14ac:dyDescent="0.25">
      <c r="A2098" t="s">
        <v>2227</v>
      </c>
      <c r="B2098" t="s">
        <v>333</v>
      </c>
      <c r="C2098" t="s">
        <v>558</v>
      </c>
      <c r="D2098" t="s">
        <v>23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240.24639999999999</v>
      </c>
      <c r="Q2098">
        <v>0</v>
      </c>
      <c r="R2098">
        <v>240.251</v>
      </c>
    </row>
    <row r="2099" spans="1:18" hidden="1" x14ac:dyDescent="0.25">
      <c r="A2099" t="s">
        <v>2228</v>
      </c>
      <c r="B2099" t="s">
        <v>333</v>
      </c>
      <c r="C2099" t="s">
        <v>558</v>
      </c>
      <c r="D2099" t="s">
        <v>25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270.5505</v>
      </c>
      <c r="Q2099">
        <v>0</v>
      </c>
      <c r="R2099">
        <v>270.55599999999998</v>
      </c>
    </row>
    <row r="2100" spans="1:18" hidden="1" x14ac:dyDescent="0.25">
      <c r="A2100" t="s">
        <v>2229</v>
      </c>
      <c r="B2100" t="s">
        <v>333</v>
      </c>
      <c r="C2100" t="s">
        <v>558</v>
      </c>
      <c r="D2100" t="s">
        <v>27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362.85739999999998</v>
      </c>
      <c r="Q2100">
        <v>0</v>
      </c>
      <c r="R2100">
        <v>362.85700000000003</v>
      </c>
    </row>
    <row r="2101" spans="1:18" hidden="1" x14ac:dyDescent="0.25">
      <c r="A2101" t="s">
        <v>2230</v>
      </c>
      <c r="B2101" t="s">
        <v>333</v>
      </c>
      <c r="C2101" t="s">
        <v>558</v>
      </c>
      <c r="D2101" t="s">
        <v>29</v>
      </c>
      <c r="E2101">
        <v>0</v>
      </c>
      <c r="F2101">
        <v>169.4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171.07069999999999</v>
      </c>
      <c r="Q2101">
        <v>169.4</v>
      </c>
      <c r="R2101">
        <v>171.072</v>
      </c>
    </row>
    <row r="2102" spans="1:18" hidden="1" x14ac:dyDescent="0.25">
      <c r="A2102" t="s">
        <v>2231</v>
      </c>
      <c r="B2102" t="s">
        <v>333</v>
      </c>
      <c r="C2102" t="s">
        <v>558</v>
      </c>
      <c r="D2102" t="s">
        <v>31</v>
      </c>
      <c r="E2102">
        <v>0</v>
      </c>
      <c r="F2102">
        <v>249.26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193.2646</v>
      </c>
      <c r="Q2102">
        <v>249.26</v>
      </c>
      <c r="R2102">
        <v>193.27</v>
      </c>
    </row>
    <row r="2103" spans="1:18" hidden="1" x14ac:dyDescent="0.25">
      <c r="A2103" t="s">
        <v>2232</v>
      </c>
      <c r="B2103" t="s">
        <v>333</v>
      </c>
      <c r="C2103" t="s">
        <v>558</v>
      </c>
      <c r="D2103" t="s">
        <v>33</v>
      </c>
      <c r="E2103">
        <v>0</v>
      </c>
      <c r="F2103">
        <v>256.52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208.16399999999999</v>
      </c>
      <c r="Q2103">
        <v>256.52</v>
      </c>
      <c r="R2103">
        <v>208.16399999999999</v>
      </c>
    </row>
    <row r="2104" spans="1:18" hidden="1" x14ac:dyDescent="0.25">
      <c r="A2104" t="s">
        <v>2233</v>
      </c>
      <c r="B2104" t="s">
        <v>333</v>
      </c>
      <c r="C2104" t="s">
        <v>558</v>
      </c>
      <c r="D2104" t="s">
        <v>35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384.75229999999999</v>
      </c>
      <c r="Q2104">
        <v>0</v>
      </c>
      <c r="R2104">
        <v>384.74700000000001</v>
      </c>
    </row>
    <row r="2105" spans="1:18" hidden="1" x14ac:dyDescent="0.25">
      <c r="A2105" t="s">
        <v>2234</v>
      </c>
      <c r="B2105" t="s">
        <v>333</v>
      </c>
      <c r="C2105" t="s">
        <v>567</v>
      </c>
      <c r="D2105" t="s">
        <v>21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</row>
    <row r="2106" spans="1:18" hidden="1" x14ac:dyDescent="0.25">
      <c r="A2106" t="s">
        <v>2235</v>
      </c>
      <c r="B2106" t="s">
        <v>333</v>
      </c>
      <c r="C2106" t="s">
        <v>567</v>
      </c>
      <c r="D2106" t="s">
        <v>23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264.6943</v>
      </c>
      <c r="Q2106">
        <v>0</v>
      </c>
      <c r="R2106">
        <v>264.69299999999998</v>
      </c>
    </row>
    <row r="2107" spans="1:18" hidden="1" x14ac:dyDescent="0.25">
      <c r="A2107" t="s">
        <v>2236</v>
      </c>
      <c r="B2107" t="s">
        <v>333</v>
      </c>
      <c r="C2107" t="s">
        <v>567</v>
      </c>
      <c r="D2107" t="s">
        <v>25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264.12540000000001</v>
      </c>
      <c r="Q2107">
        <v>0</v>
      </c>
      <c r="R2107">
        <v>264.12099999999998</v>
      </c>
    </row>
    <row r="2108" spans="1:18" hidden="1" x14ac:dyDescent="0.25">
      <c r="A2108" t="s">
        <v>2237</v>
      </c>
      <c r="B2108" t="s">
        <v>333</v>
      </c>
      <c r="C2108" t="s">
        <v>567</v>
      </c>
      <c r="D2108" t="s">
        <v>27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352.24860000000001</v>
      </c>
      <c r="Q2108">
        <v>0</v>
      </c>
      <c r="R2108">
        <v>352.25299999999999</v>
      </c>
    </row>
    <row r="2109" spans="1:18" hidden="1" x14ac:dyDescent="0.25">
      <c r="A2109" t="s">
        <v>2238</v>
      </c>
      <c r="B2109" t="s">
        <v>333</v>
      </c>
      <c r="C2109" t="s">
        <v>567</v>
      </c>
      <c r="D2109" t="s">
        <v>29</v>
      </c>
      <c r="E2109">
        <v>0</v>
      </c>
      <c r="F2109">
        <v>206.976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178.1585</v>
      </c>
      <c r="Q2109">
        <v>206.976</v>
      </c>
      <c r="R2109">
        <v>178.15600000000001</v>
      </c>
    </row>
    <row r="2110" spans="1:18" hidden="1" x14ac:dyDescent="0.25">
      <c r="A2110" t="s">
        <v>2239</v>
      </c>
      <c r="B2110" t="s">
        <v>333</v>
      </c>
      <c r="C2110" t="s">
        <v>567</v>
      </c>
      <c r="D2110" t="s">
        <v>31</v>
      </c>
      <c r="E2110">
        <v>0</v>
      </c>
      <c r="F2110">
        <v>264.88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199.38380000000001</v>
      </c>
      <c r="Q2110">
        <v>264.88</v>
      </c>
      <c r="R2110">
        <v>199.386</v>
      </c>
    </row>
    <row r="2111" spans="1:18" hidden="1" x14ac:dyDescent="0.25">
      <c r="A2111" t="s">
        <v>2240</v>
      </c>
      <c r="B2111" t="s">
        <v>333</v>
      </c>
      <c r="C2111" t="s">
        <v>567</v>
      </c>
      <c r="D2111" t="s">
        <v>33</v>
      </c>
      <c r="E2111">
        <v>0</v>
      </c>
      <c r="F2111">
        <v>271.04000000000002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228.84370000000001</v>
      </c>
      <c r="Q2111">
        <v>271.04000000000002</v>
      </c>
      <c r="R2111">
        <v>228.84399999999999</v>
      </c>
    </row>
    <row r="2112" spans="1:18" hidden="1" x14ac:dyDescent="0.25">
      <c r="A2112" t="s">
        <v>2241</v>
      </c>
      <c r="B2112" t="s">
        <v>333</v>
      </c>
      <c r="C2112" t="s">
        <v>567</v>
      </c>
      <c r="D2112" t="s">
        <v>35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370.56229999999999</v>
      </c>
      <c r="Q2112">
        <v>0</v>
      </c>
      <c r="R2112">
        <v>370.55700000000002</v>
      </c>
    </row>
    <row r="2113" spans="1:18" hidden="1" x14ac:dyDescent="0.25">
      <c r="A2113" t="s">
        <v>2242</v>
      </c>
      <c r="B2113" t="s">
        <v>333</v>
      </c>
      <c r="C2113" t="s">
        <v>576</v>
      </c>
      <c r="D2113" t="s">
        <v>21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R2113">
        <v>0</v>
      </c>
    </row>
    <row r="2114" spans="1:18" hidden="1" x14ac:dyDescent="0.25">
      <c r="A2114" t="s">
        <v>2243</v>
      </c>
      <c r="B2114" t="s">
        <v>333</v>
      </c>
      <c r="C2114" t="s">
        <v>576</v>
      </c>
      <c r="D2114" t="s">
        <v>23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R2114">
        <v>0</v>
      </c>
    </row>
    <row r="2115" spans="1:18" hidden="1" x14ac:dyDescent="0.25">
      <c r="A2115" t="s">
        <v>2244</v>
      </c>
      <c r="B2115" t="s">
        <v>333</v>
      </c>
      <c r="C2115" t="s">
        <v>576</v>
      </c>
      <c r="D2115" t="s">
        <v>25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R2115">
        <v>0</v>
      </c>
    </row>
    <row r="2116" spans="1:18" hidden="1" x14ac:dyDescent="0.25">
      <c r="A2116" t="s">
        <v>2245</v>
      </c>
      <c r="B2116" t="s">
        <v>333</v>
      </c>
      <c r="C2116" t="s">
        <v>576</v>
      </c>
      <c r="D2116" t="s">
        <v>27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438.9</v>
      </c>
      <c r="N2116">
        <v>0</v>
      </c>
      <c r="O2116">
        <v>0</v>
      </c>
      <c r="P2116">
        <v>0</v>
      </c>
      <c r="R2116">
        <v>0</v>
      </c>
    </row>
    <row r="2117" spans="1:18" hidden="1" x14ac:dyDescent="0.25">
      <c r="A2117" t="s">
        <v>2246</v>
      </c>
      <c r="B2117" t="s">
        <v>333</v>
      </c>
      <c r="C2117" t="s">
        <v>576</v>
      </c>
      <c r="D2117" t="s">
        <v>29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R2117">
        <v>0</v>
      </c>
    </row>
    <row r="2118" spans="1:18" hidden="1" x14ac:dyDescent="0.25">
      <c r="A2118" t="s">
        <v>2247</v>
      </c>
      <c r="B2118" t="s">
        <v>333</v>
      </c>
      <c r="C2118" t="s">
        <v>576</v>
      </c>
      <c r="D2118" t="s">
        <v>31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R2118">
        <v>0</v>
      </c>
    </row>
    <row r="2119" spans="1:18" hidden="1" x14ac:dyDescent="0.25">
      <c r="A2119" t="s">
        <v>2248</v>
      </c>
      <c r="B2119" t="s">
        <v>333</v>
      </c>
      <c r="C2119" t="s">
        <v>576</v>
      </c>
      <c r="D2119" t="s">
        <v>33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R2119">
        <v>0</v>
      </c>
    </row>
    <row r="2120" spans="1:18" hidden="1" x14ac:dyDescent="0.25">
      <c r="A2120" t="s">
        <v>2249</v>
      </c>
      <c r="B2120" t="s">
        <v>333</v>
      </c>
      <c r="C2120" t="s">
        <v>576</v>
      </c>
      <c r="D2120" t="s">
        <v>35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451.44</v>
      </c>
      <c r="N2120">
        <v>0</v>
      </c>
      <c r="O2120">
        <v>0</v>
      </c>
      <c r="P2120">
        <v>0</v>
      </c>
      <c r="R2120">
        <v>0</v>
      </c>
    </row>
    <row r="2121" spans="1:18" hidden="1" x14ac:dyDescent="0.25">
      <c r="A2121" t="s">
        <v>2250</v>
      </c>
      <c r="B2121" t="s">
        <v>333</v>
      </c>
      <c r="C2121" t="s">
        <v>585</v>
      </c>
      <c r="D2121" t="s">
        <v>21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R2121">
        <v>0</v>
      </c>
    </row>
    <row r="2122" spans="1:18" hidden="1" x14ac:dyDescent="0.25">
      <c r="A2122" t="s">
        <v>2251</v>
      </c>
      <c r="B2122" t="s">
        <v>333</v>
      </c>
      <c r="C2122" t="s">
        <v>585</v>
      </c>
      <c r="D2122" t="s">
        <v>23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363.66</v>
      </c>
      <c r="R2122">
        <v>701.404</v>
      </c>
    </row>
    <row r="2123" spans="1:18" hidden="1" x14ac:dyDescent="0.25">
      <c r="A2123" t="s">
        <v>2252</v>
      </c>
      <c r="B2123" t="s">
        <v>333</v>
      </c>
      <c r="C2123" t="s">
        <v>585</v>
      </c>
      <c r="D2123" t="s">
        <v>25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382.47</v>
      </c>
      <c r="R2123">
        <v>722.029</v>
      </c>
    </row>
    <row r="2124" spans="1:18" hidden="1" x14ac:dyDescent="0.25">
      <c r="A2124" t="s">
        <v>2253</v>
      </c>
      <c r="B2124" t="s">
        <v>333</v>
      </c>
      <c r="C2124" t="s">
        <v>585</v>
      </c>
      <c r="D2124" t="s">
        <v>27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441.90960000000001</v>
      </c>
      <c r="R2124">
        <v>858.56100000000004</v>
      </c>
    </row>
    <row r="2125" spans="1:18" hidden="1" x14ac:dyDescent="0.25">
      <c r="A2125" t="s">
        <v>2254</v>
      </c>
      <c r="B2125" t="s">
        <v>333</v>
      </c>
      <c r="C2125" t="s">
        <v>585</v>
      </c>
      <c r="D2125" t="s">
        <v>29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300.95999999999998</v>
      </c>
      <c r="R2125">
        <v>520.69600000000003</v>
      </c>
    </row>
    <row r="2126" spans="1:18" hidden="1" x14ac:dyDescent="0.25">
      <c r="A2126" t="s">
        <v>2255</v>
      </c>
      <c r="B2126" t="s">
        <v>333</v>
      </c>
      <c r="C2126" t="s">
        <v>585</v>
      </c>
      <c r="D2126" t="s">
        <v>31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332.31</v>
      </c>
      <c r="R2126">
        <v>584.19899999999996</v>
      </c>
    </row>
    <row r="2127" spans="1:18" hidden="1" x14ac:dyDescent="0.25">
      <c r="A2127" t="s">
        <v>2256</v>
      </c>
      <c r="B2127" t="s">
        <v>333</v>
      </c>
      <c r="C2127" t="s">
        <v>585</v>
      </c>
      <c r="D2127" t="s">
        <v>33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344.85</v>
      </c>
      <c r="R2127">
        <v>620.75199999999995</v>
      </c>
    </row>
    <row r="2128" spans="1:18" hidden="1" x14ac:dyDescent="0.25">
      <c r="A2128" t="s">
        <v>2257</v>
      </c>
      <c r="B2128" t="s">
        <v>333</v>
      </c>
      <c r="C2128" t="s">
        <v>585</v>
      </c>
      <c r="D2128" t="s">
        <v>35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454.6377</v>
      </c>
      <c r="R2128">
        <v>885.68700000000001</v>
      </c>
    </row>
    <row r="2129" spans="1:18" hidden="1" x14ac:dyDescent="0.25">
      <c r="A2129" t="s">
        <v>2258</v>
      </c>
      <c r="B2129" t="s">
        <v>333</v>
      </c>
      <c r="C2129" t="s">
        <v>594</v>
      </c>
      <c r="D2129" t="s">
        <v>21</v>
      </c>
      <c r="E2129">
        <v>309.61340000000001</v>
      </c>
      <c r="F2129">
        <v>0</v>
      </c>
      <c r="G2129">
        <v>431.7133</v>
      </c>
      <c r="H2129">
        <v>0</v>
      </c>
      <c r="I2129">
        <v>0</v>
      </c>
      <c r="J2129">
        <v>0</v>
      </c>
      <c r="K2129">
        <v>502.19400000000002</v>
      </c>
      <c r="L2129">
        <v>0</v>
      </c>
      <c r="M2129">
        <v>0</v>
      </c>
      <c r="N2129">
        <v>518.61699999999996</v>
      </c>
      <c r="O2129">
        <v>590.96400000000006</v>
      </c>
      <c r="P2129">
        <v>0</v>
      </c>
      <c r="R2129">
        <v>0</v>
      </c>
    </row>
    <row r="2130" spans="1:18" hidden="1" x14ac:dyDescent="0.25">
      <c r="A2130" t="s">
        <v>2259</v>
      </c>
      <c r="B2130" t="s">
        <v>333</v>
      </c>
      <c r="C2130" t="s">
        <v>594</v>
      </c>
      <c r="D2130" t="s">
        <v>23</v>
      </c>
      <c r="E2130">
        <v>373.23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697.63030000000003</v>
      </c>
      <c r="L2130">
        <v>0</v>
      </c>
      <c r="M2130">
        <v>0</v>
      </c>
      <c r="N2130">
        <v>708.18</v>
      </c>
      <c r="O2130">
        <v>775.97299999999996</v>
      </c>
      <c r="P2130">
        <v>396.16370000000001</v>
      </c>
      <c r="R2130">
        <v>622.40200000000004</v>
      </c>
    </row>
    <row r="2131" spans="1:18" hidden="1" x14ac:dyDescent="0.25">
      <c r="A2131" t="s">
        <v>2260</v>
      </c>
      <c r="B2131" t="s">
        <v>333</v>
      </c>
      <c r="C2131" t="s">
        <v>594</v>
      </c>
      <c r="D2131" t="s">
        <v>25</v>
      </c>
      <c r="E2131">
        <v>392.53500000000003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805.65639999999996</v>
      </c>
      <c r="L2131">
        <v>0</v>
      </c>
      <c r="M2131">
        <v>0</v>
      </c>
      <c r="N2131">
        <v>720.39</v>
      </c>
      <c r="O2131">
        <v>923.71400000000006</v>
      </c>
      <c r="P2131">
        <v>414.56119999999999</v>
      </c>
      <c r="R2131">
        <v>701.61300000000006</v>
      </c>
    </row>
    <row r="2132" spans="1:18" hidden="1" x14ac:dyDescent="0.25">
      <c r="A2132" t="s">
        <v>2261</v>
      </c>
      <c r="B2132" t="s">
        <v>333</v>
      </c>
      <c r="C2132" t="s">
        <v>594</v>
      </c>
      <c r="D2132" t="s">
        <v>27</v>
      </c>
      <c r="E2132">
        <v>553.41</v>
      </c>
      <c r="F2132">
        <v>0</v>
      </c>
      <c r="G2132">
        <v>0</v>
      </c>
      <c r="H2132">
        <v>0</v>
      </c>
      <c r="I2132">
        <v>879.12</v>
      </c>
      <c r="J2132">
        <v>0</v>
      </c>
      <c r="K2132">
        <v>0</v>
      </c>
      <c r="L2132">
        <v>0</v>
      </c>
      <c r="M2132">
        <v>0</v>
      </c>
      <c r="N2132">
        <v>866.91</v>
      </c>
      <c r="O2132">
        <v>983.60900000000004</v>
      </c>
      <c r="P2132">
        <v>581.49220000000003</v>
      </c>
      <c r="R2132">
        <v>900.94399999999996</v>
      </c>
    </row>
    <row r="2133" spans="1:18" hidden="1" x14ac:dyDescent="0.25">
      <c r="A2133" t="s">
        <v>2262</v>
      </c>
      <c r="B2133" t="s">
        <v>333</v>
      </c>
      <c r="C2133" t="s">
        <v>594</v>
      </c>
      <c r="D2133" t="s">
        <v>29</v>
      </c>
      <c r="E2133">
        <v>308.88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514.90290000000005</v>
      </c>
      <c r="L2133">
        <v>0</v>
      </c>
      <c r="M2133">
        <v>0</v>
      </c>
      <c r="N2133">
        <v>525.03</v>
      </c>
      <c r="O2133">
        <v>612.26</v>
      </c>
      <c r="P2133">
        <v>326.46640000000002</v>
      </c>
      <c r="R2133">
        <v>326.46899999999999</v>
      </c>
    </row>
    <row r="2134" spans="1:18" hidden="1" x14ac:dyDescent="0.25">
      <c r="A2134" t="s">
        <v>2263</v>
      </c>
      <c r="B2134" t="s">
        <v>333</v>
      </c>
      <c r="C2134" t="s">
        <v>594</v>
      </c>
      <c r="D2134" t="s">
        <v>31</v>
      </c>
      <c r="E2134">
        <v>341.05500000000001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629.72439999999995</v>
      </c>
      <c r="L2134">
        <v>0</v>
      </c>
      <c r="M2134">
        <v>0</v>
      </c>
      <c r="N2134">
        <v>641.02499999999998</v>
      </c>
      <c r="O2134">
        <v>636.21799999999996</v>
      </c>
      <c r="P2134">
        <v>359.17160000000001</v>
      </c>
      <c r="R2134">
        <v>359.17200000000003</v>
      </c>
    </row>
    <row r="2135" spans="1:18" hidden="1" x14ac:dyDescent="0.25">
      <c r="A2135" t="s">
        <v>2264</v>
      </c>
      <c r="B2135" t="s">
        <v>333</v>
      </c>
      <c r="C2135" t="s">
        <v>594</v>
      </c>
      <c r="D2135" t="s">
        <v>33</v>
      </c>
      <c r="E2135">
        <v>353.92500000000001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653.09870000000001</v>
      </c>
      <c r="L2135">
        <v>0</v>
      </c>
      <c r="M2135">
        <v>0</v>
      </c>
      <c r="N2135">
        <v>659.34</v>
      </c>
      <c r="O2135">
        <v>689.45799999999997</v>
      </c>
      <c r="P2135">
        <v>380.13760000000002</v>
      </c>
      <c r="R2135">
        <v>580.67899999999997</v>
      </c>
    </row>
    <row r="2136" spans="1:18" hidden="1" x14ac:dyDescent="0.25">
      <c r="A2136" t="s">
        <v>2265</v>
      </c>
      <c r="B2136" t="s">
        <v>333</v>
      </c>
      <c r="C2136" t="s">
        <v>594</v>
      </c>
      <c r="D2136" t="s">
        <v>35</v>
      </c>
      <c r="E2136">
        <v>572.71500000000003</v>
      </c>
      <c r="F2136">
        <v>0</v>
      </c>
      <c r="G2136">
        <v>0</v>
      </c>
      <c r="H2136">
        <v>0</v>
      </c>
      <c r="I2136">
        <v>842.49</v>
      </c>
      <c r="J2136">
        <v>0</v>
      </c>
      <c r="K2136">
        <v>0</v>
      </c>
      <c r="L2136">
        <v>0</v>
      </c>
      <c r="M2136">
        <v>0</v>
      </c>
      <c r="N2136">
        <v>885.22500000000002</v>
      </c>
      <c r="O2136">
        <v>1028.8630000000001</v>
      </c>
      <c r="P2136">
        <v>596.91639999999995</v>
      </c>
      <c r="R2136">
        <v>929.75300000000004</v>
      </c>
    </row>
    <row r="2137" spans="1:18" hidden="1" x14ac:dyDescent="0.25">
      <c r="A2137" t="s">
        <v>2266</v>
      </c>
      <c r="B2137" t="s">
        <v>333</v>
      </c>
      <c r="C2137" t="s">
        <v>603</v>
      </c>
      <c r="D2137" t="s">
        <v>21</v>
      </c>
      <c r="E2137">
        <v>520.14599999999996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166.9342</v>
      </c>
      <c r="L2137">
        <v>0</v>
      </c>
      <c r="M2137">
        <v>0</v>
      </c>
      <c r="N2137">
        <v>183.15</v>
      </c>
      <c r="O2137">
        <v>190.333</v>
      </c>
      <c r="P2137">
        <v>0</v>
      </c>
      <c r="Q2137">
        <v>0</v>
      </c>
      <c r="R2137">
        <v>0</v>
      </c>
    </row>
    <row r="2138" spans="1:18" hidden="1" x14ac:dyDescent="0.25">
      <c r="A2138" t="s">
        <v>2267</v>
      </c>
      <c r="B2138" t="s">
        <v>333</v>
      </c>
      <c r="C2138" t="s">
        <v>603</v>
      </c>
      <c r="D2138" t="s">
        <v>23</v>
      </c>
      <c r="E2138">
        <v>632.47799999999995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272.34899999999999</v>
      </c>
      <c r="L2138">
        <v>0</v>
      </c>
      <c r="M2138">
        <v>0</v>
      </c>
      <c r="N2138">
        <v>244.2</v>
      </c>
      <c r="O2138">
        <v>326.09500000000003</v>
      </c>
      <c r="P2138">
        <v>236.8289</v>
      </c>
      <c r="Q2138">
        <v>0</v>
      </c>
      <c r="R2138">
        <v>236.83</v>
      </c>
    </row>
    <row r="2139" spans="1:18" hidden="1" x14ac:dyDescent="0.25">
      <c r="A2139" t="s">
        <v>2268</v>
      </c>
      <c r="B2139" t="s">
        <v>333</v>
      </c>
      <c r="C2139" t="s">
        <v>603</v>
      </c>
      <c r="D2139" t="s">
        <v>25</v>
      </c>
      <c r="E2139">
        <v>711.84299999999996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295.31880000000001</v>
      </c>
      <c r="L2139">
        <v>0</v>
      </c>
      <c r="M2139">
        <v>0</v>
      </c>
      <c r="N2139">
        <v>305.25</v>
      </c>
      <c r="O2139">
        <v>356.70800000000003</v>
      </c>
      <c r="P2139">
        <v>248.70249999999999</v>
      </c>
      <c r="Q2139">
        <v>0</v>
      </c>
      <c r="R2139">
        <v>248.69900000000001</v>
      </c>
    </row>
    <row r="2140" spans="1:18" hidden="1" x14ac:dyDescent="0.25">
      <c r="A2140" t="s">
        <v>2269</v>
      </c>
      <c r="B2140" t="s">
        <v>333</v>
      </c>
      <c r="C2140" t="s">
        <v>603</v>
      </c>
      <c r="D2140" t="s">
        <v>27</v>
      </c>
      <c r="E2140">
        <v>902.31899999999996</v>
      </c>
      <c r="F2140">
        <v>0</v>
      </c>
      <c r="G2140">
        <v>0</v>
      </c>
      <c r="H2140">
        <v>0</v>
      </c>
      <c r="I2140">
        <v>372.40499999999997</v>
      </c>
      <c r="J2140">
        <v>0</v>
      </c>
      <c r="K2140">
        <v>0</v>
      </c>
      <c r="L2140">
        <v>0</v>
      </c>
      <c r="M2140">
        <v>0</v>
      </c>
      <c r="N2140">
        <v>366.3</v>
      </c>
      <c r="O2140">
        <v>379.33499999999998</v>
      </c>
      <c r="P2140">
        <v>342.61939999999998</v>
      </c>
      <c r="Q2140">
        <v>0</v>
      </c>
      <c r="R2140">
        <v>342.61700000000002</v>
      </c>
    </row>
    <row r="2141" spans="1:18" hidden="1" x14ac:dyDescent="0.25">
      <c r="A2141" t="s">
        <v>2270</v>
      </c>
      <c r="B2141" t="s">
        <v>333</v>
      </c>
      <c r="C2141" t="s">
        <v>603</v>
      </c>
      <c r="D2141" t="s">
        <v>29</v>
      </c>
      <c r="E2141">
        <v>542.12400000000002</v>
      </c>
      <c r="F2141">
        <v>157.30000000000001</v>
      </c>
      <c r="G2141">
        <v>0</v>
      </c>
      <c r="H2141">
        <v>0</v>
      </c>
      <c r="I2141">
        <v>0</v>
      </c>
      <c r="J2141">
        <v>0</v>
      </c>
      <c r="K2141">
        <v>181.86529999999999</v>
      </c>
      <c r="L2141">
        <v>0</v>
      </c>
      <c r="M2141">
        <v>0</v>
      </c>
      <c r="N2141">
        <v>189.255</v>
      </c>
      <c r="O2141">
        <v>240.911</v>
      </c>
      <c r="P2141">
        <v>163.62360000000001</v>
      </c>
      <c r="Q2141">
        <v>157.30000000000001</v>
      </c>
      <c r="R2141">
        <v>163.625</v>
      </c>
    </row>
    <row r="2142" spans="1:18" hidden="1" x14ac:dyDescent="0.25">
      <c r="A2142" t="s">
        <v>2271</v>
      </c>
      <c r="B2142" t="s">
        <v>333</v>
      </c>
      <c r="C2142" t="s">
        <v>603</v>
      </c>
      <c r="D2142" t="s">
        <v>31</v>
      </c>
      <c r="E2142">
        <v>561.66</v>
      </c>
      <c r="F2142">
        <v>199.65</v>
      </c>
      <c r="G2142">
        <v>0</v>
      </c>
      <c r="H2142">
        <v>0</v>
      </c>
      <c r="I2142">
        <v>0</v>
      </c>
      <c r="J2142">
        <v>0</v>
      </c>
      <c r="K2142">
        <v>208.63239999999999</v>
      </c>
      <c r="L2142">
        <v>0</v>
      </c>
      <c r="M2142">
        <v>0</v>
      </c>
      <c r="N2142">
        <v>207.57</v>
      </c>
      <c r="O2142">
        <v>264.86900000000003</v>
      </c>
      <c r="P2142">
        <v>204.05090000000001</v>
      </c>
      <c r="Q2142">
        <v>199.65</v>
      </c>
      <c r="R2142">
        <v>204.05</v>
      </c>
    </row>
    <row r="2143" spans="1:18" hidden="1" x14ac:dyDescent="0.25">
      <c r="A2143" t="s">
        <v>2272</v>
      </c>
      <c r="B2143" t="s">
        <v>333</v>
      </c>
      <c r="C2143" t="s">
        <v>603</v>
      </c>
      <c r="D2143" t="s">
        <v>33</v>
      </c>
      <c r="E2143">
        <v>583.63800000000003</v>
      </c>
      <c r="F2143">
        <v>211.75</v>
      </c>
      <c r="G2143">
        <v>0</v>
      </c>
      <c r="H2143">
        <v>0</v>
      </c>
      <c r="I2143">
        <v>0</v>
      </c>
      <c r="J2143">
        <v>0</v>
      </c>
      <c r="K2143">
        <v>227.88679999999999</v>
      </c>
      <c r="L2143">
        <v>0</v>
      </c>
      <c r="M2143">
        <v>0</v>
      </c>
      <c r="N2143">
        <v>219.78</v>
      </c>
      <c r="O2143">
        <v>280.84100000000001</v>
      </c>
      <c r="P2143">
        <v>213.18</v>
      </c>
      <c r="Q2143">
        <v>211.75</v>
      </c>
      <c r="R2143">
        <v>213.18</v>
      </c>
    </row>
    <row r="2144" spans="1:18" hidden="1" x14ac:dyDescent="0.25">
      <c r="A2144" t="s">
        <v>2273</v>
      </c>
      <c r="B2144" t="s">
        <v>333</v>
      </c>
      <c r="C2144" t="s">
        <v>603</v>
      </c>
      <c r="D2144" t="s">
        <v>35</v>
      </c>
      <c r="E2144">
        <v>943.83299999999997</v>
      </c>
      <c r="F2144">
        <v>0</v>
      </c>
      <c r="G2144">
        <v>0</v>
      </c>
      <c r="H2144">
        <v>0</v>
      </c>
      <c r="I2144">
        <v>372.40499999999997</v>
      </c>
      <c r="J2144">
        <v>0</v>
      </c>
      <c r="K2144">
        <v>0</v>
      </c>
      <c r="L2144">
        <v>0</v>
      </c>
      <c r="M2144">
        <v>0</v>
      </c>
      <c r="N2144">
        <v>366.3</v>
      </c>
      <c r="O2144">
        <v>393.976</v>
      </c>
      <c r="P2144">
        <v>370.03030000000001</v>
      </c>
      <c r="Q2144">
        <v>0</v>
      </c>
      <c r="R2144">
        <v>370.029</v>
      </c>
    </row>
    <row r="2145" spans="1:18" hidden="1" x14ac:dyDescent="0.25">
      <c r="A2145" t="s">
        <v>2274</v>
      </c>
      <c r="B2145" t="s">
        <v>333</v>
      </c>
      <c r="C2145" t="s">
        <v>612</v>
      </c>
      <c r="D2145" t="s">
        <v>21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</row>
    <row r="2146" spans="1:18" hidden="1" x14ac:dyDescent="0.25">
      <c r="A2146" t="s">
        <v>2275</v>
      </c>
      <c r="B2146" t="s">
        <v>333</v>
      </c>
      <c r="C2146" t="s">
        <v>612</v>
      </c>
      <c r="D2146" t="s">
        <v>23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263.56569999999999</v>
      </c>
      <c r="Q2146">
        <v>0</v>
      </c>
      <c r="R2146">
        <v>263.57100000000003</v>
      </c>
    </row>
    <row r="2147" spans="1:18" hidden="1" x14ac:dyDescent="0.25">
      <c r="A2147" t="s">
        <v>2276</v>
      </c>
      <c r="B2147" t="s">
        <v>333</v>
      </c>
      <c r="C2147" t="s">
        <v>612</v>
      </c>
      <c r="D2147" t="s">
        <v>25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259.86180000000002</v>
      </c>
      <c r="Q2147">
        <v>0</v>
      </c>
      <c r="R2147">
        <v>259.86399999999998</v>
      </c>
    </row>
    <row r="2148" spans="1:18" hidden="1" x14ac:dyDescent="0.25">
      <c r="A2148" t="s">
        <v>2277</v>
      </c>
      <c r="B2148" t="s">
        <v>333</v>
      </c>
      <c r="C2148" t="s">
        <v>612</v>
      </c>
      <c r="D2148" t="s">
        <v>27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352.24860000000001</v>
      </c>
      <c r="Q2148">
        <v>0</v>
      </c>
      <c r="R2148">
        <v>352.25299999999999</v>
      </c>
    </row>
    <row r="2149" spans="1:18" hidden="1" x14ac:dyDescent="0.25">
      <c r="A2149" t="s">
        <v>2278</v>
      </c>
      <c r="B2149" t="s">
        <v>333</v>
      </c>
      <c r="C2149" t="s">
        <v>612</v>
      </c>
      <c r="D2149" t="s">
        <v>29</v>
      </c>
      <c r="E2149">
        <v>0</v>
      </c>
      <c r="F2149">
        <v>206.976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182.12119999999999</v>
      </c>
      <c r="Q2149">
        <v>206.976</v>
      </c>
      <c r="R2149">
        <v>182.11600000000001</v>
      </c>
    </row>
    <row r="2150" spans="1:18" hidden="1" x14ac:dyDescent="0.25">
      <c r="A2150" t="s">
        <v>2279</v>
      </c>
      <c r="B2150" t="s">
        <v>333</v>
      </c>
      <c r="C2150" t="s">
        <v>612</v>
      </c>
      <c r="D2150" t="s">
        <v>31</v>
      </c>
      <c r="E2150">
        <v>0</v>
      </c>
      <c r="F2150">
        <v>264.88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199.6848</v>
      </c>
      <c r="Q2150">
        <v>264.88</v>
      </c>
      <c r="R2150">
        <v>199.68299999999999</v>
      </c>
    </row>
    <row r="2151" spans="1:18" hidden="1" x14ac:dyDescent="0.25">
      <c r="A2151" t="s">
        <v>2280</v>
      </c>
      <c r="B2151" t="s">
        <v>333</v>
      </c>
      <c r="C2151" t="s">
        <v>612</v>
      </c>
      <c r="D2151" t="s">
        <v>33</v>
      </c>
      <c r="E2151">
        <v>0</v>
      </c>
      <c r="F2151">
        <v>277.2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229.57230000000001</v>
      </c>
      <c r="Q2151">
        <v>277.2</v>
      </c>
      <c r="R2151">
        <v>229.57</v>
      </c>
    </row>
    <row r="2152" spans="1:18" hidden="1" x14ac:dyDescent="0.25">
      <c r="A2152" t="s">
        <v>2281</v>
      </c>
      <c r="B2152" t="s">
        <v>333</v>
      </c>
      <c r="C2152" t="s">
        <v>612</v>
      </c>
      <c r="D2152" t="s">
        <v>35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370.56229999999999</v>
      </c>
      <c r="Q2152">
        <v>0</v>
      </c>
      <c r="R2152">
        <v>370.55700000000002</v>
      </c>
    </row>
    <row r="2153" spans="1:18" hidden="1" x14ac:dyDescent="0.25">
      <c r="A2153" t="s">
        <v>2282</v>
      </c>
      <c r="B2153" t="s">
        <v>333</v>
      </c>
      <c r="C2153" t="s">
        <v>621</v>
      </c>
      <c r="D2153" t="s">
        <v>21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R2153">
        <v>0</v>
      </c>
    </row>
    <row r="2154" spans="1:18" hidden="1" x14ac:dyDescent="0.25">
      <c r="A2154" t="s">
        <v>2283</v>
      </c>
      <c r="B2154" t="s">
        <v>333</v>
      </c>
      <c r="C2154" t="s">
        <v>621</v>
      </c>
      <c r="D2154" t="s">
        <v>23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355.43380000000002</v>
      </c>
      <c r="R2154">
        <v>355.43200000000002</v>
      </c>
    </row>
    <row r="2155" spans="1:18" hidden="1" x14ac:dyDescent="0.25">
      <c r="A2155" t="s">
        <v>2284</v>
      </c>
      <c r="B2155" t="s">
        <v>333</v>
      </c>
      <c r="C2155" t="s">
        <v>621</v>
      </c>
      <c r="D2155" t="s">
        <v>25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368.1</v>
      </c>
      <c r="R2155">
        <v>368.10399999999998</v>
      </c>
    </row>
    <row r="2156" spans="1:18" hidden="1" x14ac:dyDescent="0.25">
      <c r="A2156" t="s">
        <v>2285</v>
      </c>
      <c r="B2156" t="s">
        <v>333</v>
      </c>
      <c r="C2156" t="s">
        <v>621</v>
      </c>
      <c r="D2156" t="s">
        <v>27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426.48540000000003</v>
      </c>
      <c r="R2156">
        <v>426.48099999999999</v>
      </c>
    </row>
    <row r="2157" spans="1:18" hidden="1" x14ac:dyDescent="0.25">
      <c r="A2157" t="s">
        <v>2286</v>
      </c>
      <c r="B2157" t="s">
        <v>333</v>
      </c>
      <c r="C2157" t="s">
        <v>621</v>
      </c>
      <c r="D2157" t="s">
        <v>29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214.5343</v>
      </c>
      <c r="R2157">
        <v>214.53299999999999</v>
      </c>
    </row>
    <row r="2158" spans="1:18" hidden="1" x14ac:dyDescent="0.25">
      <c r="A2158" t="s">
        <v>2287</v>
      </c>
      <c r="B2158" t="s">
        <v>333</v>
      </c>
      <c r="C2158" t="s">
        <v>621</v>
      </c>
      <c r="D2158" t="s">
        <v>31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258.81709999999998</v>
      </c>
      <c r="R2158">
        <v>258.81900000000002</v>
      </c>
    </row>
    <row r="2159" spans="1:18" hidden="1" x14ac:dyDescent="0.25">
      <c r="A2159" t="s">
        <v>2288</v>
      </c>
      <c r="B2159" t="s">
        <v>333</v>
      </c>
      <c r="C2159" t="s">
        <v>621</v>
      </c>
      <c r="D2159" t="s">
        <v>33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281.72359999999998</v>
      </c>
      <c r="R2159">
        <v>281.721</v>
      </c>
    </row>
    <row r="2160" spans="1:18" hidden="1" x14ac:dyDescent="0.25">
      <c r="A2160" t="s">
        <v>2289</v>
      </c>
      <c r="B2160" t="s">
        <v>333</v>
      </c>
      <c r="C2160" t="s">
        <v>621</v>
      </c>
      <c r="D2160" t="s">
        <v>35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443.13850000000002</v>
      </c>
      <c r="R2160">
        <v>443.13499999999999</v>
      </c>
    </row>
    <row r="2161" spans="1:18" hidden="1" x14ac:dyDescent="0.25">
      <c r="A2161" t="s">
        <v>2290</v>
      </c>
      <c r="B2161" t="s">
        <v>333</v>
      </c>
      <c r="C2161" t="s">
        <v>630</v>
      </c>
      <c r="D2161" t="s">
        <v>21</v>
      </c>
      <c r="E2161">
        <v>213.67500000000001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202.3717</v>
      </c>
      <c r="L2161">
        <v>0</v>
      </c>
      <c r="M2161">
        <v>0</v>
      </c>
      <c r="N2161">
        <v>183.15</v>
      </c>
      <c r="O2161">
        <v>196.988</v>
      </c>
      <c r="P2161">
        <v>0</v>
      </c>
      <c r="Q2161">
        <v>0</v>
      </c>
      <c r="R2161">
        <v>0</v>
      </c>
    </row>
    <row r="2162" spans="1:18" hidden="1" x14ac:dyDescent="0.25">
      <c r="A2162" t="s">
        <v>2291</v>
      </c>
      <c r="B2162" t="s">
        <v>333</v>
      </c>
      <c r="C2162" t="s">
        <v>630</v>
      </c>
      <c r="D2162" t="s">
        <v>23</v>
      </c>
      <c r="E2162">
        <v>372.40499999999997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301.54950000000002</v>
      </c>
      <c r="L2162">
        <v>0</v>
      </c>
      <c r="M2162">
        <v>0</v>
      </c>
      <c r="N2162">
        <v>244.2</v>
      </c>
      <c r="O2162">
        <v>332.75</v>
      </c>
      <c r="P2162">
        <v>248.05070000000001</v>
      </c>
      <c r="Q2162">
        <v>0</v>
      </c>
      <c r="R2162">
        <v>248.05</v>
      </c>
    </row>
    <row r="2163" spans="1:18" hidden="1" x14ac:dyDescent="0.25">
      <c r="A2163" t="s">
        <v>2292</v>
      </c>
      <c r="B2163" t="s">
        <v>333</v>
      </c>
      <c r="C2163" t="s">
        <v>630</v>
      </c>
      <c r="D2163" t="s">
        <v>25</v>
      </c>
      <c r="E2163">
        <v>390.72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330.35939999999999</v>
      </c>
      <c r="L2163">
        <v>0</v>
      </c>
      <c r="M2163">
        <v>0</v>
      </c>
      <c r="N2163">
        <v>305.25</v>
      </c>
      <c r="O2163">
        <v>379.33499999999998</v>
      </c>
      <c r="P2163">
        <v>253.21690000000001</v>
      </c>
      <c r="Q2163">
        <v>0</v>
      </c>
      <c r="R2163">
        <v>253.22</v>
      </c>
    </row>
    <row r="2164" spans="1:18" hidden="1" x14ac:dyDescent="0.25">
      <c r="A2164" t="s">
        <v>2293</v>
      </c>
      <c r="B2164" t="s">
        <v>333</v>
      </c>
      <c r="C2164" t="s">
        <v>630</v>
      </c>
      <c r="D2164" t="s">
        <v>27</v>
      </c>
      <c r="E2164">
        <v>537.24</v>
      </c>
      <c r="F2164">
        <v>0</v>
      </c>
      <c r="G2164">
        <v>0</v>
      </c>
      <c r="H2164">
        <v>0</v>
      </c>
      <c r="I2164">
        <v>415.14</v>
      </c>
      <c r="J2164">
        <v>0</v>
      </c>
      <c r="K2164">
        <v>0</v>
      </c>
      <c r="L2164">
        <v>0</v>
      </c>
      <c r="M2164">
        <v>0</v>
      </c>
      <c r="N2164">
        <v>366.3</v>
      </c>
      <c r="O2164">
        <v>407.286</v>
      </c>
      <c r="P2164">
        <v>351.00900000000001</v>
      </c>
      <c r="Q2164">
        <v>0</v>
      </c>
      <c r="R2164">
        <v>351.01</v>
      </c>
    </row>
    <row r="2165" spans="1:18" hidden="1" x14ac:dyDescent="0.25">
      <c r="A2165" t="s">
        <v>2294</v>
      </c>
      <c r="B2165" t="s">
        <v>333</v>
      </c>
      <c r="C2165" t="s">
        <v>630</v>
      </c>
      <c r="D2165" t="s">
        <v>29</v>
      </c>
      <c r="E2165">
        <v>225.88499999999999</v>
      </c>
      <c r="F2165">
        <v>194.65600000000001</v>
      </c>
      <c r="G2165">
        <v>0</v>
      </c>
      <c r="H2165">
        <v>0</v>
      </c>
      <c r="I2165">
        <v>0</v>
      </c>
      <c r="J2165">
        <v>0</v>
      </c>
      <c r="K2165">
        <v>217.30279999999999</v>
      </c>
      <c r="L2165">
        <v>0</v>
      </c>
      <c r="M2165">
        <v>0</v>
      </c>
      <c r="N2165">
        <v>189.255</v>
      </c>
      <c r="O2165">
        <v>232.92500000000001</v>
      </c>
      <c r="P2165">
        <v>171.874</v>
      </c>
      <c r="Q2165">
        <v>194.65600000000001</v>
      </c>
      <c r="R2165">
        <v>171.875</v>
      </c>
    </row>
    <row r="2166" spans="1:18" hidden="1" x14ac:dyDescent="0.25">
      <c r="A2166" t="s">
        <v>2295</v>
      </c>
      <c r="B2166" t="s">
        <v>333</v>
      </c>
      <c r="C2166" t="s">
        <v>630</v>
      </c>
      <c r="D2166" t="s">
        <v>31</v>
      </c>
      <c r="E2166">
        <v>323.565</v>
      </c>
      <c r="F2166">
        <v>206.976</v>
      </c>
      <c r="G2166">
        <v>0</v>
      </c>
      <c r="H2166">
        <v>0</v>
      </c>
      <c r="I2166">
        <v>0</v>
      </c>
      <c r="J2166">
        <v>0</v>
      </c>
      <c r="K2166">
        <v>244.06989999999999</v>
      </c>
      <c r="L2166">
        <v>0</v>
      </c>
      <c r="M2166">
        <v>0</v>
      </c>
      <c r="N2166">
        <v>207.57</v>
      </c>
      <c r="O2166">
        <v>259.54500000000002</v>
      </c>
      <c r="P2166">
        <v>211.2739</v>
      </c>
      <c r="Q2166">
        <v>206.976</v>
      </c>
      <c r="R2166">
        <v>211.27699999999999</v>
      </c>
    </row>
    <row r="2167" spans="1:18" hidden="1" x14ac:dyDescent="0.25">
      <c r="A2167" t="s">
        <v>2296</v>
      </c>
      <c r="B2167" t="s">
        <v>333</v>
      </c>
      <c r="C2167" t="s">
        <v>630</v>
      </c>
      <c r="D2167" t="s">
        <v>33</v>
      </c>
      <c r="E2167">
        <v>335.77499999999998</v>
      </c>
      <c r="F2167">
        <v>221.76</v>
      </c>
      <c r="G2167">
        <v>0</v>
      </c>
      <c r="H2167">
        <v>0</v>
      </c>
      <c r="I2167">
        <v>0</v>
      </c>
      <c r="J2167">
        <v>0</v>
      </c>
      <c r="K2167">
        <v>263.32429999999999</v>
      </c>
      <c r="L2167">
        <v>0</v>
      </c>
      <c r="M2167">
        <v>0</v>
      </c>
      <c r="N2167">
        <v>219.78</v>
      </c>
      <c r="O2167">
        <v>279.51</v>
      </c>
      <c r="P2167">
        <v>225.72</v>
      </c>
      <c r="Q2167">
        <v>221.76</v>
      </c>
      <c r="R2167">
        <v>225.72</v>
      </c>
    </row>
    <row r="2168" spans="1:18" hidden="1" x14ac:dyDescent="0.25">
      <c r="A2168" t="s">
        <v>2297</v>
      </c>
      <c r="B2168" t="s">
        <v>333</v>
      </c>
      <c r="C2168" t="s">
        <v>630</v>
      </c>
      <c r="D2168" t="s">
        <v>35</v>
      </c>
      <c r="E2168">
        <v>549.45000000000005</v>
      </c>
      <c r="F2168">
        <v>0</v>
      </c>
      <c r="G2168">
        <v>0</v>
      </c>
      <c r="H2168">
        <v>0</v>
      </c>
      <c r="I2168">
        <v>415.14</v>
      </c>
      <c r="J2168">
        <v>0</v>
      </c>
      <c r="K2168">
        <v>0</v>
      </c>
      <c r="L2168">
        <v>0</v>
      </c>
      <c r="M2168">
        <v>0</v>
      </c>
      <c r="N2168">
        <v>366.3</v>
      </c>
      <c r="O2168">
        <v>424.589</v>
      </c>
      <c r="P2168">
        <v>351.00900000000001</v>
      </c>
      <c r="Q2168">
        <v>0</v>
      </c>
      <c r="R2168">
        <v>351.01</v>
      </c>
    </row>
    <row r="2169" spans="1:18" hidden="1" x14ac:dyDescent="0.25">
      <c r="A2169" t="s">
        <v>2298</v>
      </c>
      <c r="B2169" t="s">
        <v>333</v>
      </c>
      <c r="C2169" t="s">
        <v>639</v>
      </c>
      <c r="D2169" t="s">
        <v>21</v>
      </c>
      <c r="E2169">
        <v>213.18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290.44009999999997</v>
      </c>
      <c r="L2169">
        <v>0</v>
      </c>
      <c r="M2169">
        <v>0</v>
      </c>
      <c r="N2169">
        <v>293.04000000000002</v>
      </c>
      <c r="O2169">
        <v>437.899</v>
      </c>
      <c r="P2169">
        <v>0</v>
      </c>
      <c r="R2169">
        <v>0</v>
      </c>
    </row>
    <row r="2170" spans="1:18" hidden="1" x14ac:dyDescent="0.25">
      <c r="A2170" t="s">
        <v>2299</v>
      </c>
      <c r="B2170" t="s">
        <v>333</v>
      </c>
      <c r="C2170" t="s">
        <v>639</v>
      </c>
      <c r="D2170" t="s">
        <v>23</v>
      </c>
      <c r="E2170">
        <v>313.5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383.37520000000001</v>
      </c>
      <c r="L2170">
        <v>0</v>
      </c>
      <c r="M2170">
        <v>0</v>
      </c>
      <c r="N2170">
        <v>384.61500000000001</v>
      </c>
      <c r="O2170">
        <v>537.72400000000005</v>
      </c>
      <c r="P2170">
        <v>323.30970000000002</v>
      </c>
      <c r="R2170">
        <v>432.608</v>
      </c>
    </row>
    <row r="2171" spans="1:18" hidden="1" x14ac:dyDescent="0.25">
      <c r="A2171" t="s">
        <v>2300</v>
      </c>
      <c r="B2171" t="s">
        <v>333</v>
      </c>
      <c r="C2171" t="s">
        <v>639</v>
      </c>
      <c r="D2171" t="s">
        <v>25</v>
      </c>
      <c r="E2171">
        <v>332.31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428.55020000000002</v>
      </c>
      <c r="L2171">
        <v>0</v>
      </c>
      <c r="M2171">
        <v>0</v>
      </c>
      <c r="N2171">
        <v>402.93</v>
      </c>
      <c r="O2171">
        <v>568.33699999999999</v>
      </c>
      <c r="P2171">
        <v>337.66329999999999</v>
      </c>
      <c r="R2171">
        <v>440.26400000000001</v>
      </c>
    </row>
    <row r="2172" spans="1:18" hidden="1" x14ac:dyDescent="0.25">
      <c r="A2172" t="s">
        <v>2301</v>
      </c>
      <c r="B2172" t="s">
        <v>333</v>
      </c>
      <c r="C2172" t="s">
        <v>639</v>
      </c>
      <c r="D2172" t="s">
        <v>27</v>
      </c>
      <c r="E2172">
        <v>395.01</v>
      </c>
      <c r="F2172">
        <v>0</v>
      </c>
      <c r="G2172">
        <v>0</v>
      </c>
      <c r="H2172">
        <v>697.84</v>
      </c>
      <c r="I2172">
        <v>634.91999999999996</v>
      </c>
      <c r="J2172">
        <v>0</v>
      </c>
      <c r="K2172">
        <v>0</v>
      </c>
      <c r="L2172">
        <v>0</v>
      </c>
      <c r="M2172">
        <v>529.81500000000005</v>
      </c>
      <c r="N2172">
        <v>616.60500000000002</v>
      </c>
      <c r="O2172">
        <v>598.95000000000005</v>
      </c>
      <c r="P2172">
        <v>431.4074</v>
      </c>
      <c r="R2172">
        <v>503.96499999999997</v>
      </c>
    </row>
    <row r="2173" spans="1:18" hidden="1" x14ac:dyDescent="0.25">
      <c r="A2173" t="s">
        <v>2302</v>
      </c>
      <c r="B2173" t="s">
        <v>333</v>
      </c>
      <c r="C2173" t="s">
        <v>639</v>
      </c>
      <c r="D2173" t="s">
        <v>29</v>
      </c>
      <c r="E2173">
        <v>225.72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301.62009999999998</v>
      </c>
      <c r="L2173">
        <v>0</v>
      </c>
      <c r="M2173">
        <v>0</v>
      </c>
      <c r="N2173">
        <v>305.25</v>
      </c>
      <c r="O2173">
        <v>460.52600000000001</v>
      </c>
      <c r="P2173">
        <v>237.1062</v>
      </c>
      <c r="R2173">
        <v>237.10499999999999</v>
      </c>
    </row>
    <row r="2174" spans="1:18" hidden="1" x14ac:dyDescent="0.25">
      <c r="A2174" t="s">
        <v>2303</v>
      </c>
      <c r="B2174" t="s">
        <v>333</v>
      </c>
      <c r="C2174" t="s">
        <v>639</v>
      </c>
      <c r="D2174" t="s">
        <v>31</v>
      </c>
      <c r="E2174">
        <v>263.08339999999998</v>
      </c>
      <c r="F2174">
        <v>0</v>
      </c>
      <c r="G2174">
        <v>353.2833</v>
      </c>
      <c r="H2174">
        <v>0</v>
      </c>
      <c r="I2174">
        <v>352.46199999999999</v>
      </c>
      <c r="J2174">
        <v>0</v>
      </c>
      <c r="K2174">
        <v>343.08409999999998</v>
      </c>
      <c r="L2174">
        <v>0</v>
      </c>
      <c r="M2174">
        <v>0</v>
      </c>
      <c r="N2174">
        <v>351.08699999999999</v>
      </c>
      <c r="O2174">
        <v>484.48399999999998</v>
      </c>
      <c r="P2174">
        <v>258.81709999999998</v>
      </c>
      <c r="R2174">
        <v>258.81900000000002</v>
      </c>
    </row>
    <row r="2175" spans="1:18" hidden="1" x14ac:dyDescent="0.25">
      <c r="A2175" t="s">
        <v>2304</v>
      </c>
      <c r="B2175" t="s">
        <v>333</v>
      </c>
      <c r="C2175" t="s">
        <v>639</v>
      </c>
      <c r="D2175" t="s">
        <v>33</v>
      </c>
      <c r="E2175">
        <v>269.61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357.85509999999999</v>
      </c>
      <c r="L2175">
        <v>0</v>
      </c>
      <c r="M2175">
        <v>0</v>
      </c>
      <c r="N2175">
        <v>360.19499999999999</v>
      </c>
      <c r="O2175">
        <v>509.77300000000002</v>
      </c>
      <c r="P2175">
        <v>284.94189999999998</v>
      </c>
      <c r="R2175">
        <v>394.94400000000002</v>
      </c>
    </row>
    <row r="2176" spans="1:18" hidden="1" x14ac:dyDescent="0.25">
      <c r="A2176" t="s">
        <v>2305</v>
      </c>
      <c r="B2176" t="s">
        <v>333</v>
      </c>
      <c r="C2176" t="s">
        <v>639</v>
      </c>
      <c r="D2176" t="s">
        <v>35</v>
      </c>
      <c r="E2176">
        <v>426.36</v>
      </c>
      <c r="F2176">
        <v>0</v>
      </c>
      <c r="G2176">
        <v>0</v>
      </c>
      <c r="H2176">
        <v>697.84</v>
      </c>
      <c r="I2176">
        <v>634.91999999999996</v>
      </c>
      <c r="J2176">
        <v>0</v>
      </c>
      <c r="K2176">
        <v>0</v>
      </c>
      <c r="L2176">
        <v>0</v>
      </c>
      <c r="M2176">
        <v>578.721</v>
      </c>
      <c r="N2176">
        <v>647.13</v>
      </c>
      <c r="O2176">
        <v>652.19000000000005</v>
      </c>
      <c r="P2176">
        <v>465.42140000000001</v>
      </c>
      <c r="R2176">
        <v>553.42100000000005</v>
      </c>
    </row>
    <row r="2177" spans="1:18" hidden="1" x14ac:dyDescent="0.25">
      <c r="A2177" t="s">
        <v>2306</v>
      </c>
      <c r="B2177" t="s">
        <v>333</v>
      </c>
      <c r="C2177" t="s">
        <v>648</v>
      </c>
      <c r="D2177" t="s">
        <v>21</v>
      </c>
      <c r="E2177">
        <v>293.04000000000002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180.30600000000001</v>
      </c>
      <c r="L2177">
        <v>0</v>
      </c>
      <c r="M2177">
        <v>0</v>
      </c>
      <c r="N2177">
        <v>183.15</v>
      </c>
      <c r="O2177">
        <v>363</v>
      </c>
      <c r="P2177">
        <v>0</v>
      </c>
      <c r="R2177">
        <v>0</v>
      </c>
    </row>
    <row r="2178" spans="1:18" hidden="1" x14ac:dyDescent="0.25">
      <c r="A2178" t="s">
        <v>2307</v>
      </c>
      <c r="B2178" t="s">
        <v>333</v>
      </c>
      <c r="C2178" t="s">
        <v>648</v>
      </c>
      <c r="D2178" t="s">
        <v>23</v>
      </c>
      <c r="E2178">
        <v>384.61500000000001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331.41149999999999</v>
      </c>
      <c r="L2178">
        <v>0</v>
      </c>
      <c r="M2178">
        <v>0</v>
      </c>
      <c r="N2178">
        <v>329.67</v>
      </c>
      <c r="O2178">
        <v>444.19099999999997</v>
      </c>
      <c r="P2178">
        <v>323.76909999999998</v>
      </c>
      <c r="R2178">
        <v>323.774</v>
      </c>
    </row>
    <row r="2179" spans="1:18" hidden="1" x14ac:dyDescent="0.25">
      <c r="A2179" t="s">
        <v>2308</v>
      </c>
      <c r="B2179" t="s">
        <v>333</v>
      </c>
      <c r="C2179" t="s">
        <v>648</v>
      </c>
      <c r="D2179" t="s">
        <v>25</v>
      </c>
      <c r="E2179">
        <v>402.93</v>
      </c>
      <c r="F2179">
        <v>0</v>
      </c>
      <c r="G2179">
        <v>383.57</v>
      </c>
      <c r="H2179">
        <v>0</v>
      </c>
      <c r="I2179">
        <v>0</v>
      </c>
      <c r="J2179">
        <v>0</v>
      </c>
      <c r="K2179">
        <v>366.19380000000001</v>
      </c>
      <c r="L2179">
        <v>0</v>
      </c>
      <c r="M2179">
        <v>0</v>
      </c>
      <c r="N2179">
        <v>347.98500000000001</v>
      </c>
      <c r="O2179">
        <v>468.149</v>
      </c>
      <c r="P2179">
        <v>336.80829999999997</v>
      </c>
      <c r="R2179">
        <v>336.80900000000003</v>
      </c>
    </row>
    <row r="2180" spans="1:18" hidden="1" x14ac:dyDescent="0.25">
      <c r="A2180" t="s">
        <v>2309</v>
      </c>
      <c r="B2180" t="s">
        <v>333</v>
      </c>
      <c r="C2180" t="s">
        <v>648</v>
      </c>
      <c r="D2180" t="s">
        <v>27</v>
      </c>
      <c r="E2180">
        <v>549.45000000000005</v>
      </c>
      <c r="F2180">
        <v>0</v>
      </c>
      <c r="G2180">
        <v>532.4</v>
      </c>
      <c r="H2180">
        <v>0</v>
      </c>
      <c r="I2180">
        <v>506.71499999999997</v>
      </c>
      <c r="J2180">
        <v>0</v>
      </c>
      <c r="K2180">
        <v>0</v>
      </c>
      <c r="L2180">
        <v>0</v>
      </c>
      <c r="M2180">
        <v>0</v>
      </c>
      <c r="N2180">
        <v>494.505</v>
      </c>
      <c r="O2180">
        <v>490.77600000000001</v>
      </c>
      <c r="P2180">
        <v>483.42439999999999</v>
      </c>
      <c r="R2180">
        <v>483.428</v>
      </c>
    </row>
    <row r="2181" spans="1:18" hidden="1" x14ac:dyDescent="0.25">
      <c r="A2181" t="s">
        <v>2310</v>
      </c>
      <c r="B2181" t="s">
        <v>333</v>
      </c>
      <c r="C2181" t="s">
        <v>648</v>
      </c>
      <c r="D2181" t="s">
        <v>29</v>
      </c>
      <c r="E2181">
        <v>305.25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193.67779999999999</v>
      </c>
      <c r="L2181">
        <v>0</v>
      </c>
      <c r="M2181">
        <v>0</v>
      </c>
      <c r="N2181">
        <v>195.36</v>
      </c>
      <c r="O2181">
        <v>380.303</v>
      </c>
      <c r="P2181">
        <v>192.41380000000001</v>
      </c>
      <c r="R2181">
        <v>192.41200000000001</v>
      </c>
    </row>
    <row r="2182" spans="1:18" hidden="1" x14ac:dyDescent="0.25">
      <c r="A2182" t="s">
        <v>2311</v>
      </c>
      <c r="B2182" t="s">
        <v>333</v>
      </c>
      <c r="C2182" t="s">
        <v>648</v>
      </c>
      <c r="D2182" t="s">
        <v>31</v>
      </c>
      <c r="E2182">
        <v>341.88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275.59739999999999</v>
      </c>
      <c r="L2182">
        <v>0</v>
      </c>
      <c r="M2182">
        <v>0</v>
      </c>
      <c r="N2182">
        <v>280.83</v>
      </c>
      <c r="O2182">
        <v>400.26799999999997</v>
      </c>
      <c r="P2182">
        <v>276.53210000000001</v>
      </c>
      <c r="R2182">
        <v>276.529</v>
      </c>
    </row>
    <row r="2183" spans="1:18" hidden="1" x14ac:dyDescent="0.25">
      <c r="A2183" t="s">
        <v>2312</v>
      </c>
      <c r="B2183" t="s">
        <v>333</v>
      </c>
      <c r="C2183" t="s">
        <v>648</v>
      </c>
      <c r="D2183" t="s">
        <v>33</v>
      </c>
      <c r="E2183">
        <v>360.19499999999999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288.17779999999999</v>
      </c>
      <c r="L2183">
        <v>0</v>
      </c>
      <c r="M2183">
        <v>0</v>
      </c>
      <c r="N2183">
        <v>293.04000000000002</v>
      </c>
      <c r="O2183">
        <v>421.56400000000002</v>
      </c>
      <c r="P2183">
        <v>286.43869999999998</v>
      </c>
      <c r="R2183">
        <v>286.44</v>
      </c>
    </row>
    <row r="2184" spans="1:18" hidden="1" x14ac:dyDescent="0.25">
      <c r="A2184" t="s">
        <v>2313</v>
      </c>
      <c r="B2184" t="s">
        <v>333</v>
      </c>
      <c r="C2184" t="s">
        <v>648</v>
      </c>
      <c r="D2184" t="s">
        <v>35</v>
      </c>
      <c r="E2184">
        <v>598.29</v>
      </c>
      <c r="F2184">
        <v>0</v>
      </c>
      <c r="G2184">
        <v>559.02</v>
      </c>
      <c r="H2184">
        <v>0</v>
      </c>
      <c r="I2184">
        <v>506.71499999999997</v>
      </c>
      <c r="J2184">
        <v>0</v>
      </c>
      <c r="K2184">
        <v>0</v>
      </c>
      <c r="L2184">
        <v>0</v>
      </c>
      <c r="M2184">
        <v>0</v>
      </c>
      <c r="N2184">
        <v>506.71499999999997</v>
      </c>
      <c r="O2184">
        <v>518.72699999999998</v>
      </c>
      <c r="P2184">
        <v>497.66430000000003</v>
      </c>
      <c r="R2184">
        <v>497.66199999999998</v>
      </c>
    </row>
    <row r="2185" spans="1:18" hidden="1" x14ac:dyDescent="0.25">
      <c r="A2185" t="s">
        <v>2314</v>
      </c>
      <c r="B2185" t="s">
        <v>333</v>
      </c>
      <c r="C2185" t="s">
        <v>657</v>
      </c>
      <c r="D2185" t="s">
        <v>21</v>
      </c>
      <c r="E2185">
        <v>183.15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202.3717</v>
      </c>
      <c r="L2185">
        <v>0</v>
      </c>
      <c r="M2185">
        <v>0</v>
      </c>
      <c r="N2185">
        <v>207.57</v>
      </c>
      <c r="O2185">
        <v>318.10899999999998</v>
      </c>
      <c r="P2185">
        <v>0</v>
      </c>
      <c r="R2185">
        <v>0</v>
      </c>
    </row>
    <row r="2186" spans="1:18" hidden="1" x14ac:dyDescent="0.25">
      <c r="A2186" t="s">
        <v>2315</v>
      </c>
      <c r="B2186" t="s">
        <v>333</v>
      </c>
      <c r="C2186" t="s">
        <v>657</v>
      </c>
      <c r="D2186" t="s">
        <v>23</v>
      </c>
      <c r="E2186">
        <v>329.67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396.3802</v>
      </c>
      <c r="L2186">
        <v>0</v>
      </c>
      <c r="M2186">
        <v>0</v>
      </c>
      <c r="N2186">
        <v>396.82499999999999</v>
      </c>
      <c r="O2186">
        <v>515.09699999999998</v>
      </c>
      <c r="P2186">
        <v>347.38310000000001</v>
      </c>
      <c r="R2186">
        <v>347.38</v>
      </c>
    </row>
    <row r="2187" spans="1:18" hidden="1" x14ac:dyDescent="0.25">
      <c r="A2187" t="s">
        <v>2316</v>
      </c>
      <c r="B2187" t="s">
        <v>333</v>
      </c>
      <c r="C2187" t="s">
        <v>657</v>
      </c>
      <c r="D2187" t="s">
        <v>25</v>
      </c>
      <c r="E2187">
        <v>347.98500000000001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444.15629999999999</v>
      </c>
      <c r="L2187">
        <v>0</v>
      </c>
      <c r="M2187">
        <v>0</v>
      </c>
      <c r="N2187">
        <v>415.14</v>
      </c>
      <c r="O2187">
        <v>590.96400000000006</v>
      </c>
      <c r="P2187">
        <v>364.5378</v>
      </c>
      <c r="R2187">
        <v>364.54</v>
      </c>
    </row>
    <row r="2188" spans="1:18" hidden="1" x14ac:dyDescent="0.25">
      <c r="A2188" t="s">
        <v>2317</v>
      </c>
      <c r="B2188" t="s">
        <v>333</v>
      </c>
      <c r="C2188" t="s">
        <v>657</v>
      </c>
      <c r="D2188" t="s">
        <v>27</v>
      </c>
      <c r="E2188">
        <v>494.505</v>
      </c>
      <c r="F2188">
        <v>0</v>
      </c>
      <c r="G2188">
        <v>0</v>
      </c>
      <c r="H2188">
        <v>0</v>
      </c>
      <c r="I2188">
        <v>537.24</v>
      </c>
      <c r="J2188">
        <v>0</v>
      </c>
      <c r="K2188">
        <v>0</v>
      </c>
      <c r="L2188">
        <v>0</v>
      </c>
      <c r="M2188">
        <v>0</v>
      </c>
      <c r="N2188">
        <v>518.92499999999995</v>
      </c>
      <c r="O2188">
        <v>628.23199999999997</v>
      </c>
      <c r="P2188">
        <v>506.8793</v>
      </c>
      <c r="R2188">
        <v>506.88</v>
      </c>
    </row>
    <row r="2189" spans="1:18" hidden="1" x14ac:dyDescent="0.25">
      <c r="A2189" t="s">
        <v>2318</v>
      </c>
      <c r="B2189" t="s">
        <v>333</v>
      </c>
      <c r="C2189" t="s">
        <v>657</v>
      </c>
      <c r="D2189" t="s">
        <v>29</v>
      </c>
      <c r="E2189">
        <v>195.36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217.30279999999999</v>
      </c>
      <c r="L2189">
        <v>0</v>
      </c>
      <c r="M2189">
        <v>0</v>
      </c>
      <c r="N2189">
        <v>219.78</v>
      </c>
      <c r="O2189">
        <v>371.34899999999999</v>
      </c>
      <c r="P2189">
        <v>203.12289999999999</v>
      </c>
      <c r="R2189">
        <v>203.126</v>
      </c>
    </row>
    <row r="2190" spans="1:18" hidden="1" x14ac:dyDescent="0.25">
      <c r="A2190" t="s">
        <v>2319</v>
      </c>
      <c r="B2190" t="s">
        <v>333</v>
      </c>
      <c r="C2190" t="s">
        <v>657</v>
      </c>
      <c r="D2190" t="s">
        <v>31</v>
      </c>
      <c r="E2190">
        <v>280.83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249.9761</v>
      </c>
      <c r="L2190">
        <v>0</v>
      </c>
      <c r="M2190">
        <v>0</v>
      </c>
      <c r="N2190">
        <v>250.30500000000001</v>
      </c>
      <c r="O2190">
        <v>424.589</v>
      </c>
      <c r="P2190">
        <v>245.8467</v>
      </c>
      <c r="R2190">
        <v>245.85</v>
      </c>
    </row>
    <row r="2191" spans="1:18" hidden="1" x14ac:dyDescent="0.25">
      <c r="A2191" t="s">
        <v>2320</v>
      </c>
      <c r="B2191" t="s">
        <v>333</v>
      </c>
      <c r="C2191" t="s">
        <v>657</v>
      </c>
      <c r="D2191" t="s">
        <v>33</v>
      </c>
      <c r="E2191">
        <v>293.04000000000002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258.6465</v>
      </c>
      <c r="L2191">
        <v>0</v>
      </c>
      <c r="M2191">
        <v>0</v>
      </c>
      <c r="N2191">
        <v>262.51499999999999</v>
      </c>
      <c r="O2191">
        <v>439.23</v>
      </c>
      <c r="P2191">
        <v>251.85339999999999</v>
      </c>
      <c r="R2191">
        <v>251.85599999999999</v>
      </c>
    </row>
    <row r="2192" spans="1:18" hidden="1" x14ac:dyDescent="0.25">
      <c r="A2192" t="s">
        <v>2321</v>
      </c>
      <c r="B2192" t="s">
        <v>333</v>
      </c>
      <c r="C2192" t="s">
        <v>657</v>
      </c>
      <c r="D2192" t="s">
        <v>35</v>
      </c>
      <c r="E2192">
        <v>506.71499999999997</v>
      </c>
      <c r="F2192">
        <v>0</v>
      </c>
      <c r="G2192">
        <v>0</v>
      </c>
      <c r="H2192">
        <v>0</v>
      </c>
      <c r="I2192">
        <v>537.24</v>
      </c>
      <c r="J2192">
        <v>0</v>
      </c>
      <c r="K2192">
        <v>0</v>
      </c>
      <c r="L2192">
        <v>0</v>
      </c>
      <c r="M2192">
        <v>0</v>
      </c>
      <c r="N2192">
        <v>537.24</v>
      </c>
      <c r="O2192">
        <v>681.47199999999998</v>
      </c>
      <c r="P2192">
        <v>521.20000000000005</v>
      </c>
      <c r="R2192">
        <v>521.202</v>
      </c>
    </row>
    <row r="2193" spans="1:18" hidden="1" x14ac:dyDescent="0.25">
      <c r="A2193" t="s">
        <v>2322</v>
      </c>
      <c r="B2193" t="s">
        <v>333</v>
      </c>
      <c r="C2193" t="s">
        <v>666</v>
      </c>
      <c r="D2193" t="s">
        <v>21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R2193">
        <v>0</v>
      </c>
    </row>
    <row r="2194" spans="1:18" hidden="1" x14ac:dyDescent="0.25">
      <c r="A2194" t="s">
        <v>2323</v>
      </c>
      <c r="B2194" t="s">
        <v>333</v>
      </c>
      <c r="C2194" t="s">
        <v>666</v>
      </c>
      <c r="D2194" t="s">
        <v>23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420.59160000000003</v>
      </c>
      <c r="R2194">
        <v>420.596</v>
      </c>
    </row>
    <row r="2195" spans="1:18" hidden="1" x14ac:dyDescent="0.25">
      <c r="A2195" t="s">
        <v>2324</v>
      </c>
      <c r="B2195" t="s">
        <v>333</v>
      </c>
      <c r="C2195" t="s">
        <v>666</v>
      </c>
      <c r="D2195" t="s">
        <v>25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477.83670000000001</v>
      </c>
      <c r="R2195">
        <v>477.84</v>
      </c>
    </row>
    <row r="2196" spans="1:18" hidden="1" x14ac:dyDescent="0.25">
      <c r="A2196" t="s">
        <v>2325</v>
      </c>
      <c r="B2196" t="s">
        <v>333</v>
      </c>
      <c r="C2196" t="s">
        <v>666</v>
      </c>
      <c r="D2196" t="s">
        <v>27</v>
      </c>
      <c r="E2196">
        <v>0</v>
      </c>
      <c r="F2196">
        <v>0</v>
      </c>
      <c r="G2196">
        <v>0</v>
      </c>
      <c r="H2196">
        <v>805.2</v>
      </c>
      <c r="I2196">
        <v>0</v>
      </c>
      <c r="J2196">
        <v>0</v>
      </c>
      <c r="K2196">
        <v>0</v>
      </c>
      <c r="L2196">
        <v>0</v>
      </c>
      <c r="M2196">
        <v>572.13750000000005</v>
      </c>
      <c r="N2196">
        <v>0</v>
      </c>
      <c r="O2196">
        <v>0</v>
      </c>
      <c r="P2196">
        <v>577.4701</v>
      </c>
      <c r="R2196">
        <v>577.46699999999998</v>
      </c>
    </row>
    <row r="2197" spans="1:18" hidden="1" x14ac:dyDescent="0.25">
      <c r="A2197" t="s">
        <v>2326</v>
      </c>
      <c r="B2197" t="s">
        <v>333</v>
      </c>
      <c r="C2197" t="s">
        <v>666</v>
      </c>
      <c r="D2197" t="s">
        <v>29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303.54320000000001</v>
      </c>
      <c r="R2197">
        <v>303.54500000000002</v>
      </c>
    </row>
    <row r="2198" spans="1:18" hidden="1" x14ac:dyDescent="0.25">
      <c r="A2198" t="s">
        <v>2327</v>
      </c>
      <c r="B2198" t="s">
        <v>333</v>
      </c>
      <c r="C2198" t="s">
        <v>666</v>
      </c>
      <c r="D2198" t="s">
        <v>31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352.7627</v>
      </c>
      <c r="R2198">
        <v>352.75900000000001</v>
      </c>
    </row>
    <row r="2199" spans="1:18" hidden="1" x14ac:dyDescent="0.25">
      <c r="A2199" t="s">
        <v>2328</v>
      </c>
      <c r="B2199" t="s">
        <v>333</v>
      </c>
      <c r="C2199" t="s">
        <v>666</v>
      </c>
      <c r="D2199" t="s">
        <v>33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381.47930000000002</v>
      </c>
      <c r="R2199">
        <v>381.48</v>
      </c>
    </row>
    <row r="2200" spans="1:18" hidden="1" x14ac:dyDescent="0.25">
      <c r="A2200" t="s">
        <v>2329</v>
      </c>
      <c r="B2200" t="s">
        <v>333</v>
      </c>
      <c r="C2200" t="s">
        <v>666</v>
      </c>
      <c r="D2200" t="s">
        <v>35</v>
      </c>
      <c r="E2200">
        <v>0</v>
      </c>
      <c r="F2200">
        <v>0</v>
      </c>
      <c r="G2200">
        <v>0</v>
      </c>
      <c r="H2200">
        <v>805.2</v>
      </c>
      <c r="I2200">
        <v>0</v>
      </c>
      <c r="J2200">
        <v>0</v>
      </c>
      <c r="K2200">
        <v>0</v>
      </c>
      <c r="L2200">
        <v>0</v>
      </c>
      <c r="M2200">
        <v>669.00900000000001</v>
      </c>
      <c r="N2200">
        <v>0</v>
      </c>
      <c r="O2200">
        <v>0</v>
      </c>
      <c r="P2200">
        <v>636.52340000000004</v>
      </c>
      <c r="R2200">
        <v>636.52599999999995</v>
      </c>
    </row>
    <row r="2201" spans="1:18" hidden="1" x14ac:dyDescent="0.25">
      <c r="A2201" t="s">
        <v>2330</v>
      </c>
      <c r="B2201" t="s">
        <v>333</v>
      </c>
      <c r="C2201" t="s">
        <v>675</v>
      </c>
      <c r="D2201" t="s">
        <v>21</v>
      </c>
      <c r="E2201">
        <v>326.04000000000002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165.48009999999999</v>
      </c>
      <c r="L2201">
        <v>0</v>
      </c>
      <c r="M2201">
        <v>0</v>
      </c>
      <c r="N2201">
        <v>170.94</v>
      </c>
      <c r="O2201">
        <v>316.77800000000002</v>
      </c>
      <c r="P2201">
        <v>0</v>
      </c>
      <c r="Q2201">
        <v>0</v>
      </c>
      <c r="R2201">
        <v>0</v>
      </c>
    </row>
    <row r="2202" spans="1:18" hidden="1" x14ac:dyDescent="0.25">
      <c r="A2202" t="s">
        <v>2331</v>
      </c>
      <c r="B2202" t="s">
        <v>333</v>
      </c>
      <c r="C2202" t="s">
        <v>675</v>
      </c>
      <c r="D2202" t="s">
        <v>23</v>
      </c>
      <c r="E2202">
        <v>482.79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293.06790000000001</v>
      </c>
      <c r="L2202">
        <v>0</v>
      </c>
      <c r="M2202">
        <v>0</v>
      </c>
      <c r="N2202">
        <v>299.14499999999998</v>
      </c>
      <c r="O2202">
        <v>389.983</v>
      </c>
      <c r="P2202">
        <v>254.14510000000001</v>
      </c>
      <c r="Q2202">
        <v>0</v>
      </c>
      <c r="R2202">
        <v>254.14400000000001</v>
      </c>
    </row>
    <row r="2203" spans="1:18" hidden="1" x14ac:dyDescent="0.25">
      <c r="A2203" t="s">
        <v>2332</v>
      </c>
      <c r="B2203" t="s">
        <v>333</v>
      </c>
      <c r="C2203" t="s">
        <v>675</v>
      </c>
      <c r="D2203" t="s">
        <v>25</v>
      </c>
      <c r="E2203">
        <v>460.68</v>
      </c>
      <c r="F2203">
        <v>0</v>
      </c>
      <c r="G2203">
        <v>297.88</v>
      </c>
      <c r="H2203">
        <v>0</v>
      </c>
      <c r="I2203">
        <v>0</v>
      </c>
      <c r="J2203">
        <v>0</v>
      </c>
      <c r="K2203">
        <v>320.1814</v>
      </c>
      <c r="L2203">
        <v>0</v>
      </c>
      <c r="M2203">
        <v>0</v>
      </c>
      <c r="N2203">
        <v>320.32</v>
      </c>
      <c r="O2203">
        <v>409.94799999999998</v>
      </c>
      <c r="P2203">
        <v>256.79079999999999</v>
      </c>
      <c r="Q2203">
        <v>0</v>
      </c>
      <c r="R2203">
        <v>256.79500000000002</v>
      </c>
    </row>
    <row r="2204" spans="1:18" hidden="1" x14ac:dyDescent="0.25">
      <c r="A2204" t="s">
        <v>2333</v>
      </c>
      <c r="B2204" t="s">
        <v>333</v>
      </c>
      <c r="C2204" t="s">
        <v>675</v>
      </c>
      <c r="D2204" t="s">
        <v>27</v>
      </c>
      <c r="E2204">
        <v>669.68</v>
      </c>
      <c r="F2204">
        <v>0</v>
      </c>
      <c r="G2204">
        <v>417.78</v>
      </c>
      <c r="H2204">
        <v>0</v>
      </c>
      <c r="I2204">
        <v>385.33</v>
      </c>
      <c r="J2204">
        <v>0</v>
      </c>
      <c r="K2204">
        <v>0</v>
      </c>
      <c r="L2204">
        <v>0</v>
      </c>
      <c r="M2204">
        <v>310.67849999999999</v>
      </c>
      <c r="N2204">
        <v>394.24</v>
      </c>
      <c r="O2204">
        <v>431.24400000000003</v>
      </c>
      <c r="P2204">
        <v>326.10270000000003</v>
      </c>
      <c r="Q2204">
        <v>0</v>
      </c>
      <c r="R2204">
        <v>326.10599999999999</v>
      </c>
    </row>
    <row r="2205" spans="1:18" hidden="1" x14ac:dyDescent="0.25">
      <c r="A2205" t="s">
        <v>2334</v>
      </c>
      <c r="B2205" t="s">
        <v>333</v>
      </c>
      <c r="C2205" t="s">
        <v>675</v>
      </c>
      <c r="D2205" t="s">
        <v>29</v>
      </c>
      <c r="E2205">
        <v>338.58</v>
      </c>
      <c r="F2205">
        <v>184.8</v>
      </c>
      <c r="G2205">
        <v>0</v>
      </c>
      <c r="H2205">
        <v>0</v>
      </c>
      <c r="I2205">
        <v>0</v>
      </c>
      <c r="J2205">
        <v>0</v>
      </c>
      <c r="K2205">
        <v>180.28100000000001</v>
      </c>
      <c r="L2205">
        <v>0</v>
      </c>
      <c r="M2205">
        <v>0</v>
      </c>
      <c r="N2205">
        <v>183.15</v>
      </c>
      <c r="O2205">
        <v>332.75</v>
      </c>
      <c r="P2205">
        <v>168.45060000000001</v>
      </c>
      <c r="Q2205">
        <v>184.8</v>
      </c>
      <c r="R2205">
        <v>168.45400000000001</v>
      </c>
    </row>
    <row r="2206" spans="1:18" hidden="1" x14ac:dyDescent="0.25">
      <c r="A2206" t="s">
        <v>2335</v>
      </c>
      <c r="B2206" t="s">
        <v>333</v>
      </c>
      <c r="C2206" t="s">
        <v>675</v>
      </c>
      <c r="D2206" t="s">
        <v>31</v>
      </c>
      <c r="E2206">
        <v>352.73340000000002</v>
      </c>
      <c r="F2206">
        <v>246.4</v>
      </c>
      <c r="G2206">
        <v>239.4333</v>
      </c>
      <c r="H2206">
        <v>0</v>
      </c>
      <c r="I2206">
        <v>216.61199999999999</v>
      </c>
      <c r="J2206">
        <v>0</v>
      </c>
      <c r="K2206">
        <v>218.5155</v>
      </c>
      <c r="L2206">
        <v>0</v>
      </c>
      <c r="M2206">
        <v>0</v>
      </c>
      <c r="N2206">
        <v>221.76</v>
      </c>
      <c r="O2206">
        <v>350.053</v>
      </c>
      <c r="P2206">
        <v>217.14259999999999</v>
      </c>
      <c r="Q2206">
        <v>246.4</v>
      </c>
      <c r="R2206">
        <v>217.14</v>
      </c>
    </row>
    <row r="2207" spans="1:18" hidden="1" x14ac:dyDescent="0.25">
      <c r="A2207" t="s">
        <v>2336</v>
      </c>
      <c r="B2207" t="s">
        <v>333</v>
      </c>
      <c r="C2207" t="s">
        <v>675</v>
      </c>
      <c r="D2207" t="s">
        <v>33</v>
      </c>
      <c r="E2207">
        <v>401.28</v>
      </c>
      <c r="F2207">
        <v>271.04000000000002</v>
      </c>
      <c r="G2207">
        <v>0</v>
      </c>
      <c r="H2207">
        <v>0</v>
      </c>
      <c r="I2207">
        <v>0</v>
      </c>
      <c r="J2207">
        <v>0</v>
      </c>
      <c r="K2207">
        <v>238.82900000000001</v>
      </c>
      <c r="L2207">
        <v>0</v>
      </c>
      <c r="M2207">
        <v>0</v>
      </c>
      <c r="N2207">
        <v>244.2</v>
      </c>
      <c r="O2207">
        <v>370.01799999999997</v>
      </c>
      <c r="P2207">
        <v>228.7296</v>
      </c>
      <c r="Q2207">
        <v>271.04000000000002</v>
      </c>
      <c r="R2207">
        <v>228.73400000000001</v>
      </c>
    </row>
    <row r="2208" spans="1:18" hidden="1" x14ac:dyDescent="0.25">
      <c r="A2208" t="s">
        <v>2337</v>
      </c>
      <c r="B2208" t="s">
        <v>333</v>
      </c>
      <c r="C2208" t="s">
        <v>675</v>
      </c>
      <c r="D2208" t="s">
        <v>35</v>
      </c>
      <c r="E2208">
        <v>689.15</v>
      </c>
      <c r="F2208">
        <v>0</v>
      </c>
      <c r="G2208">
        <v>443.1429</v>
      </c>
      <c r="H2208">
        <v>0</v>
      </c>
      <c r="I2208">
        <v>390.91800000000001</v>
      </c>
      <c r="J2208">
        <v>0</v>
      </c>
      <c r="K2208">
        <v>0</v>
      </c>
      <c r="L2208">
        <v>0</v>
      </c>
      <c r="M2208">
        <v>330.74250000000001</v>
      </c>
      <c r="N2208">
        <v>406.56</v>
      </c>
      <c r="O2208">
        <v>453.87099999999998</v>
      </c>
      <c r="P2208">
        <v>341.35129999999998</v>
      </c>
      <c r="Q2208">
        <v>0</v>
      </c>
      <c r="R2208">
        <v>341.35199999999998</v>
      </c>
    </row>
    <row r="2209" spans="1:18" hidden="1" x14ac:dyDescent="0.25">
      <c r="A2209" t="s">
        <v>2338</v>
      </c>
      <c r="B2209" t="s">
        <v>333</v>
      </c>
      <c r="C2209" t="s">
        <v>684</v>
      </c>
      <c r="D2209" t="s">
        <v>21</v>
      </c>
      <c r="E2209">
        <v>180.18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274.80599999999998</v>
      </c>
      <c r="L2209">
        <v>0</v>
      </c>
      <c r="M2209">
        <v>0</v>
      </c>
      <c r="N2209">
        <v>329.67</v>
      </c>
      <c r="O2209">
        <v>484.48399999999998</v>
      </c>
      <c r="P2209">
        <v>0</v>
      </c>
      <c r="R2209">
        <v>0</v>
      </c>
    </row>
    <row r="2210" spans="1:18" hidden="1" x14ac:dyDescent="0.25">
      <c r="A2210" t="s">
        <v>2339</v>
      </c>
      <c r="B2210" t="s">
        <v>333</v>
      </c>
      <c r="C2210" t="s">
        <v>684</v>
      </c>
      <c r="D2210" t="s">
        <v>23</v>
      </c>
      <c r="E2210">
        <v>357.786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484.64330000000001</v>
      </c>
      <c r="L2210">
        <v>0</v>
      </c>
      <c r="M2210">
        <v>0</v>
      </c>
      <c r="N2210">
        <v>506.71499999999997</v>
      </c>
      <c r="O2210">
        <v>585.64</v>
      </c>
      <c r="P2210">
        <v>352.10149999999999</v>
      </c>
      <c r="R2210">
        <v>352.09899999999999</v>
      </c>
    </row>
    <row r="2211" spans="1:18" hidden="1" x14ac:dyDescent="0.25">
      <c r="A2211" t="s">
        <v>2340</v>
      </c>
      <c r="B2211" t="s">
        <v>333</v>
      </c>
      <c r="C2211" t="s">
        <v>684</v>
      </c>
      <c r="D2211" t="s">
        <v>25</v>
      </c>
      <c r="E2211">
        <v>367.42200000000003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550.07190000000003</v>
      </c>
      <c r="L2211">
        <v>0</v>
      </c>
      <c r="M2211">
        <v>0</v>
      </c>
      <c r="N2211">
        <v>525.03</v>
      </c>
      <c r="O2211">
        <v>620.24599999999998</v>
      </c>
      <c r="P2211">
        <v>367.50850000000003</v>
      </c>
      <c r="R2211">
        <v>367.51</v>
      </c>
    </row>
    <row r="2212" spans="1:18" hidden="1" x14ac:dyDescent="0.25">
      <c r="A2212" t="s">
        <v>2341</v>
      </c>
      <c r="B2212" t="s">
        <v>333</v>
      </c>
      <c r="C2212" t="s">
        <v>684</v>
      </c>
      <c r="D2212" t="s">
        <v>27</v>
      </c>
      <c r="E2212">
        <v>416.988</v>
      </c>
      <c r="F2212">
        <v>0</v>
      </c>
      <c r="G2212">
        <v>0</v>
      </c>
      <c r="H2212">
        <v>0</v>
      </c>
      <c r="I2212">
        <v>659.34</v>
      </c>
      <c r="J2212">
        <v>0</v>
      </c>
      <c r="K2212">
        <v>0</v>
      </c>
      <c r="L2212">
        <v>0</v>
      </c>
      <c r="M2212">
        <v>478.46370000000002</v>
      </c>
      <c r="N2212">
        <v>622.71</v>
      </c>
      <c r="O2212">
        <v>673.48599999999999</v>
      </c>
      <c r="P2212">
        <v>423.61630000000002</v>
      </c>
      <c r="R2212">
        <v>423.62099999999998</v>
      </c>
    </row>
    <row r="2213" spans="1:18" hidden="1" x14ac:dyDescent="0.25">
      <c r="A2213" t="s">
        <v>2342</v>
      </c>
      <c r="B2213" t="s">
        <v>333</v>
      </c>
      <c r="C2213" t="s">
        <v>684</v>
      </c>
      <c r="D2213" t="s">
        <v>29</v>
      </c>
      <c r="E2213">
        <v>193.05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288.17779999999999</v>
      </c>
      <c r="L2213">
        <v>0</v>
      </c>
      <c r="M2213">
        <v>0</v>
      </c>
      <c r="N2213">
        <v>341.88</v>
      </c>
      <c r="O2213">
        <v>509.77300000000002</v>
      </c>
      <c r="P2213">
        <v>205.7062</v>
      </c>
      <c r="R2213">
        <v>205.71100000000001</v>
      </c>
    </row>
    <row r="2214" spans="1:18" hidden="1" x14ac:dyDescent="0.25">
      <c r="A2214" t="s">
        <v>2343</v>
      </c>
      <c r="B2214" t="s">
        <v>333</v>
      </c>
      <c r="C2214" t="s">
        <v>684</v>
      </c>
      <c r="D2214" t="s">
        <v>31</v>
      </c>
      <c r="E2214">
        <v>231.66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387.81619999999998</v>
      </c>
      <c r="L2214">
        <v>0</v>
      </c>
      <c r="M2214">
        <v>0</v>
      </c>
      <c r="N2214">
        <v>415.14</v>
      </c>
      <c r="O2214">
        <v>537.72400000000005</v>
      </c>
      <c r="P2214">
        <v>239.00389999999999</v>
      </c>
      <c r="R2214">
        <v>239.00800000000001</v>
      </c>
    </row>
    <row r="2215" spans="1:18" hidden="1" x14ac:dyDescent="0.25">
      <c r="A2215" t="s">
        <v>2344</v>
      </c>
      <c r="B2215" t="s">
        <v>333</v>
      </c>
      <c r="C2215" t="s">
        <v>684</v>
      </c>
      <c r="D2215" t="s">
        <v>33</v>
      </c>
      <c r="E2215">
        <v>257.39999999999998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412.209</v>
      </c>
      <c r="L2215">
        <v>0</v>
      </c>
      <c r="M2215">
        <v>0</v>
      </c>
      <c r="N2215">
        <v>439.56</v>
      </c>
      <c r="O2215">
        <v>564.34400000000005</v>
      </c>
      <c r="P2215">
        <v>270.08199999999999</v>
      </c>
      <c r="R2215">
        <v>270.08300000000003</v>
      </c>
    </row>
    <row r="2216" spans="1:18" hidden="1" x14ac:dyDescent="0.25">
      <c r="A2216" t="s">
        <v>2345</v>
      </c>
      <c r="B2216" t="s">
        <v>333</v>
      </c>
      <c r="C2216" t="s">
        <v>684</v>
      </c>
      <c r="D2216" t="s">
        <v>35</v>
      </c>
      <c r="E2216">
        <v>438.86700000000002</v>
      </c>
      <c r="F2216">
        <v>0</v>
      </c>
      <c r="G2216">
        <v>0</v>
      </c>
      <c r="H2216">
        <v>0</v>
      </c>
      <c r="I2216">
        <v>659.34</v>
      </c>
      <c r="J2216">
        <v>0</v>
      </c>
      <c r="K2216">
        <v>0</v>
      </c>
      <c r="L2216">
        <v>0</v>
      </c>
      <c r="M2216">
        <v>528.62369999999999</v>
      </c>
      <c r="N2216">
        <v>647.13</v>
      </c>
      <c r="O2216">
        <v>712.08500000000004</v>
      </c>
      <c r="P2216">
        <v>451.85640000000001</v>
      </c>
      <c r="R2216">
        <v>451.858</v>
      </c>
    </row>
    <row r="2217" spans="1:18" hidden="1" x14ac:dyDescent="0.25">
      <c r="A2217" t="s">
        <v>2346</v>
      </c>
      <c r="B2217" t="s">
        <v>333</v>
      </c>
      <c r="C2217" t="s">
        <v>693</v>
      </c>
      <c r="D2217" t="s">
        <v>21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R2217">
        <v>0</v>
      </c>
    </row>
    <row r="2218" spans="1:18" hidden="1" x14ac:dyDescent="0.25">
      <c r="A2218" t="s">
        <v>2347</v>
      </c>
      <c r="B2218" t="s">
        <v>333</v>
      </c>
      <c r="C2218" t="s">
        <v>693</v>
      </c>
      <c r="D2218" t="s">
        <v>23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336.72410000000002</v>
      </c>
      <c r="R2218">
        <v>336.721</v>
      </c>
    </row>
    <row r="2219" spans="1:18" hidden="1" x14ac:dyDescent="0.25">
      <c r="A2219" t="s">
        <v>2348</v>
      </c>
      <c r="B2219" t="s">
        <v>333</v>
      </c>
      <c r="C2219" t="s">
        <v>693</v>
      </c>
      <c r="D2219" t="s">
        <v>25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353.65179999999998</v>
      </c>
      <c r="R2219">
        <v>353.65</v>
      </c>
    </row>
    <row r="2220" spans="1:18" hidden="1" x14ac:dyDescent="0.25">
      <c r="A2220" t="s">
        <v>2349</v>
      </c>
      <c r="B2220" t="s">
        <v>333</v>
      </c>
      <c r="C2220" t="s">
        <v>693</v>
      </c>
      <c r="D2220" t="s">
        <v>27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498.81610000000001</v>
      </c>
      <c r="R2220">
        <v>498.81700000000001</v>
      </c>
    </row>
    <row r="2221" spans="1:18" hidden="1" x14ac:dyDescent="0.25">
      <c r="A2221" t="s">
        <v>2350</v>
      </c>
      <c r="B2221" t="s">
        <v>333</v>
      </c>
      <c r="C2221" t="s">
        <v>693</v>
      </c>
      <c r="D2221" t="s">
        <v>29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204.9538</v>
      </c>
      <c r="R2221">
        <v>204.952</v>
      </c>
    </row>
    <row r="2222" spans="1:18" hidden="1" x14ac:dyDescent="0.25">
      <c r="A2222" t="s">
        <v>2351</v>
      </c>
      <c r="B2222" t="s">
        <v>333</v>
      </c>
      <c r="C2222" t="s">
        <v>693</v>
      </c>
      <c r="D2222" t="s">
        <v>31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286.55560000000003</v>
      </c>
      <c r="R2222">
        <v>286.56099999999998</v>
      </c>
    </row>
    <row r="2223" spans="1:18" hidden="1" x14ac:dyDescent="0.25">
      <c r="A2223" t="s">
        <v>2352</v>
      </c>
      <c r="B2223" t="s">
        <v>333</v>
      </c>
      <c r="C2223" t="s">
        <v>693</v>
      </c>
      <c r="D2223" t="s">
        <v>33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298.9787</v>
      </c>
      <c r="R2223">
        <v>298.98</v>
      </c>
    </row>
    <row r="2224" spans="1:18" hidden="1" x14ac:dyDescent="0.25">
      <c r="A2224" t="s">
        <v>2353</v>
      </c>
      <c r="B2224" t="s">
        <v>333</v>
      </c>
      <c r="C2224" t="s">
        <v>693</v>
      </c>
      <c r="D2224" t="s">
        <v>35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510.22750000000002</v>
      </c>
      <c r="R2224">
        <v>510.22399999999999</v>
      </c>
    </row>
    <row r="2225" spans="1:18" hidden="1" x14ac:dyDescent="0.25">
      <c r="A2225" t="s">
        <v>2354</v>
      </c>
      <c r="B2225" t="s">
        <v>333</v>
      </c>
      <c r="C2225" t="s">
        <v>702</v>
      </c>
      <c r="D2225" t="s">
        <v>21</v>
      </c>
      <c r="E2225">
        <v>205.92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322.05599999999998</v>
      </c>
      <c r="L2225">
        <v>0</v>
      </c>
      <c r="M2225">
        <v>0</v>
      </c>
      <c r="N2225">
        <v>329.67</v>
      </c>
      <c r="O2225">
        <v>484.48399999999998</v>
      </c>
      <c r="P2225">
        <v>0</v>
      </c>
      <c r="R2225">
        <v>0</v>
      </c>
    </row>
    <row r="2226" spans="1:18" hidden="1" x14ac:dyDescent="0.25">
      <c r="A2226" t="s">
        <v>2355</v>
      </c>
      <c r="B2226" t="s">
        <v>333</v>
      </c>
      <c r="C2226" t="s">
        <v>702</v>
      </c>
      <c r="D2226" t="s">
        <v>23</v>
      </c>
      <c r="E2226">
        <v>351.12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538.13030000000003</v>
      </c>
      <c r="L2226">
        <v>0</v>
      </c>
      <c r="M2226">
        <v>0</v>
      </c>
      <c r="N2226">
        <v>506.71499999999997</v>
      </c>
      <c r="O2226">
        <v>594.95699999999999</v>
      </c>
      <c r="P2226">
        <v>365.56610000000001</v>
      </c>
      <c r="R2226">
        <v>424.19299999999998</v>
      </c>
    </row>
    <row r="2227" spans="1:18" hidden="1" x14ac:dyDescent="0.25">
      <c r="A2227" t="s">
        <v>2356</v>
      </c>
      <c r="B2227" t="s">
        <v>333</v>
      </c>
      <c r="C2227" t="s">
        <v>702</v>
      </c>
      <c r="D2227" t="s">
        <v>25</v>
      </c>
      <c r="E2227">
        <v>369.93</v>
      </c>
      <c r="F2227">
        <v>0</v>
      </c>
      <c r="G2227">
        <v>469.48</v>
      </c>
      <c r="H2227">
        <v>0</v>
      </c>
      <c r="I2227">
        <v>0</v>
      </c>
      <c r="J2227">
        <v>0</v>
      </c>
      <c r="K2227">
        <v>614.25630000000001</v>
      </c>
      <c r="L2227">
        <v>0</v>
      </c>
      <c r="M2227">
        <v>0</v>
      </c>
      <c r="N2227">
        <v>525.03</v>
      </c>
      <c r="O2227">
        <v>620.24599999999998</v>
      </c>
      <c r="P2227">
        <v>379.15750000000003</v>
      </c>
      <c r="R2227">
        <v>464.959</v>
      </c>
    </row>
    <row r="2228" spans="1:18" hidden="1" x14ac:dyDescent="0.25">
      <c r="A2228" t="s">
        <v>2357</v>
      </c>
      <c r="B2228" t="s">
        <v>333</v>
      </c>
      <c r="C2228" t="s">
        <v>702</v>
      </c>
      <c r="D2228" t="s">
        <v>27</v>
      </c>
      <c r="E2228">
        <v>520.41</v>
      </c>
      <c r="F2228">
        <v>0</v>
      </c>
      <c r="G2228">
        <v>642.51</v>
      </c>
      <c r="H2228">
        <v>0</v>
      </c>
      <c r="I2228">
        <v>689.86500000000001</v>
      </c>
      <c r="J2228">
        <v>0</v>
      </c>
      <c r="K2228">
        <v>0</v>
      </c>
      <c r="L2228">
        <v>0</v>
      </c>
      <c r="M2228">
        <v>533.577</v>
      </c>
      <c r="N2228">
        <v>622.71</v>
      </c>
      <c r="O2228">
        <v>673.48599999999999</v>
      </c>
      <c r="P2228">
        <v>523.57010000000002</v>
      </c>
      <c r="R2228">
        <v>582.98900000000003</v>
      </c>
    </row>
    <row r="2229" spans="1:18" hidden="1" x14ac:dyDescent="0.25">
      <c r="A2229" t="s">
        <v>2358</v>
      </c>
      <c r="B2229" t="s">
        <v>333</v>
      </c>
      <c r="C2229" t="s">
        <v>702</v>
      </c>
      <c r="D2229" t="s">
        <v>29</v>
      </c>
      <c r="E2229">
        <v>218.79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335.42779999999999</v>
      </c>
      <c r="L2229">
        <v>0</v>
      </c>
      <c r="M2229">
        <v>0</v>
      </c>
      <c r="N2229">
        <v>341.88</v>
      </c>
      <c r="O2229">
        <v>509.77300000000002</v>
      </c>
      <c r="P2229">
        <v>227.7867</v>
      </c>
      <c r="R2229">
        <v>227.78800000000001</v>
      </c>
    </row>
    <row r="2230" spans="1:18" hidden="1" x14ac:dyDescent="0.25">
      <c r="A2230" t="s">
        <v>2359</v>
      </c>
      <c r="B2230" t="s">
        <v>333</v>
      </c>
      <c r="C2230" t="s">
        <v>702</v>
      </c>
      <c r="D2230" t="s">
        <v>31</v>
      </c>
      <c r="E2230">
        <v>300.95999999999998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438.97609999999997</v>
      </c>
      <c r="L2230">
        <v>0</v>
      </c>
      <c r="M2230">
        <v>0</v>
      </c>
      <c r="N2230">
        <v>415.14</v>
      </c>
      <c r="O2230">
        <v>537.72400000000005</v>
      </c>
      <c r="P2230">
        <v>317.96159999999998</v>
      </c>
      <c r="R2230">
        <v>317.96600000000001</v>
      </c>
    </row>
    <row r="2231" spans="1:18" hidden="1" x14ac:dyDescent="0.25">
      <c r="A2231" t="s">
        <v>2360</v>
      </c>
      <c r="B2231" t="s">
        <v>333</v>
      </c>
      <c r="C2231" t="s">
        <v>702</v>
      </c>
      <c r="D2231" t="s">
        <v>33</v>
      </c>
      <c r="E2231">
        <v>313.5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458.23050000000001</v>
      </c>
      <c r="L2231">
        <v>0</v>
      </c>
      <c r="M2231">
        <v>0</v>
      </c>
      <c r="N2231">
        <v>439.56</v>
      </c>
      <c r="O2231">
        <v>564.34400000000005</v>
      </c>
      <c r="P2231">
        <v>320.94740000000002</v>
      </c>
      <c r="R2231">
        <v>398.27699999999999</v>
      </c>
    </row>
    <row r="2232" spans="1:18" hidden="1" x14ac:dyDescent="0.25">
      <c r="A2232" t="s">
        <v>2361</v>
      </c>
      <c r="B2232" t="s">
        <v>333</v>
      </c>
      <c r="C2232" t="s">
        <v>702</v>
      </c>
      <c r="D2232" t="s">
        <v>35</v>
      </c>
      <c r="E2232">
        <v>532.95000000000005</v>
      </c>
      <c r="F2232">
        <v>0</v>
      </c>
      <c r="G2232">
        <v>629.20000000000005</v>
      </c>
      <c r="H2232">
        <v>0</v>
      </c>
      <c r="I2232">
        <v>689.86500000000001</v>
      </c>
      <c r="J2232">
        <v>0</v>
      </c>
      <c r="K2232">
        <v>0</v>
      </c>
      <c r="L2232">
        <v>0</v>
      </c>
      <c r="M2232">
        <v>585.30449999999996</v>
      </c>
      <c r="N2232">
        <v>647.13</v>
      </c>
      <c r="O2232">
        <v>718.74</v>
      </c>
      <c r="P2232">
        <v>542.08969999999999</v>
      </c>
      <c r="R2232">
        <v>611.75400000000002</v>
      </c>
    </row>
    <row r="2233" spans="1:18" hidden="1" x14ac:dyDescent="0.25">
      <c r="A2233" t="s">
        <v>2362</v>
      </c>
      <c r="B2233" t="s">
        <v>333</v>
      </c>
      <c r="C2233" t="s">
        <v>711</v>
      </c>
      <c r="D2233" t="s">
        <v>21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R2233">
        <v>0</v>
      </c>
    </row>
    <row r="2234" spans="1:18" hidden="1" x14ac:dyDescent="0.25">
      <c r="A2234" t="s">
        <v>2363</v>
      </c>
      <c r="B2234" t="s">
        <v>333</v>
      </c>
      <c r="C2234" t="s">
        <v>711</v>
      </c>
      <c r="D2234" t="s">
        <v>23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256.21730000000002</v>
      </c>
      <c r="R2234">
        <v>256.21199999999999</v>
      </c>
    </row>
    <row r="2235" spans="1:18" hidden="1" x14ac:dyDescent="0.25">
      <c r="A2235" t="s">
        <v>2364</v>
      </c>
      <c r="B2235" t="s">
        <v>333</v>
      </c>
      <c r="C2235" t="s">
        <v>711</v>
      </c>
      <c r="D2235" t="s">
        <v>25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298.995</v>
      </c>
      <c r="R2235">
        <v>298.99099999999999</v>
      </c>
    </row>
    <row r="2236" spans="1:18" hidden="1" x14ac:dyDescent="0.25">
      <c r="A2236" t="s">
        <v>2365</v>
      </c>
      <c r="B2236" t="s">
        <v>333</v>
      </c>
      <c r="C2236" t="s">
        <v>711</v>
      </c>
      <c r="D2236" t="s">
        <v>27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378.23149999999998</v>
      </c>
      <c r="R2236">
        <v>378.23500000000001</v>
      </c>
    </row>
    <row r="2237" spans="1:18" hidden="1" x14ac:dyDescent="0.25">
      <c r="A2237" t="s">
        <v>2366</v>
      </c>
      <c r="B2237" t="s">
        <v>333</v>
      </c>
      <c r="C2237" t="s">
        <v>711</v>
      </c>
      <c r="D2237" t="s">
        <v>29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138.4873</v>
      </c>
      <c r="R2237">
        <v>138.49</v>
      </c>
    </row>
    <row r="2238" spans="1:18" hidden="1" x14ac:dyDescent="0.25">
      <c r="A2238" t="s">
        <v>2367</v>
      </c>
      <c r="B2238" t="s">
        <v>333</v>
      </c>
      <c r="C2238" t="s">
        <v>711</v>
      </c>
      <c r="D2238" t="s">
        <v>31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213.44329999999999</v>
      </c>
      <c r="R2238">
        <v>213.44399999999999</v>
      </c>
    </row>
    <row r="2239" spans="1:18" hidden="1" x14ac:dyDescent="0.25">
      <c r="A2239" t="s">
        <v>2368</v>
      </c>
      <c r="B2239" t="s">
        <v>333</v>
      </c>
      <c r="C2239" t="s">
        <v>711</v>
      </c>
      <c r="D2239" t="s">
        <v>33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225.72</v>
      </c>
      <c r="R2239">
        <v>225.72</v>
      </c>
    </row>
    <row r="2240" spans="1:18" hidden="1" x14ac:dyDescent="0.25">
      <c r="A2240" t="s">
        <v>2369</v>
      </c>
      <c r="B2240" t="s">
        <v>333</v>
      </c>
      <c r="C2240" t="s">
        <v>711</v>
      </c>
      <c r="D2240" t="s">
        <v>35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394.34859999999998</v>
      </c>
      <c r="R2240">
        <v>394.35</v>
      </c>
    </row>
    <row r="2241" spans="1:18" hidden="1" x14ac:dyDescent="0.25">
      <c r="A2241" t="s">
        <v>2370</v>
      </c>
      <c r="B2241" t="s">
        <v>333</v>
      </c>
      <c r="C2241" t="s">
        <v>2371</v>
      </c>
      <c r="D2241" t="s">
        <v>21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305.55</v>
      </c>
      <c r="L2241">
        <v>0</v>
      </c>
      <c r="M2241">
        <v>0</v>
      </c>
      <c r="N2241">
        <v>0</v>
      </c>
      <c r="O2241">
        <v>0</v>
      </c>
      <c r="P2241">
        <v>0</v>
      </c>
      <c r="R2241">
        <v>0</v>
      </c>
    </row>
    <row r="2242" spans="1:18" hidden="1" x14ac:dyDescent="0.25">
      <c r="A2242" t="s">
        <v>2372</v>
      </c>
      <c r="B2242" t="s">
        <v>333</v>
      </c>
      <c r="C2242" t="s">
        <v>2371</v>
      </c>
      <c r="D2242" t="s">
        <v>23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R2242">
        <v>0</v>
      </c>
    </row>
    <row r="2243" spans="1:18" hidden="1" x14ac:dyDescent="0.25">
      <c r="A2243" t="s">
        <v>2373</v>
      </c>
      <c r="B2243" t="s">
        <v>333</v>
      </c>
      <c r="C2243" t="s">
        <v>2371</v>
      </c>
      <c r="D2243" t="s">
        <v>25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R2243">
        <v>0</v>
      </c>
    </row>
    <row r="2244" spans="1:18" hidden="1" x14ac:dyDescent="0.25">
      <c r="A2244" t="s">
        <v>2374</v>
      </c>
      <c r="B2244" t="s">
        <v>333</v>
      </c>
      <c r="C2244" t="s">
        <v>2371</v>
      </c>
      <c r="D2244" t="s">
        <v>27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R2244">
        <v>0</v>
      </c>
    </row>
    <row r="2245" spans="1:18" hidden="1" x14ac:dyDescent="0.25">
      <c r="A2245" t="s">
        <v>2375</v>
      </c>
      <c r="B2245" t="s">
        <v>333</v>
      </c>
      <c r="C2245" t="s">
        <v>2371</v>
      </c>
      <c r="D2245" t="s">
        <v>29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R2245">
        <v>0</v>
      </c>
    </row>
    <row r="2246" spans="1:18" hidden="1" x14ac:dyDescent="0.25">
      <c r="A2246" t="s">
        <v>2376</v>
      </c>
      <c r="B2246" t="s">
        <v>333</v>
      </c>
      <c r="C2246" t="s">
        <v>2371</v>
      </c>
      <c r="D2246" t="s">
        <v>31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R2246">
        <v>0</v>
      </c>
    </row>
    <row r="2247" spans="1:18" hidden="1" x14ac:dyDescent="0.25">
      <c r="A2247" t="s">
        <v>2377</v>
      </c>
      <c r="B2247" t="s">
        <v>333</v>
      </c>
      <c r="C2247" t="s">
        <v>2371</v>
      </c>
      <c r="D2247" t="s">
        <v>33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R2247">
        <v>0</v>
      </c>
    </row>
    <row r="2248" spans="1:18" hidden="1" x14ac:dyDescent="0.25">
      <c r="A2248" t="s">
        <v>2378</v>
      </c>
      <c r="B2248" t="s">
        <v>333</v>
      </c>
      <c r="C2248" t="s">
        <v>2371</v>
      </c>
      <c r="D2248" t="s">
        <v>35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R2248">
        <v>0</v>
      </c>
    </row>
    <row r="2249" spans="1:18" hidden="1" x14ac:dyDescent="0.25">
      <c r="A2249" t="s">
        <v>2379</v>
      </c>
      <c r="B2249" t="s">
        <v>333</v>
      </c>
      <c r="C2249" t="s">
        <v>720</v>
      </c>
      <c r="D2249" t="s">
        <v>21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R2249">
        <v>0</v>
      </c>
    </row>
    <row r="2250" spans="1:18" hidden="1" x14ac:dyDescent="0.25">
      <c r="A2250" t="s">
        <v>2380</v>
      </c>
      <c r="B2250" t="s">
        <v>333</v>
      </c>
      <c r="C2250" t="s">
        <v>720</v>
      </c>
      <c r="D2250" t="s">
        <v>23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288.34820000000002</v>
      </c>
      <c r="R2250">
        <v>288.34300000000002</v>
      </c>
    </row>
    <row r="2251" spans="1:18" hidden="1" x14ac:dyDescent="0.25">
      <c r="A2251" t="s">
        <v>2381</v>
      </c>
      <c r="B2251" t="s">
        <v>333</v>
      </c>
      <c r="C2251" t="s">
        <v>720</v>
      </c>
      <c r="D2251" t="s">
        <v>25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332.3338</v>
      </c>
      <c r="R2251">
        <v>332.33199999999999</v>
      </c>
    </row>
    <row r="2252" spans="1:18" hidden="1" x14ac:dyDescent="0.25">
      <c r="A2252" t="s">
        <v>2382</v>
      </c>
      <c r="B2252" t="s">
        <v>333</v>
      </c>
      <c r="C2252" t="s">
        <v>720</v>
      </c>
      <c r="D2252" t="s">
        <v>27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444.14170000000001</v>
      </c>
      <c r="R2252">
        <v>444.14699999999999</v>
      </c>
    </row>
    <row r="2253" spans="1:18" hidden="1" x14ac:dyDescent="0.25">
      <c r="A2253" t="s">
        <v>2383</v>
      </c>
      <c r="B2253" t="s">
        <v>333</v>
      </c>
      <c r="C2253" t="s">
        <v>720</v>
      </c>
      <c r="D2253" t="s">
        <v>29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161.13900000000001</v>
      </c>
      <c r="R2253">
        <v>161.13900000000001</v>
      </c>
    </row>
    <row r="2254" spans="1:18" hidden="1" x14ac:dyDescent="0.25">
      <c r="A2254" t="s">
        <v>2384</v>
      </c>
      <c r="B2254" t="s">
        <v>333</v>
      </c>
      <c r="C2254" t="s">
        <v>720</v>
      </c>
      <c r="D2254" t="s">
        <v>31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224.14400000000001</v>
      </c>
      <c r="R2254">
        <v>224.14699999999999</v>
      </c>
    </row>
    <row r="2255" spans="1:18" hidden="1" x14ac:dyDescent="0.25">
      <c r="A2255" t="s">
        <v>2385</v>
      </c>
      <c r="B2255" t="s">
        <v>333</v>
      </c>
      <c r="C2255" t="s">
        <v>720</v>
      </c>
      <c r="D2255" t="s">
        <v>33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266.11939999999998</v>
      </c>
      <c r="R2255">
        <v>266.12299999999999</v>
      </c>
    </row>
    <row r="2256" spans="1:18" hidden="1" x14ac:dyDescent="0.25">
      <c r="A2256" t="s">
        <v>2386</v>
      </c>
      <c r="B2256" t="s">
        <v>333</v>
      </c>
      <c r="C2256" t="s">
        <v>720</v>
      </c>
      <c r="D2256" t="s">
        <v>35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468.79539999999997</v>
      </c>
      <c r="R2256">
        <v>468.798</v>
      </c>
    </row>
    <row r="2257" spans="1:18" hidden="1" x14ac:dyDescent="0.25">
      <c r="A2257" t="s">
        <v>2387</v>
      </c>
      <c r="B2257" t="s">
        <v>333</v>
      </c>
      <c r="C2257" t="s">
        <v>729</v>
      </c>
      <c r="D2257" t="s">
        <v>21</v>
      </c>
      <c r="E2257">
        <v>186.26660000000001</v>
      </c>
      <c r="F2257">
        <v>0</v>
      </c>
      <c r="G2257">
        <v>162.0667</v>
      </c>
      <c r="H2257">
        <v>0</v>
      </c>
      <c r="I2257">
        <v>0</v>
      </c>
      <c r="J2257">
        <v>0</v>
      </c>
      <c r="K2257">
        <v>181.42789999999999</v>
      </c>
      <c r="L2257">
        <v>0</v>
      </c>
      <c r="M2257">
        <v>0</v>
      </c>
      <c r="N2257">
        <v>183.15</v>
      </c>
      <c r="O2257">
        <v>182.34700000000001</v>
      </c>
      <c r="P2257">
        <v>0</v>
      </c>
      <c r="Q2257">
        <v>0</v>
      </c>
      <c r="R2257">
        <v>0</v>
      </c>
    </row>
    <row r="2258" spans="1:18" hidden="1" x14ac:dyDescent="0.25">
      <c r="A2258" t="s">
        <v>2388</v>
      </c>
      <c r="B2258" t="s">
        <v>333</v>
      </c>
      <c r="C2258" t="s">
        <v>729</v>
      </c>
      <c r="D2258" t="s">
        <v>23</v>
      </c>
      <c r="E2258">
        <v>370.33339999999998</v>
      </c>
      <c r="F2258">
        <v>0</v>
      </c>
      <c r="G2258">
        <v>204.23330000000001</v>
      </c>
      <c r="H2258">
        <v>0</v>
      </c>
      <c r="I2258">
        <v>0</v>
      </c>
      <c r="J2258">
        <v>0</v>
      </c>
      <c r="K2258">
        <v>285.92959999999999</v>
      </c>
      <c r="L2258">
        <v>0</v>
      </c>
      <c r="M2258">
        <v>0</v>
      </c>
      <c r="N2258">
        <v>246.4</v>
      </c>
      <c r="O2258">
        <v>343.39800000000002</v>
      </c>
      <c r="P2258">
        <v>222.31909999999999</v>
      </c>
      <c r="Q2258">
        <v>0</v>
      </c>
      <c r="R2258">
        <v>269.73099999999999</v>
      </c>
    </row>
    <row r="2259" spans="1:18" hidden="1" x14ac:dyDescent="0.25">
      <c r="A2259" t="s">
        <v>2389</v>
      </c>
      <c r="B2259" t="s">
        <v>333</v>
      </c>
      <c r="C2259" t="s">
        <v>729</v>
      </c>
      <c r="D2259" t="s">
        <v>25</v>
      </c>
      <c r="E2259">
        <v>230.76900000000001</v>
      </c>
      <c r="F2259">
        <v>0</v>
      </c>
      <c r="G2259">
        <v>228.69</v>
      </c>
      <c r="H2259">
        <v>0</v>
      </c>
      <c r="I2259">
        <v>0</v>
      </c>
      <c r="J2259">
        <v>0</v>
      </c>
      <c r="K2259">
        <v>311.6155</v>
      </c>
      <c r="L2259">
        <v>0</v>
      </c>
      <c r="M2259">
        <v>0</v>
      </c>
      <c r="N2259">
        <v>305.25</v>
      </c>
      <c r="O2259">
        <v>393.976</v>
      </c>
      <c r="P2259">
        <v>223.19550000000001</v>
      </c>
      <c r="Q2259">
        <v>0</v>
      </c>
      <c r="R2259">
        <v>317.66899999999998</v>
      </c>
    </row>
    <row r="2260" spans="1:18" hidden="1" x14ac:dyDescent="0.25">
      <c r="A2260" t="s">
        <v>2390</v>
      </c>
      <c r="B2260" t="s">
        <v>333</v>
      </c>
      <c r="C2260" t="s">
        <v>729</v>
      </c>
      <c r="D2260" t="s">
        <v>27</v>
      </c>
      <c r="E2260">
        <v>394.9</v>
      </c>
      <c r="F2260">
        <v>0</v>
      </c>
      <c r="G2260">
        <v>337.59</v>
      </c>
      <c r="H2260">
        <v>0</v>
      </c>
      <c r="I2260">
        <v>363.55</v>
      </c>
      <c r="J2260">
        <v>0</v>
      </c>
      <c r="K2260">
        <v>0</v>
      </c>
      <c r="L2260">
        <v>0</v>
      </c>
      <c r="M2260">
        <v>0</v>
      </c>
      <c r="N2260">
        <v>369.6</v>
      </c>
      <c r="O2260">
        <v>424.589</v>
      </c>
      <c r="P2260">
        <v>350.1293</v>
      </c>
      <c r="Q2260">
        <v>0</v>
      </c>
      <c r="R2260">
        <v>380.47899999999998</v>
      </c>
    </row>
    <row r="2261" spans="1:18" hidden="1" x14ac:dyDescent="0.25">
      <c r="A2261" t="s">
        <v>2391</v>
      </c>
      <c r="B2261" t="s">
        <v>333</v>
      </c>
      <c r="C2261" t="s">
        <v>729</v>
      </c>
      <c r="D2261" t="s">
        <v>29</v>
      </c>
      <c r="E2261">
        <v>197.26660000000001</v>
      </c>
      <c r="F2261">
        <v>169.4</v>
      </c>
      <c r="G2261">
        <v>167.5667</v>
      </c>
      <c r="H2261">
        <v>0</v>
      </c>
      <c r="I2261">
        <v>0</v>
      </c>
      <c r="J2261">
        <v>0</v>
      </c>
      <c r="K2261">
        <v>194.88290000000001</v>
      </c>
      <c r="L2261">
        <v>0</v>
      </c>
      <c r="M2261">
        <v>0</v>
      </c>
      <c r="N2261">
        <v>189.255</v>
      </c>
      <c r="O2261">
        <v>227.601</v>
      </c>
      <c r="P2261">
        <v>176.35</v>
      </c>
      <c r="Q2261">
        <v>169.4</v>
      </c>
      <c r="R2261">
        <v>176.352</v>
      </c>
    </row>
    <row r="2262" spans="1:18" hidden="1" x14ac:dyDescent="0.25">
      <c r="A2262" t="s">
        <v>2392</v>
      </c>
      <c r="B2262" t="s">
        <v>333</v>
      </c>
      <c r="C2262" t="s">
        <v>729</v>
      </c>
      <c r="D2262" t="s">
        <v>31</v>
      </c>
      <c r="E2262">
        <v>210.83340000000001</v>
      </c>
      <c r="F2262">
        <v>203.28</v>
      </c>
      <c r="G2262">
        <v>166.83330000000001</v>
      </c>
      <c r="H2262">
        <v>0</v>
      </c>
      <c r="I2262">
        <v>206.71199999999999</v>
      </c>
      <c r="J2262">
        <v>0</v>
      </c>
      <c r="K2262">
        <v>202.06200000000001</v>
      </c>
      <c r="L2262">
        <v>0</v>
      </c>
      <c r="M2262">
        <v>0</v>
      </c>
      <c r="N2262">
        <v>209.44</v>
      </c>
      <c r="O2262">
        <v>264.86900000000003</v>
      </c>
      <c r="P2262">
        <v>179.6619</v>
      </c>
      <c r="Q2262">
        <v>203.28</v>
      </c>
      <c r="R2262">
        <v>179.66300000000001</v>
      </c>
    </row>
    <row r="2263" spans="1:18" hidden="1" x14ac:dyDescent="0.25">
      <c r="A2263" t="s">
        <v>2393</v>
      </c>
      <c r="B2263" t="s">
        <v>333</v>
      </c>
      <c r="C2263" t="s">
        <v>729</v>
      </c>
      <c r="D2263" t="s">
        <v>33</v>
      </c>
      <c r="E2263">
        <v>216.11340000000001</v>
      </c>
      <c r="F2263">
        <v>211.75</v>
      </c>
      <c r="G2263">
        <v>177.83330000000001</v>
      </c>
      <c r="H2263">
        <v>0</v>
      </c>
      <c r="I2263">
        <v>206.71199999999999</v>
      </c>
      <c r="J2263">
        <v>0</v>
      </c>
      <c r="K2263">
        <v>213.94800000000001</v>
      </c>
      <c r="L2263">
        <v>0</v>
      </c>
      <c r="M2263">
        <v>0</v>
      </c>
      <c r="N2263">
        <v>219.78</v>
      </c>
      <c r="O2263">
        <v>284.834</v>
      </c>
      <c r="P2263">
        <v>190.43639999999999</v>
      </c>
      <c r="Q2263">
        <v>211.75</v>
      </c>
      <c r="R2263">
        <v>222.00200000000001</v>
      </c>
    </row>
    <row r="2264" spans="1:18" hidden="1" x14ac:dyDescent="0.25">
      <c r="A2264" t="s">
        <v>2394</v>
      </c>
      <c r="B2264" t="s">
        <v>333</v>
      </c>
      <c r="C2264" t="s">
        <v>729</v>
      </c>
      <c r="D2264" t="s">
        <v>35</v>
      </c>
      <c r="E2264">
        <v>406.45</v>
      </c>
      <c r="F2264">
        <v>0</v>
      </c>
      <c r="G2264">
        <v>346.06</v>
      </c>
      <c r="H2264">
        <v>0</v>
      </c>
      <c r="I2264">
        <v>367.81799999999998</v>
      </c>
      <c r="J2264">
        <v>0</v>
      </c>
      <c r="K2264">
        <v>0</v>
      </c>
      <c r="L2264">
        <v>0</v>
      </c>
      <c r="M2264">
        <v>0</v>
      </c>
      <c r="N2264">
        <v>369.6</v>
      </c>
      <c r="O2264">
        <v>439.23</v>
      </c>
      <c r="P2264">
        <v>356.00920000000002</v>
      </c>
      <c r="Q2264">
        <v>0</v>
      </c>
      <c r="R2264">
        <v>401.12599999999998</v>
      </c>
    </row>
    <row r="2265" spans="1:18" hidden="1" x14ac:dyDescent="0.25">
      <c r="A2265" t="s">
        <v>2395</v>
      </c>
      <c r="B2265" t="s">
        <v>333</v>
      </c>
      <c r="C2265" t="s">
        <v>738</v>
      </c>
      <c r="D2265" t="s">
        <v>21</v>
      </c>
      <c r="E2265">
        <v>159.95099999999999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162.60300000000001</v>
      </c>
      <c r="L2265">
        <v>0</v>
      </c>
      <c r="M2265">
        <v>0</v>
      </c>
      <c r="N2265">
        <v>164.83500000000001</v>
      </c>
      <c r="O2265">
        <v>206.30500000000001</v>
      </c>
      <c r="P2265">
        <v>0</v>
      </c>
      <c r="Q2265">
        <v>0</v>
      </c>
      <c r="R2265">
        <v>0</v>
      </c>
    </row>
    <row r="2266" spans="1:18" hidden="1" x14ac:dyDescent="0.25">
      <c r="A2266" t="s">
        <v>2396</v>
      </c>
      <c r="B2266" t="s">
        <v>333</v>
      </c>
      <c r="C2266" t="s">
        <v>738</v>
      </c>
      <c r="D2266" t="s">
        <v>23</v>
      </c>
      <c r="E2266">
        <v>261.29399999999998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258.55</v>
      </c>
      <c r="L2266">
        <v>0</v>
      </c>
      <c r="M2266">
        <v>0</v>
      </c>
      <c r="N2266">
        <v>244.2</v>
      </c>
      <c r="O2266">
        <v>295.48200000000003</v>
      </c>
      <c r="P2266">
        <v>207.35429999999999</v>
      </c>
      <c r="Q2266">
        <v>0</v>
      </c>
      <c r="R2266">
        <v>213.136</v>
      </c>
    </row>
    <row r="2267" spans="1:18" hidden="1" x14ac:dyDescent="0.25">
      <c r="A2267" t="s">
        <v>2397</v>
      </c>
      <c r="B2267" t="s">
        <v>333</v>
      </c>
      <c r="C2267" t="s">
        <v>738</v>
      </c>
      <c r="D2267" t="s">
        <v>25</v>
      </c>
      <c r="E2267">
        <v>315.01799999999997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278.76</v>
      </c>
      <c r="L2267">
        <v>0</v>
      </c>
      <c r="M2267">
        <v>0</v>
      </c>
      <c r="N2267">
        <v>305.25</v>
      </c>
      <c r="O2267">
        <v>318.10899999999998</v>
      </c>
      <c r="P2267">
        <v>211.8296</v>
      </c>
      <c r="Q2267">
        <v>0</v>
      </c>
      <c r="R2267">
        <v>250.327</v>
      </c>
    </row>
    <row r="2268" spans="1:18" hidden="1" x14ac:dyDescent="0.25">
      <c r="A2268" t="s">
        <v>2398</v>
      </c>
      <c r="B2268" t="s">
        <v>333</v>
      </c>
      <c r="C2268" t="s">
        <v>738</v>
      </c>
      <c r="D2268" t="s">
        <v>27</v>
      </c>
      <c r="E2268">
        <v>389.49900000000002</v>
      </c>
      <c r="F2268">
        <v>0</v>
      </c>
      <c r="G2268">
        <v>331.40800000000002</v>
      </c>
      <c r="H2268">
        <v>378.51</v>
      </c>
      <c r="I2268">
        <v>372.40499999999997</v>
      </c>
      <c r="J2268">
        <v>0</v>
      </c>
      <c r="K2268">
        <v>0</v>
      </c>
      <c r="L2268">
        <v>0</v>
      </c>
      <c r="M2268">
        <v>0</v>
      </c>
      <c r="N2268">
        <v>366.3</v>
      </c>
      <c r="O2268">
        <v>348.72199999999998</v>
      </c>
      <c r="P2268">
        <v>337.85270000000003</v>
      </c>
      <c r="Q2268">
        <v>0</v>
      </c>
      <c r="R2268">
        <v>384.065</v>
      </c>
    </row>
    <row r="2269" spans="1:18" hidden="1" x14ac:dyDescent="0.25">
      <c r="A2269" t="s">
        <v>2399</v>
      </c>
      <c r="B2269" t="s">
        <v>333</v>
      </c>
      <c r="C2269" t="s">
        <v>738</v>
      </c>
      <c r="D2269" t="s">
        <v>29</v>
      </c>
      <c r="E2269">
        <v>156.71340000000001</v>
      </c>
      <c r="F2269">
        <v>161.029</v>
      </c>
      <c r="G2269">
        <v>149.01329999999999</v>
      </c>
      <c r="H2269">
        <v>0</v>
      </c>
      <c r="I2269">
        <v>0</v>
      </c>
      <c r="J2269">
        <v>0</v>
      </c>
      <c r="K2269">
        <v>168.21</v>
      </c>
      <c r="L2269">
        <v>0</v>
      </c>
      <c r="M2269">
        <v>0</v>
      </c>
      <c r="N2269">
        <v>170.94</v>
      </c>
      <c r="O2269">
        <v>216.953</v>
      </c>
      <c r="P2269">
        <v>163.2833</v>
      </c>
      <c r="Q2269">
        <v>161.029</v>
      </c>
      <c r="R2269">
        <v>163.28399999999999</v>
      </c>
    </row>
    <row r="2270" spans="1:18" hidden="1" x14ac:dyDescent="0.25">
      <c r="A2270" t="s">
        <v>2400</v>
      </c>
      <c r="B2270" t="s">
        <v>333</v>
      </c>
      <c r="C2270" t="s">
        <v>738</v>
      </c>
      <c r="D2270" t="s">
        <v>31</v>
      </c>
      <c r="E2270">
        <v>208.791</v>
      </c>
      <c r="F2270">
        <v>202.82900000000001</v>
      </c>
      <c r="G2270">
        <v>0</v>
      </c>
      <c r="H2270">
        <v>0</v>
      </c>
      <c r="I2270">
        <v>0</v>
      </c>
      <c r="J2270">
        <v>0</v>
      </c>
      <c r="K2270">
        <v>198.0617</v>
      </c>
      <c r="L2270">
        <v>0</v>
      </c>
      <c r="M2270">
        <v>0</v>
      </c>
      <c r="N2270">
        <v>207.57</v>
      </c>
      <c r="O2270">
        <v>232.92500000000001</v>
      </c>
      <c r="P2270">
        <v>187.89940000000001</v>
      </c>
      <c r="Q2270">
        <v>202.82900000000001</v>
      </c>
      <c r="R2270">
        <v>187.90199999999999</v>
      </c>
    </row>
    <row r="2271" spans="1:18" hidden="1" x14ac:dyDescent="0.25">
      <c r="A2271" t="s">
        <v>2401</v>
      </c>
      <c r="B2271" t="s">
        <v>333</v>
      </c>
      <c r="C2271" t="s">
        <v>738</v>
      </c>
      <c r="D2271" t="s">
        <v>33</v>
      </c>
      <c r="E2271">
        <v>242.97900000000001</v>
      </c>
      <c r="F2271">
        <v>218.81200000000001</v>
      </c>
      <c r="G2271">
        <v>0</v>
      </c>
      <c r="H2271">
        <v>0</v>
      </c>
      <c r="I2271">
        <v>0</v>
      </c>
      <c r="J2271">
        <v>0</v>
      </c>
      <c r="K2271">
        <v>216.34049999999999</v>
      </c>
      <c r="L2271">
        <v>0</v>
      </c>
      <c r="M2271">
        <v>0</v>
      </c>
      <c r="N2271">
        <v>219.78</v>
      </c>
      <c r="O2271">
        <v>242.24199999999999</v>
      </c>
      <c r="P2271">
        <v>190.73099999999999</v>
      </c>
      <c r="Q2271">
        <v>218.81200000000001</v>
      </c>
      <c r="R2271">
        <v>201.27799999999999</v>
      </c>
    </row>
    <row r="2272" spans="1:18" hidden="1" x14ac:dyDescent="0.25">
      <c r="A2272" t="s">
        <v>2402</v>
      </c>
      <c r="B2272" t="s">
        <v>333</v>
      </c>
      <c r="C2272" t="s">
        <v>738</v>
      </c>
      <c r="D2272" t="s">
        <v>35</v>
      </c>
      <c r="E2272">
        <v>374.27499999999998</v>
      </c>
      <c r="F2272">
        <v>0</v>
      </c>
      <c r="G2272">
        <v>314.28570000000002</v>
      </c>
      <c r="H2272">
        <v>378.51</v>
      </c>
      <c r="I2272">
        <v>348.84300000000002</v>
      </c>
      <c r="J2272">
        <v>0</v>
      </c>
      <c r="K2272">
        <v>0</v>
      </c>
      <c r="L2272">
        <v>0</v>
      </c>
      <c r="M2272">
        <v>0</v>
      </c>
      <c r="N2272">
        <v>369.6</v>
      </c>
      <c r="O2272">
        <v>363.363</v>
      </c>
      <c r="P2272">
        <v>347.05340000000001</v>
      </c>
      <c r="Q2272">
        <v>0</v>
      </c>
      <c r="R2272">
        <v>401.59899999999999</v>
      </c>
    </row>
    <row r="2273" spans="1:18" hidden="1" x14ac:dyDescent="0.25">
      <c r="A2273" t="s">
        <v>2403</v>
      </c>
      <c r="B2273" t="s">
        <v>333</v>
      </c>
      <c r="C2273" t="s">
        <v>747</v>
      </c>
      <c r="D2273" t="s">
        <v>21</v>
      </c>
      <c r="E2273">
        <v>174.5334</v>
      </c>
      <c r="F2273">
        <v>0</v>
      </c>
      <c r="G2273">
        <v>215.23330000000001</v>
      </c>
      <c r="H2273">
        <v>0</v>
      </c>
      <c r="I2273">
        <v>0</v>
      </c>
      <c r="J2273">
        <v>0</v>
      </c>
      <c r="K2273">
        <v>137.40299999999999</v>
      </c>
      <c r="L2273">
        <v>0</v>
      </c>
      <c r="M2273">
        <v>0</v>
      </c>
      <c r="N2273">
        <v>183.33699999999999</v>
      </c>
      <c r="O2273">
        <v>185.00899999999999</v>
      </c>
      <c r="P2273">
        <v>0</v>
      </c>
      <c r="Q2273">
        <v>0</v>
      </c>
      <c r="R2273">
        <v>0</v>
      </c>
    </row>
    <row r="2274" spans="1:18" hidden="1" x14ac:dyDescent="0.25">
      <c r="A2274" t="s">
        <v>2404</v>
      </c>
      <c r="B2274" t="s">
        <v>333</v>
      </c>
      <c r="C2274" t="s">
        <v>747</v>
      </c>
      <c r="D2274" t="s">
        <v>23</v>
      </c>
      <c r="E2274">
        <v>247.03800000000001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307.45580000000001</v>
      </c>
      <c r="L2274">
        <v>0</v>
      </c>
      <c r="M2274">
        <v>0</v>
      </c>
      <c r="N2274">
        <v>244.2</v>
      </c>
      <c r="O2274">
        <v>302.137</v>
      </c>
      <c r="P2274">
        <v>247.71520000000001</v>
      </c>
      <c r="Q2274">
        <v>0</v>
      </c>
      <c r="R2274">
        <v>247.72</v>
      </c>
    </row>
    <row r="2275" spans="1:18" hidden="1" x14ac:dyDescent="0.25">
      <c r="A2275" t="s">
        <v>2405</v>
      </c>
      <c r="B2275" t="s">
        <v>333</v>
      </c>
      <c r="C2275" t="s">
        <v>747</v>
      </c>
      <c r="D2275" t="s">
        <v>25</v>
      </c>
      <c r="E2275">
        <v>271.06200000000001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337.44690000000003</v>
      </c>
      <c r="L2275">
        <v>0</v>
      </c>
      <c r="M2275">
        <v>0</v>
      </c>
      <c r="N2275">
        <v>305.25</v>
      </c>
      <c r="O2275">
        <v>392.64499999999998</v>
      </c>
      <c r="P2275">
        <v>281.36059999999998</v>
      </c>
      <c r="Q2275">
        <v>0</v>
      </c>
      <c r="R2275">
        <v>281.358</v>
      </c>
    </row>
    <row r="2276" spans="1:18" hidden="1" x14ac:dyDescent="0.25">
      <c r="A2276" t="s">
        <v>2406</v>
      </c>
      <c r="B2276" t="s">
        <v>333</v>
      </c>
      <c r="C2276" t="s">
        <v>747</v>
      </c>
      <c r="D2276" t="s">
        <v>27</v>
      </c>
      <c r="E2276">
        <v>328.548</v>
      </c>
      <c r="F2276">
        <v>0</v>
      </c>
      <c r="G2276">
        <v>0</v>
      </c>
      <c r="H2276">
        <v>0</v>
      </c>
      <c r="I2276">
        <v>421.245</v>
      </c>
      <c r="J2276">
        <v>0</v>
      </c>
      <c r="K2276">
        <v>0</v>
      </c>
      <c r="L2276">
        <v>0</v>
      </c>
      <c r="M2276">
        <v>0</v>
      </c>
      <c r="N2276">
        <v>366.3</v>
      </c>
      <c r="O2276">
        <v>443.22300000000001</v>
      </c>
      <c r="P2276">
        <v>337.12540000000001</v>
      </c>
      <c r="Q2276">
        <v>0</v>
      </c>
      <c r="R2276">
        <v>337.12799999999999</v>
      </c>
    </row>
    <row r="2277" spans="1:18" hidden="1" x14ac:dyDescent="0.25">
      <c r="A2277" t="s">
        <v>2407</v>
      </c>
      <c r="B2277" t="s">
        <v>333</v>
      </c>
      <c r="C2277" t="s">
        <v>747</v>
      </c>
      <c r="D2277" t="s">
        <v>29</v>
      </c>
      <c r="E2277">
        <v>189.255</v>
      </c>
      <c r="F2277">
        <v>160.446</v>
      </c>
      <c r="G2277">
        <v>0</v>
      </c>
      <c r="H2277">
        <v>0</v>
      </c>
      <c r="I2277">
        <v>0</v>
      </c>
      <c r="J2277">
        <v>0</v>
      </c>
      <c r="K2277">
        <v>152.334</v>
      </c>
      <c r="L2277">
        <v>0</v>
      </c>
      <c r="M2277">
        <v>0</v>
      </c>
      <c r="N2277">
        <v>189.255</v>
      </c>
      <c r="O2277">
        <v>222.27699999999999</v>
      </c>
      <c r="P2277">
        <v>151.84880000000001</v>
      </c>
      <c r="Q2277">
        <v>160.446</v>
      </c>
      <c r="R2277">
        <v>151.84399999999999</v>
      </c>
    </row>
    <row r="2278" spans="1:18" hidden="1" x14ac:dyDescent="0.25">
      <c r="A2278" t="s">
        <v>2408</v>
      </c>
      <c r="B2278" t="s">
        <v>333</v>
      </c>
      <c r="C2278" t="s">
        <v>747</v>
      </c>
      <c r="D2278" t="s">
        <v>31</v>
      </c>
      <c r="E2278">
        <v>204.40199999999999</v>
      </c>
      <c r="F2278">
        <v>194.48</v>
      </c>
      <c r="G2278">
        <v>0</v>
      </c>
      <c r="H2278">
        <v>0</v>
      </c>
      <c r="I2278">
        <v>0</v>
      </c>
      <c r="J2278">
        <v>0</v>
      </c>
      <c r="K2278">
        <v>228.34739999999999</v>
      </c>
      <c r="L2278">
        <v>0</v>
      </c>
      <c r="M2278">
        <v>0</v>
      </c>
      <c r="N2278">
        <v>207.57</v>
      </c>
      <c r="O2278">
        <v>235.58699999999999</v>
      </c>
      <c r="P2278">
        <v>201.5429</v>
      </c>
      <c r="Q2278">
        <v>194.48</v>
      </c>
      <c r="R2278">
        <v>201.542</v>
      </c>
    </row>
    <row r="2279" spans="1:18" hidden="1" x14ac:dyDescent="0.25">
      <c r="A2279" t="s">
        <v>2409</v>
      </c>
      <c r="B2279" t="s">
        <v>333</v>
      </c>
      <c r="C2279" t="s">
        <v>747</v>
      </c>
      <c r="D2279" t="s">
        <v>33</v>
      </c>
      <c r="E2279">
        <v>219.45</v>
      </c>
      <c r="F2279">
        <v>212.71799999999999</v>
      </c>
      <c r="G2279">
        <v>0</v>
      </c>
      <c r="H2279">
        <v>0</v>
      </c>
      <c r="I2279">
        <v>0</v>
      </c>
      <c r="J2279">
        <v>0</v>
      </c>
      <c r="K2279">
        <v>245.60550000000001</v>
      </c>
      <c r="L2279">
        <v>0</v>
      </c>
      <c r="M2279">
        <v>0</v>
      </c>
      <c r="N2279">
        <v>219.78</v>
      </c>
      <c r="O2279">
        <v>256.88299999999998</v>
      </c>
      <c r="P2279">
        <v>219.45</v>
      </c>
      <c r="Q2279">
        <v>212.71799999999999</v>
      </c>
      <c r="R2279">
        <v>219.45</v>
      </c>
    </row>
    <row r="2280" spans="1:18" hidden="1" x14ac:dyDescent="0.25">
      <c r="A2280" t="s">
        <v>2410</v>
      </c>
      <c r="B2280" t="s">
        <v>333</v>
      </c>
      <c r="C2280" t="s">
        <v>747</v>
      </c>
      <c r="D2280" t="s">
        <v>35</v>
      </c>
      <c r="E2280">
        <v>342.34199999999998</v>
      </c>
      <c r="F2280">
        <v>0</v>
      </c>
      <c r="G2280">
        <v>0</v>
      </c>
      <c r="H2280">
        <v>0</v>
      </c>
      <c r="I2280">
        <v>421.245</v>
      </c>
      <c r="J2280">
        <v>0</v>
      </c>
      <c r="K2280">
        <v>0</v>
      </c>
      <c r="L2280">
        <v>0</v>
      </c>
      <c r="M2280">
        <v>0</v>
      </c>
      <c r="N2280">
        <v>402.93</v>
      </c>
      <c r="O2280">
        <v>484.48399999999998</v>
      </c>
      <c r="P2280">
        <v>351.52839999999998</v>
      </c>
      <c r="Q2280">
        <v>0</v>
      </c>
      <c r="R2280">
        <v>351.52699999999999</v>
      </c>
    </row>
    <row r="2281" spans="1:18" hidden="1" x14ac:dyDescent="0.25">
      <c r="A2281" t="s">
        <v>2411</v>
      </c>
      <c r="B2281" t="s">
        <v>333</v>
      </c>
      <c r="C2281" t="s">
        <v>756</v>
      </c>
      <c r="D2281" t="s">
        <v>21</v>
      </c>
      <c r="E2281">
        <v>168.036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231.90299999999999</v>
      </c>
      <c r="L2281">
        <v>0</v>
      </c>
      <c r="M2281">
        <v>0</v>
      </c>
      <c r="N2281">
        <v>238.095</v>
      </c>
      <c r="O2281">
        <v>340.73599999999999</v>
      </c>
      <c r="P2281">
        <v>0</v>
      </c>
      <c r="R2281">
        <v>0</v>
      </c>
    </row>
    <row r="2282" spans="1:18" hidden="1" x14ac:dyDescent="0.25">
      <c r="A2282" t="s">
        <v>2412</v>
      </c>
      <c r="B2282" t="s">
        <v>333</v>
      </c>
      <c r="C2282" t="s">
        <v>756</v>
      </c>
      <c r="D2282" t="s">
        <v>23</v>
      </c>
      <c r="E2282">
        <v>260.83199999999999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408.19279999999998</v>
      </c>
      <c r="L2282">
        <v>0</v>
      </c>
      <c r="M2282">
        <v>0</v>
      </c>
      <c r="N2282">
        <v>409.03500000000003</v>
      </c>
      <c r="O2282">
        <v>487.14600000000002</v>
      </c>
      <c r="P2282">
        <v>280.12189999999998</v>
      </c>
      <c r="R2282">
        <v>280.12599999999998</v>
      </c>
    </row>
    <row r="2283" spans="1:18" hidden="1" x14ac:dyDescent="0.25">
      <c r="A2283" t="s">
        <v>2413</v>
      </c>
      <c r="B2283" t="s">
        <v>333</v>
      </c>
      <c r="C2283" t="s">
        <v>756</v>
      </c>
      <c r="D2283" t="s">
        <v>25</v>
      </c>
      <c r="E2283">
        <v>307.23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458.3313</v>
      </c>
      <c r="L2283">
        <v>0</v>
      </c>
      <c r="M2283">
        <v>0</v>
      </c>
      <c r="N2283">
        <v>427.35</v>
      </c>
      <c r="O2283">
        <v>541.71699999999998</v>
      </c>
      <c r="P2283">
        <v>316.34530000000001</v>
      </c>
      <c r="R2283">
        <v>316.34899999999999</v>
      </c>
    </row>
    <row r="2284" spans="1:18" hidden="1" x14ac:dyDescent="0.25">
      <c r="A2284" t="s">
        <v>2414</v>
      </c>
      <c r="B2284" t="s">
        <v>333</v>
      </c>
      <c r="C2284" t="s">
        <v>756</v>
      </c>
      <c r="D2284" t="s">
        <v>27</v>
      </c>
      <c r="E2284">
        <v>406.59300000000002</v>
      </c>
      <c r="F2284">
        <v>0</v>
      </c>
      <c r="G2284">
        <v>0</v>
      </c>
      <c r="H2284">
        <v>0</v>
      </c>
      <c r="I2284">
        <v>579.97500000000002</v>
      </c>
      <c r="J2284">
        <v>0</v>
      </c>
      <c r="K2284">
        <v>0</v>
      </c>
      <c r="L2284">
        <v>0</v>
      </c>
      <c r="M2284">
        <v>0</v>
      </c>
      <c r="N2284">
        <v>573.87</v>
      </c>
      <c r="O2284">
        <v>605.60500000000002</v>
      </c>
      <c r="P2284">
        <v>443.08839999999998</v>
      </c>
      <c r="R2284">
        <v>443.09100000000001</v>
      </c>
    </row>
    <row r="2285" spans="1:18" hidden="1" x14ac:dyDescent="0.25">
      <c r="A2285" t="s">
        <v>2415</v>
      </c>
      <c r="B2285" t="s">
        <v>333</v>
      </c>
      <c r="C2285" t="s">
        <v>756</v>
      </c>
      <c r="D2285" t="s">
        <v>29</v>
      </c>
      <c r="E2285">
        <v>174.30600000000001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246.834</v>
      </c>
      <c r="L2285">
        <v>0</v>
      </c>
      <c r="M2285">
        <v>0</v>
      </c>
      <c r="N2285">
        <v>250.30500000000001</v>
      </c>
      <c r="O2285">
        <v>367.35599999999999</v>
      </c>
      <c r="P2285">
        <v>186.94630000000001</v>
      </c>
      <c r="R2285">
        <v>186.94499999999999</v>
      </c>
    </row>
    <row r="2286" spans="1:18" hidden="1" x14ac:dyDescent="0.25">
      <c r="A2286" t="s">
        <v>2416</v>
      </c>
      <c r="B2286" t="s">
        <v>333</v>
      </c>
      <c r="C2286" t="s">
        <v>756</v>
      </c>
      <c r="D2286" t="s">
        <v>31</v>
      </c>
      <c r="E2286">
        <v>209.41800000000001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344.47609999999997</v>
      </c>
      <c r="L2286">
        <v>0</v>
      </c>
      <c r="M2286">
        <v>0</v>
      </c>
      <c r="N2286">
        <v>347.98500000000001</v>
      </c>
      <c r="O2286">
        <v>409.94799999999998</v>
      </c>
      <c r="P2286">
        <v>226.12540000000001</v>
      </c>
      <c r="R2286">
        <v>226.12700000000001</v>
      </c>
    </row>
    <row r="2287" spans="1:18" hidden="1" x14ac:dyDescent="0.25">
      <c r="A2287" t="s">
        <v>2417</v>
      </c>
      <c r="B2287" t="s">
        <v>333</v>
      </c>
      <c r="C2287" t="s">
        <v>756</v>
      </c>
      <c r="D2287" t="s">
        <v>33</v>
      </c>
      <c r="E2287">
        <v>221.958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369.63679999999999</v>
      </c>
      <c r="L2287">
        <v>0</v>
      </c>
      <c r="M2287">
        <v>0</v>
      </c>
      <c r="N2287">
        <v>372.40499999999997</v>
      </c>
      <c r="O2287">
        <v>428.58199999999999</v>
      </c>
      <c r="P2287">
        <v>247.29679999999999</v>
      </c>
      <c r="R2287">
        <v>247.30199999999999</v>
      </c>
    </row>
    <row r="2288" spans="1:18" hidden="1" x14ac:dyDescent="0.25">
      <c r="A2288" t="s">
        <v>2418</v>
      </c>
      <c r="B2288" t="s">
        <v>333</v>
      </c>
      <c r="C2288" t="s">
        <v>756</v>
      </c>
      <c r="D2288" t="s">
        <v>35</v>
      </c>
      <c r="E2288">
        <v>444.44400000000002</v>
      </c>
      <c r="F2288">
        <v>0</v>
      </c>
      <c r="G2288">
        <v>0</v>
      </c>
      <c r="H2288">
        <v>0</v>
      </c>
      <c r="I2288">
        <v>579.97500000000002</v>
      </c>
      <c r="J2288">
        <v>0</v>
      </c>
      <c r="K2288">
        <v>0</v>
      </c>
      <c r="L2288">
        <v>0</v>
      </c>
      <c r="M2288">
        <v>0</v>
      </c>
      <c r="N2288">
        <v>586.08000000000004</v>
      </c>
      <c r="O2288">
        <v>681.47199999999998</v>
      </c>
      <c r="P2288">
        <v>477.0797</v>
      </c>
      <c r="R2288">
        <v>477.08100000000002</v>
      </c>
    </row>
    <row r="2289" spans="1:18" hidden="1" x14ac:dyDescent="0.25">
      <c r="A2289" t="s">
        <v>2419</v>
      </c>
      <c r="B2289" t="s">
        <v>333</v>
      </c>
      <c r="C2289" t="s">
        <v>765</v>
      </c>
      <c r="D2289" t="s">
        <v>21</v>
      </c>
      <c r="E2289">
        <v>720.39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544.93430000000001</v>
      </c>
      <c r="L2289">
        <v>0</v>
      </c>
      <c r="M2289">
        <v>0</v>
      </c>
      <c r="O2289">
        <v>0</v>
      </c>
      <c r="P2289">
        <v>0</v>
      </c>
      <c r="R2289">
        <v>0</v>
      </c>
    </row>
    <row r="2290" spans="1:18" hidden="1" x14ac:dyDescent="0.25">
      <c r="A2290" t="s">
        <v>2420</v>
      </c>
      <c r="B2290" t="s">
        <v>333</v>
      </c>
      <c r="C2290" t="s">
        <v>765</v>
      </c>
      <c r="D2290" t="s">
        <v>23</v>
      </c>
      <c r="E2290">
        <v>905.38800000000003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839.34900000000005</v>
      </c>
      <c r="L2290">
        <v>0</v>
      </c>
      <c r="M2290">
        <v>0</v>
      </c>
      <c r="O2290">
        <v>0</v>
      </c>
      <c r="P2290">
        <v>437.88510000000002</v>
      </c>
      <c r="R2290">
        <v>437.88799999999998</v>
      </c>
    </row>
    <row r="2291" spans="1:18" hidden="1" x14ac:dyDescent="0.25">
      <c r="A2291" t="s">
        <v>2421</v>
      </c>
      <c r="B2291" t="s">
        <v>333</v>
      </c>
      <c r="C2291" t="s">
        <v>765</v>
      </c>
      <c r="D2291" t="s">
        <v>25</v>
      </c>
      <c r="E2291">
        <v>976.8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975.71879999999999</v>
      </c>
      <c r="L2291">
        <v>0</v>
      </c>
      <c r="M2291">
        <v>0</v>
      </c>
      <c r="O2291">
        <v>0</v>
      </c>
      <c r="P2291">
        <v>425.26209999999998</v>
      </c>
      <c r="R2291">
        <v>425.26</v>
      </c>
    </row>
    <row r="2292" spans="1:18" hidden="1" x14ac:dyDescent="0.25">
      <c r="A2292" t="s">
        <v>2422</v>
      </c>
      <c r="B2292" t="s">
        <v>333</v>
      </c>
      <c r="C2292" t="s">
        <v>765</v>
      </c>
      <c r="D2292" t="s">
        <v>27</v>
      </c>
      <c r="E2292">
        <v>1134.8699999999999</v>
      </c>
      <c r="F2292">
        <v>0</v>
      </c>
      <c r="G2292">
        <v>0</v>
      </c>
      <c r="H2292">
        <v>0</v>
      </c>
      <c r="I2292">
        <v>1056.165</v>
      </c>
      <c r="J2292">
        <v>0</v>
      </c>
      <c r="K2292">
        <v>0</v>
      </c>
      <c r="L2292">
        <v>0</v>
      </c>
      <c r="M2292">
        <v>0</v>
      </c>
      <c r="O2292">
        <v>0</v>
      </c>
      <c r="P2292">
        <v>638.11440000000005</v>
      </c>
      <c r="R2292">
        <v>638.11</v>
      </c>
    </row>
    <row r="2293" spans="1:18" hidden="1" x14ac:dyDescent="0.25">
      <c r="A2293" t="s">
        <v>2423</v>
      </c>
      <c r="B2293" t="s">
        <v>333</v>
      </c>
      <c r="C2293" t="s">
        <v>765</v>
      </c>
      <c r="D2293" t="s">
        <v>29</v>
      </c>
      <c r="E2293">
        <v>749.69399999999996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571.67780000000005</v>
      </c>
      <c r="L2293">
        <v>0</v>
      </c>
      <c r="M2293">
        <v>0</v>
      </c>
      <c r="O2293">
        <v>0</v>
      </c>
      <c r="P2293">
        <v>331.40390000000002</v>
      </c>
      <c r="R2293">
        <v>331.40800000000002</v>
      </c>
    </row>
    <row r="2294" spans="1:18" hidden="1" x14ac:dyDescent="0.25">
      <c r="A2294" t="s">
        <v>2424</v>
      </c>
      <c r="B2294" t="s">
        <v>333</v>
      </c>
      <c r="C2294" t="s">
        <v>765</v>
      </c>
      <c r="D2294" t="s">
        <v>31</v>
      </c>
      <c r="E2294">
        <v>819.29100000000005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712.65989999999999</v>
      </c>
      <c r="L2294">
        <v>0</v>
      </c>
      <c r="M2294">
        <v>0</v>
      </c>
      <c r="O2294">
        <v>0</v>
      </c>
      <c r="P2294">
        <v>721.39319999999998</v>
      </c>
      <c r="R2294">
        <v>721.39099999999996</v>
      </c>
    </row>
    <row r="2295" spans="1:18" hidden="1" x14ac:dyDescent="0.25">
      <c r="A2295" t="s">
        <v>2425</v>
      </c>
      <c r="B2295" t="s">
        <v>333</v>
      </c>
      <c r="C2295" t="s">
        <v>765</v>
      </c>
      <c r="D2295" t="s">
        <v>33</v>
      </c>
      <c r="E2295">
        <v>868.13099999999997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737.05280000000005</v>
      </c>
      <c r="L2295">
        <v>0</v>
      </c>
      <c r="M2295">
        <v>0</v>
      </c>
      <c r="O2295">
        <v>0</v>
      </c>
      <c r="P2295">
        <v>740.93050000000005</v>
      </c>
      <c r="R2295">
        <v>740.92700000000002</v>
      </c>
    </row>
    <row r="2296" spans="1:18" hidden="1" x14ac:dyDescent="0.25">
      <c r="A2296" t="s">
        <v>2426</v>
      </c>
      <c r="B2296" t="s">
        <v>333</v>
      </c>
      <c r="C2296" t="s">
        <v>765</v>
      </c>
      <c r="D2296" t="s">
        <v>35</v>
      </c>
      <c r="E2296">
        <v>1178.76</v>
      </c>
      <c r="F2296">
        <v>0</v>
      </c>
      <c r="G2296">
        <v>0</v>
      </c>
      <c r="H2296">
        <v>0</v>
      </c>
      <c r="I2296">
        <v>1056.165</v>
      </c>
      <c r="J2296">
        <v>0</v>
      </c>
      <c r="K2296">
        <v>0</v>
      </c>
      <c r="L2296">
        <v>0</v>
      </c>
      <c r="M2296">
        <v>0</v>
      </c>
      <c r="O2296">
        <v>0</v>
      </c>
      <c r="P2296">
        <v>1043.1398999999999</v>
      </c>
      <c r="R2296">
        <v>1043.1410000000001</v>
      </c>
    </row>
    <row r="2297" spans="1:18" hidden="1" x14ac:dyDescent="0.25">
      <c r="A2297" t="s">
        <v>2427</v>
      </c>
      <c r="B2297" t="s">
        <v>333</v>
      </c>
      <c r="C2297" t="s">
        <v>774</v>
      </c>
      <c r="D2297" t="s">
        <v>21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R2297">
        <v>0</v>
      </c>
    </row>
    <row r="2298" spans="1:18" hidden="1" x14ac:dyDescent="0.25">
      <c r="A2298" t="s">
        <v>2428</v>
      </c>
      <c r="B2298" t="s">
        <v>333</v>
      </c>
      <c r="C2298" t="s">
        <v>774</v>
      </c>
      <c r="D2298" t="s">
        <v>23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360.44170000000003</v>
      </c>
      <c r="R2298">
        <v>360.43700000000001</v>
      </c>
    </row>
    <row r="2299" spans="1:18" hidden="1" x14ac:dyDescent="0.25">
      <c r="A2299" t="s">
        <v>2429</v>
      </c>
      <c r="B2299" t="s">
        <v>333</v>
      </c>
      <c r="C2299" t="s">
        <v>774</v>
      </c>
      <c r="D2299" t="s">
        <v>25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382.50760000000002</v>
      </c>
      <c r="R2299">
        <v>382.50299999999999</v>
      </c>
    </row>
    <row r="2300" spans="1:18" hidden="1" x14ac:dyDescent="0.25">
      <c r="A2300" t="s">
        <v>2430</v>
      </c>
      <c r="B2300" t="s">
        <v>333</v>
      </c>
      <c r="C2300" t="s">
        <v>774</v>
      </c>
      <c r="D2300" t="s">
        <v>27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522.7174</v>
      </c>
      <c r="R2300">
        <v>522.72</v>
      </c>
    </row>
    <row r="2301" spans="1:18" hidden="1" x14ac:dyDescent="0.25">
      <c r="A2301" t="s">
        <v>2431</v>
      </c>
      <c r="B2301" t="s">
        <v>333</v>
      </c>
      <c r="C2301" t="s">
        <v>774</v>
      </c>
      <c r="D2301" t="s">
        <v>29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216.38419999999999</v>
      </c>
      <c r="R2301">
        <v>216.381</v>
      </c>
    </row>
    <row r="2302" spans="1:18" hidden="1" x14ac:dyDescent="0.25">
      <c r="A2302" t="s">
        <v>2432</v>
      </c>
      <c r="B2302" t="s">
        <v>333</v>
      </c>
      <c r="C2302" t="s">
        <v>774</v>
      </c>
      <c r="D2302" t="s">
        <v>31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312.18329999999997</v>
      </c>
      <c r="R2302">
        <v>312.18</v>
      </c>
    </row>
    <row r="2303" spans="1:18" hidden="1" x14ac:dyDescent="0.25">
      <c r="A2303" t="s">
        <v>2433</v>
      </c>
      <c r="B2303" t="s">
        <v>333</v>
      </c>
      <c r="C2303" t="s">
        <v>774</v>
      </c>
      <c r="D2303" t="s">
        <v>33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321.77640000000002</v>
      </c>
      <c r="R2303">
        <v>321.77199999999999</v>
      </c>
    </row>
    <row r="2304" spans="1:18" hidden="1" x14ac:dyDescent="0.25">
      <c r="A2304" t="s">
        <v>2434</v>
      </c>
      <c r="B2304" t="s">
        <v>333</v>
      </c>
      <c r="C2304" t="s">
        <v>774</v>
      </c>
      <c r="D2304" t="s">
        <v>35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533.75260000000003</v>
      </c>
      <c r="R2304">
        <v>533.75300000000004</v>
      </c>
    </row>
    <row r="2305" spans="1:18" hidden="1" x14ac:dyDescent="0.25">
      <c r="A2305" t="s">
        <v>2435</v>
      </c>
      <c r="B2305" t="s">
        <v>333</v>
      </c>
      <c r="C2305" t="s">
        <v>1626</v>
      </c>
      <c r="D2305" t="s">
        <v>21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817.23400000000004</v>
      </c>
      <c r="P2305">
        <v>0</v>
      </c>
      <c r="R2305">
        <v>0</v>
      </c>
    </row>
    <row r="2306" spans="1:18" hidden="1" x14ac:dyDescent="0.25">
      <c r="A2306" t="s">
        <v>2436</v>
      </c>
      <c r="B2306" t="s">
        <v>333</v>
      </c>
      <c r="C2306" t="s">
        <v>1626</v>
      </c>
      <c r="D2306" t="s">
        <v>23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1064.8</v>
      </c>
      <c r="P2306">
        <v>1254</v>
      </c>
      <c r="R2306">
        <v>1254</v>
      </c>
    </row>
    <row r="2307" spans="1:18" hidden="1" x14ac:dyDescent="0.25">
      <c r="A2307" t="s">
        <v>2437</v>
      </c>
      <c r="B2307" t="s">
        <v>333</v>
      </c>
      <c r="C2307" t="s">
        <v>1626</v>
      </c>
      <c r="D2307" t="s">
        <v>25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1131.3499999999999</v>
      </c>
      <c r="P2307">
        <v>1285.3499999999999</v>
      </c>
      <c r="R2307">
        <v>1285.3499999999999</v>
      </c>
    </row>
    <row r="2308" spans="1:18" hidden="1" x14ac:dyDescent="0.25">
      <c r="A2308" t="s">
        <v>2438</v>
      </c>
      <c r="B2308" t="s">
        <v>333</v>
      </c>
      <c r="C2308" t="s">
        <v>1626</v>
      </c>
      <c r="D2308" t="s">
        <v>27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1204.5550000000001</v>
      </c>
      <c r="P2308">
        <v>1617.66</v>
      </c>
      <c r="R2308">
        <v>1617.66</v>
      </c>
    </row>
    <row r="2309" spans="1:18" hidden="1" x14ac:dyDescent="0.25">
      <c r="A2309" t="s">
        <v>2439</v>
      </c>
      <c r="B2309" t="s">
        <v>333</v>
      </c>
      <c r="C2309" t="s">
        <v>1626</v>
      </c>
      <c r="D2309" t="s">
        <v>29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893.101</v>
      </c>
      <c r="P2309">
        <v>827.64</v>
      </c>
      <c r="R2309">
        <v>827.64</v>
      </c>
    </row>
    <row r="2310" spans="1:18" hidden="1" x14ac:dyDescent="0.25">
      <c r="A2310" t="s">
        <v>2440</v>
      </c>
      <c r="B2310" t="s">
        <v>333</v>
      </c>
      <c r="C2310" t="s">
        <v>1626</v>
      </c>
      <c r="D2310" t="s">
        <v>31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946.34100000000001</v>
      </c>
      <c r="P2310">
        <v>1078.44</v>
      </c>
      <c r="R2310">
        <v>1078.44</v>
      </c>
    </row>
    <row r="2311" spans="1:18" hidden="1" x14ac:dyDescent="0.25">
      <c r="A2311" t="s">
        <v>2441</v>
      </c>
      <c r="B2311" t="s">
        <v>333</v>
      </c>
      <c r="C2311" t="s">
        <v>1626</v>
      </c>
      <c r="D2311" t="s">
        <v>33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960.98199999999997</v>
      </c>
      <c r="P2311">
        <v>1116.06</v>
      </c>
      <c r="R2311">
        <v>1116.06</v>
      </c>
    </row>
    <row r="2312" spans="1:18" hidden="1" x14ac:dyDescent="0.25">
      <c r="A2312" t="s">
        <v>2442</v>
      </c>
      <c r="B2312" t="s">
        <v>333</v>
      </c>
      <c r="C2312" t="s">
        <v>1626</v>
      </c>
      <c r="D2312" t="s">
        <v>35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1251.1400000000001</v>
      </c>
      <c r="P2312">
        <v>1649.01</v>
      </c>
      <c r="R2312">
        <v>1649.01</v>
      </c>
    </row>
    <row r="2313" spans="1:18" hidden="1" x14ac:dyDescent="0.25">
      <c r="A2313" t="s">
        <v>2443</v>
      </c>
      <c r="B2313" t="s">
        <v>333</v>
      </c>
      <c r="C2313" t="s">
        <v>783</v>
      </c>
      <c r="D2313" t="s">
        <v>21</v>
      </c>
      <c r="E2313">
        <v>196.9734</v>
      </c>
      <c r="F2313">
        <v>0</v>
      </c>
      <c r="G2313">
        <v>201.3733</v>
      </c>
      <c r="H2313">
        <v>0</v>
      </c>
      <c r="I2313">
        <v>0</v>
      </c>
      <c r="J2313">
        <v>0</v>
      </c>
      <c r="K2313">
        <v>132.54150000000001</v>
      </c>
      <c r="L2313">
        <v>0</v>
      </c>
      <c r="M2313">
        <v>0</v>
      </c>
      <c r="N2313">
        <v>183.15</v>
      </c>
      <c r="O2313">
        <v>185.00899999999999</v>
      </c>
      <c r="P2313">
        <v>0</v>
      </c>
      <c r="Q2313">
        <v>0</v>
      </c>
      <c r="R2313">
        <v>0</v>
      </c>
    </row>
    <row r="2314" spans="1:18" hidden="1" x14ac:dyDescent="0.25">
      <c r="A2314" t="s">
        <v>2444</v>
      </c>
      <c r="B2314" t="s">
        <v>333</v>
      </c>
      <c r="C2314" t="s">
        <v>783</v>
      </c>
      <c r="D2314" t="s">
        <v>23</v>
      </c>
      <c r="E2314">
        <v>366.3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290.88130000000001</v>
      </c>
      <c r="L2314">
        <v>0</v>
      </c>
      <c r="M2314">
        <v>0</v>
      </c>
      <c r="N2314">
        <v>244.2</v>
      </c>
      <c r="O2314">
        <v>304.79899999999998</v>
      </c>
      <c r="P2314">
        <v>255.08869999999999</v>
      </c>
      <c r="Q2314">
        <v>0</v>
      </c>
      <c r="R2314">
        <v>255.09</v>
      </c>
    </row>
    <row r="2315" spans="1:18" hidden="1" x14ac:dyDescent="0.25">
      <c r="A2315" t="s">
        <v>2445</v>
      </c>
      <c r="B2315" t="s">
        <v>333</v>
      </c>
      <c r="C2315" t="s">
        <v>783</v>
      </c>
      <c r="D2315" t="s">
        <v>25</v>
      </c>
      <c r="E2315">
        <v>384.61500000000001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317.55759999999998</v>
      </c>
      <c r="L2315">
        <v>0</v>
      </c>
      <c r="M2315">
        <v>0</v>
      </c>
      <c r="N2315">
        <v>305.25</v>
      </c>
      <c r="O2315">
        <v>399.3</v>
      </c>
      <c r="P2315">
        <v>298.80689999999998</v>
      </c>
      <c r="Q2315">
        <v>0</v>
      </c>
      <c r="R2315">
        <v>298.80399999999997</v>
      </c>
    </row>
    <row r="2316" spans="1:18" hidden="1" x14ac:dyDescent="0.25">
      <c r="A2316" t="s">
        <v>2446</v>
      </c>
      <c r="B2316" t="s">
        <v>333</v>
      </c>
      <c r="C2316" t="s">
        <v>783</v>
      </c>
      <c r="D2316" t="s">
        <v>27</v>
      </c>
      <c r="E2316">
        <v>531.13499999999999</v>
      </c>
      <c r="F2316">
        <v>0</v>
      </c>
      <c r="G2316">
        <v>0</v>
      </c>
      <c r="H2316">
        <v>0</v>
      </c>
      <c r="I2316">
        <v>415.14</v>
      </c>
      <c r="J2316">
        <v>0</v>
      </c>
      <c r="K2316">
        <v>0</v>
      </c>
      <c r="L2316">
        <v>0</v>
      </c>
      <c r="M2316">
        <v>0</v>
      </c>
      <c r="N2316">
        <v>366.3</v>
      </c>
      <c r="O2316">
        <v>441.892</v>
      </c>
      <c r="P2316">
        <v>379.29199999999997</v>
      </c>
      <c r="Q2316">
        <v>0</v>
      </c>
      <c r="R2316">
        <v>379.291</v>
      </c>
    </row>
    <row r="2317" spans="1:18" hidden="1" x14ac:dyDescent="0.25">
      <c r="A2317" t="s">
        <v>2447</v>
      </c>
      <c r="B2317" t="s">
        <v>333</v>
      </c>
      <c r="C2317" t="s">
        <v>783</v>
      </c>
      <c r="D2317" t="s">
        <v>29</v>
      </c>
      <c r="E2317">
        <v>219.78</v>
      </c>
      <c r="F2317">
        <v>160.446</v>
      </c>
      <c r="G2317">
        <v>0</v>
      </c>
      <c r="H2317">
        <v>0</v>
      </c>
      <c r="I2317">
        <v>0</v>
      </c>
      <c r="J2317">
        <v>0</v>
      </c>
      <c r="K2317">
        <v>141.2475</v>
      </c>
      <c r="L2317">
        <v>0</v>
      </c>
      <c r="M2317">
        <v>0</v>
      </c>
      <c r="N2317">
        <v>189.255</v>
      </c>
      <c r="O2317">
        <v>226.27</v>
      </c>
      <c r="P2317">
        <v>145.5788</v>
      </c>
      <c r="Q2317">
        <v>160.446</v>
      </c>
      <c r="R2317">
        <v>145.57400000000001</v>
      </c>
    </row>
    <row r="2318" spans="1:18" hidden="1" x14ac:dyDescent="0.25">
      <c r="A2318" t="s">
        <v>2448</v>
      </c>
      <c r="B2318" t="s">
        <v>333</v>
      </c>
      <c r="C2318" t="s">
        <v>783</v>
      </c>
      <c r="D2318" t="s">
        <v>31</v>
      </c>
      <c r="E2318">
        <v>317.45999999999998</v>
      </c>
      <c r="F2318">
        <v>209.066</v>
      </c>
      <c r="G2318">
        <v>0</v>
      </c>
      <c r="H2318">
        <v>0</v>
      </c>
      <c r="I2318">
        <v>0</v>
      </c>
      <c r="J2318">
        <v>0</v>
      </c>
      <c r="K2318">
        <v>218.3433</v>
      </c>
      <c r="L2318">
        <v>0</v>
      </c>
      <c r="M2318">
        <v>0</v>
      </c>
      <c r="N2318">
        <v>207.57</v>
      </c>
      <c r="O2318">
        <v>244.904</v>
      </c>
      <c r="P2318">
        <v>213.78190000000001</v>
      </c>
      <c r="Q2318">
        <v>209.066</v>
      </c>
      <c r="R2318">
        <v>213.785</v>
      </c>
    </row>
    <row r="2319" spans="1:18" hidden="1" x14ac:dyDescent="0.25">
      <c r="A2319" t="s">
        <v>2449</v>
      </c>
      <c r="B2319" t="s">
        <v>333</v>
      </c>
      <c r="C2319" t="s">
        <v>783</v>
      </c>
      <c r="D2319" t="s">
        <v>33</v>
      </c>
      <c r="E2319">
        <v>329.67</v>
      </c>
      <c r="F2319">
        <v>224.87299999999999</v>
      </c>
      <c r="G2319">
        <v>0</v>
      </c>
      <c r="H2319">
        <v>0</v>
      </c>
      <c r="I2319">
        <v>0</v>
      </c>
      <c r="J2319">
        <v>0</v>
      </c>
      <c r="K2319">
        <v>226.70699999999999</v>
      </c>
      <c r="L2319">
        <v>0</v>
      </c>
      <c r="M2319">
        <v>0</v>
      </c>
      <c r="N2319">
        <v>219.78</v>
      </c>
      <c r="O2319">
        <v>256.88299999999998</v>
      </c>
      <c r="P2319">
        <v>226.3663</v>
      </c>
      <c r="Q2319">
        <v>224.87299999999999</v>
      </c>
      <c r="R2319">
        <v>226.369</v>
      </c>
    </row>
    <row r="2320" spans="1:18" hidden="1" x14ac:dyDescent="0.25">
      <c r="A2320" t="s">
        <v>2450</v>
      </c>
      <c r="B2320" t="s">
        <v>333</v>
      </c>
      <c r="C2320" t="s">
        <v>783</v>
      </c>
      <c r="D2320" t="s">
        <v>35</v>
      </c>
      <c r="E2320">
        <v>543.34500000000003</v>
      </c>
      <c r="F2320">
        <v>0</v>
      </c>
      <c r="G2320">
        <v>0</v>
      </c>
      <c r="H2320">
        <v>0</v>
      </c>
      <c r="I2320">
        <v>415.14</v>
      </c>
      <c r="J2320">
        <v>0</v>
      </c>
      <c r="K2320">
        <v>0</v>
      </c>
      <c r="L2320">
        <v>0</v>
      </c>
      <c r="M2320">
        <v>0</v>
      </c>
      <c r="N2320">
        <v>402.93</v>
      </c>
      <c r="O2320">
        <v>484.48399999999998</v>
      </c>
      <c r="P2320">
        <v>406.62200000000001</v>
      </c>
      <c r="Q2320">
        <v>0</v>
      </c>
      <c r="R2320">
        <v>406.62599999999998</v>
      </c>
    </row>
    <row r="2321" spans="1:18" hidden="1" x14ac:dyDescent="0.25">
      <c r="A2321" t="s">
        <v>2451</v>
      </c>
      <c r="B2321" t="s">
        <v>333</v>
      </c>
      <c r="C2321" t="s">
        <v>792</v>
      </c>
      <c r="D2321" t="s">
        <v>21</v>
      </c>
      <c r="E2321">
        <v>172.458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344.12169999999998</v>
      </c>
      <c r="L2321">
        <v>0</v>
      </c>
      <c r="M2321">
        <v>0</v>
      </c>
      <c r="N2321">
        <v>354.09</v>
      </c>
      <c r="O2321">
        <v>393.976</v>
      </c>
      <c r="P2321">
        <v>0</v>
      </c>
      <c r="R2321">
        <v>0</v>
      </c>
    </row>
    <row r="2322" spans="1:18" hidden="1" x14ac:dyDescent="0.25">
      <c r="A2322" t="s">
        <v>2452</v>
      </c>
      <c r="B2322" t="s">
        <v>333</v>
      </c>
      <c r="C2322" t="s">
        <v>792</v>
      </c>
      <c r="D2322" t="s">
        <v>23</v>
      </c>
      <c r="E2322">
        <v>267.69600000000003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502.36200000000002</v>
      </c>
      <c r="L2322">
        <v>0</v>
      </c>
      <c r="M2322">
        <v>0</v>
      </c>
      <c r="N2322">
        <v>512.82000000000005</v>
      </c>
      <c r="O2322">
        <v>568.33699999999999</v>
      </c>
      <c r="P2322">
        <v>295.14139999999998</v>
      </c>
      <c r="R2322">
        <v>295.14100000000002</v>
      </c>
    </row>
    <row r="2323" spans="1:18" hidden="1" x14ac:dyDescent="0.25">
      <c r="A2323" t="s">
        <v>2453</v>
      </c>
      <c r="B2323" t="s">
        <v>333</v>
      </c>
      <c r="C2323" t="s">
        <v>792</v>
      </c>
      <c r="D2323" t="s">
        <v>25</v>
      </c>
      <c r="E2323">
        <v>294.72300000000001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571.33439999999996</v>
      </c>
      <c r="L2323">
        <v>0</v>
      </c>
      <c r="M2323">
        <v>0</v>
      </c>
      <c r="N2323">
        <v>531.13499999999999</v>
      </c>
      <c r="O2323">
        <v>650.85900000000004</v>
      </c>
      <c r="P2323">
        <v>318.95490000000001</v>
      </c>
      <c r="R2323">
        <v>318.95600000000002</v>
      </c>
    </row>
    <row r="2324" spans="1:18" hidden="1" x14ac:dyDescent="0.25">
      <c r="A2324" t="s">
        <v>2454</v>
      </c>
      <c r="B2324" t="s">
        <v>333</v>
      </c>
      <c r="C2324" t="s">
        <v>792</v>
      </c>
      <c r="D2324" t="s">
        <v>27</v>
      </c>
      <c r="E2324">
        <v>427.28399999999999</v>
      </c>
      <c r="F2324">
        <v>0</v>
      </c>
      <c r="G2324">
        <v>0</v>
      </c>
      <c r="H2324">
        <v>0</v>
      </c>
      <c r="I2324">
        <v>683.76</v>
      </c>
      <c r="J2324">
        <v>0</v>
      </c>
      <c r="K2324">
        <v>0</v>
      </c>
      <c r="L2324">
        <v>0</v>
      </c>
      <c r="M2324">
        <v>0</v>
      </c>
      <c r="N2324">
        <v>677.65499999999997</v>
      </c>
      <c r="O2324">
        <v>712.08500000000004</v>
      </c>
      <c r="P2324">
        <v>455.59539999999998</v>
      </c>
      <c r="R2324">
        <v>455.59800000000001</v>
      </c>
    </row>
    <row r="2325" spans="1:18" hidden="1" x14ac:dyDescent="0.25">
      <c r="A2325" t="s">
        <v>2455</v>
      </c>
      <c r="B2325" t="s">
        <v>333</v>
      </c>
      <c r="C2325" t="s">
        <v>792</v>
      </c>
      <c r="D2325" t="s">
        <v>29</v>
      </c>
      <c r="E2325">
        <v>178.893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359.05279999999999</v>
      </c>
      <c r="L2325">
        <v>0</v>
      </c>
      <c r="M2325">
        <v>0</v>
      </c>
      <c r="N2325">
        <v>366.3</v>
      </c>
      <c r="O2325">
        <v>453.87099999999998</v>
      </c>
      <c r="P2325">
        <v>207.2611</v>
      </c>
      <c r="R2325">
        <v>207.262</v>
      </c>
    </row>
    <row r="2326" spans="1:18" hidden="1" x14ac:dyDescent="0.25">
      <c r="A2326" t="s">
        <v>2456</v>
      </c>
      <c r="B2326" t="s">
        <v>333</v>
      </c>
      <c r="C2326" t="s">
        <v>792</v>
      </c>
      <c r="D2326" t="s">
        <v>31</v>
      </c>
      <c r="E2326">
        <v>218.79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450.78859999999997</v>
      </c>
      <c r="L2326">
        <v>0</v>
      </c>
      <c r="M2326">
        <v>0</v>
      </c>
      <c r="N2326">
        <v>457.875</v>
      </c>
      <c r="O2326">
        <v>499.125</v>
      </c>
      <c r="P2326">
        <v>252.68100000000001</v>
      </c>
      <c r="R2326">
        <v>252.68100000000001</v>
      </c>
    </row>
    <row r="2327" spans="1:18" hidden="1" x14ac:dyDescent="0.25">
      <c r="A2327" t="s">
        <v>2457</v>
      </c>
      <c r="B2327" t="s">
        <v>333</v>
      </c>
      <c r="C2327" t="s">
        <v>792</v>
      </c>
      <c r="D2327" t="s">
        <v>33</v>
      </c>
      <c r="E2327">
        <v>236.80799999999999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465.36529999999999</v>
      </c>
      <c r="L2327">
        <v>0</v>
      </c>
      <c r="M2327">
        <v>0</v>
      </c>
      <c r="N2327">
        <v>476.19</v>
      </c>
      <c r="O2327">
        <v>523.08299999999997</v>
      </c>
      <c r="P2327">
        <v>271.02699999999999</v>
      </c>
      <c r="R2327">
        <v>271.029</v>
      </c>
    </row>
    <row r="2328" spans="1:18" hidden="1" x14ac:dyDescent="0.25">
      <c r="A2328" t="s">
        <v>2458</v>
      </c>
      <c r="B2328" t="s">
        <v>333</v>
      </c>
      <c r="C2328" t="s">
        <v>792</v>
      </c>
      <c r="D2328" t="s">
        <v>35</v>
      </c>
      <c r="E2328">
        <v>468.46800000000002</v>
      </c>
      <c r="F2328">
        <v>0</v>
      </c>
      <c r="G2328">
        <v>0</v>
      </c>
      <c r="H2328">
        <v>0</v>
      </c>
      <c r="I2328">
        <v>683.76</v>
      </c>
      <c r="J2328">
        <v>0</v>
      </c>
      <c r="K2328">
        <v>0</v>
      </c>
      <c r="L2328">
        <v>0</v>
      </c>
      <c r="M2328">
        <v>0</v>
      </c>
      <c r="N2328">
        <v>695.97</v>
      </c>
      <c r="O2328">
        <v>786.62099999999998</v>
      </c>
      <c r="P2328">
        <v>488.50029999999998</v>
      </c>
      <c r="R2328">
        <v>488.49900000000002</v>
      </c>
    </row>
    <row r="2329" spans="1:18" hidden="1" x14ac:dyDescent="0.25">
      <c r="A2329" t="s">
        <v>2459</v>
      </c>
      <c r="B2329" t="s">
        <v>333</v>
      </c>
      <c r="C2329" t="s">
        <v>801</v>
      </c>
      <c r="D2329" t="s">
        <v>21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</row>
    <row r="2330" spans="1:18" hidden="1" x14ac:dyDescent="0.25">
      <c r="A2330" t="s">
        <v>2460</v>
      </c>
      <c r="B2330" t="s">
        <v>333</v>
      </c>
      <c r="C2330" t="s">
        <v>801</v>
      </c>
      <c r="D2330" t="s">
        <v>23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253.20769999999999</v>
      </c>
      <c r="Q2330">
        <v>0</v>
      </c>
      <c r="R2330">
        <v>253.209</v>
      </c>
    </row>
    <row r="2331" spans="1:18" hidden="1" x14ac:dyDescent="0.25">
      <c r="A2331" t="s">
        <v>2461</v>
      </c>
      <c r="B2331" t="s">
        <v>333</v>
      </c>
      <c r="C2331" t="s">
        <v>801</v>
      </c>
      <c r="D2331" t="s">
        <v>25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300.25779999999997</v>
      </c>
      <c r="Q2331">
        <v>0</v>
      </c>
      <c r="R2331">
        <v>300.25599999999997</v>
      </c>
    </row>
    <row r="2332" spans="1:18" hidden="1" x14ac:dyDescent="0.25">
      <c r="A2332" t="s">
        <v>2462</v>
      </c>
      <c r="B2332" t="s">
        <v>333</v>
      </c>
      <c r="C2332" t="s">
        <v>801</v>
      </c>
      <c r="D2332" t="s">
        <v>27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383.72399999999999</v>
      </c>
      <c r="Q2332">
        <v>0</v>
      </c>
      <c r="R2332">
        <v>383.72399999999999</v>
      </c>
    </row>
    <row r="2333" spans="1:18" hidden="1" x14ac:dyDescent="0.25">
      <c r="A2333" t="s">
        <v>2463</v>
      </c>
      <c r="B2333" t="s">
        <v>333</v>
      </c>
      <c r="C2333" t="s">
        <v>801</v>
      </c>
      <c r="D2333" t="s">
        <v>29</v>
      </c>
      <c r="E2333">
        <v>0</v>
      </c>
      <c r="F2333">
        <v>170.94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178.38149999999999</v>
      </c>
      <c r="Q2333">
        <v>170.94</v>
      </c>
      <c r="R2333">
        <v>178.387</v>
      </c>
    </row>
    <row r="2334" spans="1:18" hidden="1" x14ac:dyDescent="0.25">
      <c r="A2334" t="s">
        <v>2464</v>
      </c>
      <c r="B2334" t="s">
        <v>333</v>
      </c>
      <c r="C2334" t="s">
        <v>801</v>
      </c>
      <c r="D2334" t="s">
        <v>31</v>
      </c>
      <c r="E2334">
        <v>0</v>
      </c>
      <c r="F2334">
        <v>210.012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213.63140000000001</v>
      </c>
      <c r="Q2334">
        <v>210.012</v>
      </c>
      <c r="R2334">
        <v>213.631</v>
      </c>
    </row>
    <row r="2335" spans="1:18" hidden="1" x14ac:dyDescent="0.25">
      <c r="A2335" t="s">
        <v>2465</v>
      </c>
      <c r="B2335" t="s">
        <v>333</v>
      </c>
      <c r="C2335" t="s">
        <v>801</v>
      </c>
      <c r="D2335" t="s">
        <v>33</v>
      </c>
      <c r="E2335">
        <v>0</v>
      </c>
      <c r="F2335">
        <v>225.88499999999999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226.8486</v>
      </c>
      <c r="Q2335">
        <v>225.88499999999999</v>
      </c>
      <c r="R2335">
        <v>226.85300000000001</v>
      </c>
    </row>
    <row r="2336" spans="1:18" hidden="1" x14ac:dyDescent="0.25">
      <c r="A2336" t="s">
        <v>2466</v>
      </c>
      <c r="B2336" t="s">
        <v>333</v>
      </c>
      <c r="C2336" t="s">
        <v>801</v>
      </c>
      <c r="D2336" t="s">
        <v>35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416.64150000000001</v>
      </c>
      <c r="Q2336">
        <v>0</v>
      </c>
      <c r="R2336">
        <v>416.64699999999999</v>
      </c>
    </row>
    <row r="2337" spans="1:18" hidden="1" x14ac:dyDescent="0.25">
      <c r="A2337" t="s">
        <v>2467</v>
      </c>
      <c r="B2337" t="s">
        <v>333</v>
      </c>
      <c r="C2337" t="s">
        <v>810</v>
      </c>
      <c r="D2337" t="s">
        <v>21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</row>
    <row r="2338" spans="1:18" hidden="1" x14ac:dyDescent="0.25">
      <c r="A2338" t="s">
        <v>2468</v>
      </c>
      <c r="B2338" t="s">
        <v>333</v>
      </c>
      <c r="C2338" t="s">
        <v>810</v>
      </c>
      <c r="D2338" t="s">
        <v>23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198.68379999999999</v>
      </c>
      <c r="Q2338">
        <v>0</v>
      </c>
      <c r="R2338">
        <v>198.68199999999999</v>
      </c>
    </row>
    <row r="2339" spans="1:18" hidden="1" x14ac:dyDescent="0.25">
      <c r="A2339" t="s">
        <v>2469</v>
      </c>
      <c r="B2339" t="s">
        <v>333</v>
      </c>
      <c r="C2339" t="s">
        <v>810</v>
      </c>
      <c r="D2339" t="s">
        <v>25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216.12690000000001</v>
      </c>
      <c r="Q2339">
        <v>0</v>
      </c>
      <c r="R2339">
        <v>216.12799999999999</v>
      </c>
    </row>
    <row r="2340" spans="1:18" hidden="1" x14ac:dyDescent="0.25">
      <c r="A2340" t="s">
        <v>2470</v>
      </c>
      <c r="B2340" t="s">
        <v>333</v>
      </c>
      <c r="C2340" t="s">
        <v>810</v>
      </c>
      <c r="D2340" t="s">
        <v>27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288.62060000000002</v>
      </c>
      <c r="Q2340">
        <v>0</v>
      </c>
      <c r="R2340">
        <v>288.61799999999999</v>
      </c>
    </row>
    <row r="2341" spans="1:18" hidden="1" x14ac:dyDescent="0.25">
      <c r="A2341" t="s">
        <v>2471</v>
      </c>
      <c r="B2341" t="s">
        <v>333</v>
      </c>
      <c r="C2341" t="s">
        <v>810</v>
      </c>
      <c r="D2341" t="s">
        <v>29</v>
      </c>
      <c r="E2341">
        <v>0</v>
      </c>
      <c r="F2341">
        <v>150.304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144.536</v>
      </c>
      <c r="Q2341">
        <v>150.304</v>
      </c>
      <c r="R2341">
        <v>144.54</v>
      </c>
    </row>
    <row r="2342" spans="1:18" hidden="1" x14ac:dyDescent="0.25">
      <c r="A2342" t="s">
        <v>2472</v>
      </c>
      <c r="B2342" t="s">
        <v>333</v>
      </c>
      <c r="C2342" t="s">
        <v>810</v>
      </c>
      <c r="D2342" t="s">
        <v>31</v>
      </c>
      <c r="E2342">
        <v>0</v>
      </c>
      <c r="F2342">
        <v>166.32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161.80369999999999</v>
      </c>
      <c r="Q2342">
        <v>166.32</v>
      </c>
      <c r="R2342">
        <v>161.79900000000001</v>
      </c>
    </row>
    <row r="2343" spans="1:18" hidden="1" x14ac:dyDescent="0.25">
      <c r="A2343" t="s">
        <v>2473</v>
      </c>
      <c r="B2343" t="s">
        <v>333</v>
      </c>
      <c r="C2343" t="s">
        <v>810</v>
      </c>
      <c r="D2343" t="s">
        <v>33</v>
      </c>
      <c r="E2343">
        <v>0</v>
      </c>
      <c r="F2343">
        <v>184.8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170.19290000000001</v>
      </c>
      <c r="Q2343">
        <v>184.8</v>
      </c>
      <c r="R2343">
        <v>170.19200000000001</v>
      </c>
    </row>
    <row r="2344" spans="1:18" hidden="1" x14ac:dyDescent="0.25">
      <c r="A2344" t="s">
        <v>2474</v>
      </c>
      <c r="B2344" t="s">
        <v>333</v>
      </c>
      <c r="C2344" t="s">
        <v>810</v>
      </c>
      <c r="D2344" t="s">
        <v>35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301.16059999999999</v>
      </c>
      <c r="Q2344">
        <v>0</v>
      </c>
      <c r="R2344">
        <v>301.15800000000002</v>
      </c>
    </row>
    <row r="2345" spans="1:18" hidden="1" x14ac:dyDescent="0.25">
      <c r="A2345" t="s">
        <v>2475</v>
      </c>
      <c r="B2345" t="s">
        <v>333</v>
      </c>
      <c r="C2345" t="s">
        <v>819</v>
      </c>
      <c r="D2345" t="s">
        <v>21</v>
      </c>
      <c r="E2345">
        <v>305.25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286.61849999999998</v>
      </c>
      <c r="L2345">
        <v>0</v>
      </c>
      <c r="M2345">
        <v>0</v>
      </c>
      <c r="N2345">
        <v>329.67</v>
      </c>
      <c r="O2345">
        <v>336.74299999999999</v>
      </c>
      <c r="P2345">
        <v>0</v>
      </c>
      <c r="R2345">
        <v>0</v>
      </c>
    </row>
    <row r="2346" spans="1:18" hidden="1" x14ac:dyDescent="0.25">
      <c r="A2346" t="s">
        <v>2476</v>
      </c>
      <c r="B2346" t="s">
        <v>333</v>
      </c>
      <c r="C2346" t="s">
        <v>819</v>
      </c>
      <c r="D2346" t="s">
        <v>23</v>
      </c>
      <c r="E2346">
        <v>426.12900000000002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496.45580000000001</v>
      </c>
      <c r="L2346">
        <v>0</v>
      </c>
      <c r="M2346">
        <v>0</v>
      </c>
      <c r="N2346">
        <v>506.71499999999997</v>
      </c>
      <c r="O2346">
        <v>459.19499999999999</v>
      </c>
      <c r="P2346">
        <v>374.892</v>
      </c>
      <c r="R2346">
        <v>382.65699999999998</v>
      </c>
    </row>
    <row r="2347" spans="1:18" hidden="1" x14ac:dyDescent="0.25">
      <c r="A2347" t="s">
        <v>2477</v>
      </c>
      <c r="B2347" t="s">
        <v>333</v>
      </c>
      <c r="C2347" t="s">
        <v>819</v>
      </c>
      <c r="D2347" t="s">
        <v>25</v>
      </c>
      <c r="E2347">
        <v>455.43299999999999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564.24689999999998</v>
      </c>
      <c r="L2347">
        <v>0</v>
      </c>
      <c r="M2347">
        <v>0</v>
      </c>
      <c r="N2347">
        <v>525.03</v>
      </c>
      <c r="O2347">
        <v>552.36500000000001</v>
      </c>
      <c r="P2347">
        <v>381.07889999999998</v>
      </c>
      <c r="R2347">
        <v>399.12400000000002</v>
      </c>
    </row>
    <row r="2348" spans="1:18" hidden="1" x14ac:dyDescent="0.25">
      <c r="A2348" t="s">
        <v>2478</v>
      </c>
      <c r="B2348" t="s">
        <v>333</v>
      </c>
      <c r="C2348" t="s">
        <v>819</v>
      </c>
      <c r="D2348" t="s">
        <v>27</v>
      </c>
      <c r="E2348">
        <v>604.39499999999998</v>
      </c>
      <c r="F2348">
        <v>0</v>
      </c>
      <c r="G2348">
        <v>612.30399999999997</v>
      </c>
      <c r="H2348">
        <v>738.1</v>
      </c>
      <c r="I2348">
        <v>665.44500000000005</v>
      </c>
      <c r="J2348">
        <v>0</v>
      </c>
      <c r="K2348">
        <v>0</v>
      </c>
      <c r="L2348">
        <v>0</v>
      </c>
      <c r="M2348">
        <v>478.46370000000002</v>
      </c>
      <c r="N2348">
        <v>622.71</v>
      </c>
      <c r="O2348">
        <v>658.84500000000003</v>
      </c>
      <c r="P2348">
        <v>516.87559999999996</v>
      </c>
      <c r="R2348">
        <v>573.21</v>
      </c>
    </row>
    <row r="2349" spans="1:18" hidden="1" x14ac:dyDescent="0.25">
      <c r="A2349" t="s">
        <v>2479</v>
      </c>
      <c r="B2349" t="s">
        <v>333</v>
      </c>
      <c r="C2349" t="s">
        <v>819</v>
      </c>
      <c r="D2349" t="s">
        <v>29</v>
      </c>
      <c r="E2349">
        <v>308.91300000000001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297.65140000000002</v>
      </c>
      <c r="L2349">
        <v>0</v>
      </c>
      <c r="M2349">
        <v>0</v>
      </c>
      <c r="N2349">
        <v>341.88</v>
      </c>
      <c r="O2349">
        <v>366.02499999999998</v>
      </c>
      <c r="P2349">
        <v>290.68239999999997</v>
      </c>
      <c r="R2349">
        <v>290.68599999999998</v>
      </c>
    </row>
    <row r="2350" spans="1:18" hidden="1" x14ac:dyDescent="0.25">
      <c r="A2350" t="s">
        <v>2480</v>
      </c>
      <c r="B2350" t="s">
        <v>333</v>
      </c>
      <c r="C2350" t="s">
        <v>819</v>
      </c>
      <c r="D2350" t="s">
        <v>31</v>
      </c>
      <c r="E2350">
        <v>362.637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403.53859999999997</v>
      </c>
      <c r="L2350">
        <v>0</v>
      </c>
      <c r="M2350">
        <v>0</v>
      </c>
      <c r="N2350">
        <v>415.14</v>
      </c>
      <c r="O2350">
        <v>400.63099999999997</v>
      </c>
      <c r="P2350">
        <v>343.75729999999999</v>
      </c>
      <c r="R2350">
        <v>343.76100000000002</v>
      </c>
    </row>
    <row r="2351" spans="1:18" hidden="1" x14ac:dyDescent="0.25">
      <c r="A2351" t="s">
        <v>2481</v>
      </c>
      <c r="B2351" t="s">
        <v>333</v>
      </c>
      <c r="C2351" t="s">
        <v>819</v>
      </c>
      <c r="D2351" t="s">
        <v>33</v>
      </c>
      <c r="E2351">
        <v>396.82499999999999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424.0215</v>
      </c>
      <c r="L2351">
        <v>0</v>
      </c>
      <c r="M2351">
        <v>0</v>
      </c>
      <c r="N2351">
        <v>439.56</v>
      </c>
      <c r="O2351">
        <v>429.91300000000001</v>
      </c>
      <c r="P2351">
        <v>347.70740000000001</v>
      </c>
      <c r="R2351">
        <v>354.73899999999998</v>
      </c>
    </row>
    <row r="2352" spans="1:18" hidden="1" x14ac:dyDescent="0.25">
      <c r="A2352" t="s">
        <v>2482</v>
      </c>
      <c r="B2352" t="s">
        <v>333</v>
      </c>
      <c r="C2352" t="s">
        <v>819</v>
      </c>
      <c r="D2352" t="s">
        <v>35</v>
      </c>
      <c r="E2352">
        <v>741.95</v>
      </c>
      <c r="F2352">
        <v>0</v>
      </c>
      <c r="G2352">
        <v>646.01430000000005</v>
      </c>
      <c r="H2352">
        <v>738.1</v>
      </c>
      <c r="I2352">
        <v>650.51800000000003</v>
      </c>
      <c r="J2352">
        <v>0</v>
      </c>
      <c r="K2352">
        <v>0</v>
      </c>
      <c r="L2352">
        <v>0</v>
      </c>
      <c r="M2352">
        <v>533.63969999999995</v>
      </c>
      <c r="N2352">
        <v>652.96</v>
      </c>
      <c r="O2352">
        <v>825.22</v>
      </c>
      <c r="P2352">
        <v>566.29570000000001</v>
      </c>
      <c r="R2352">
        <v>662.14499999999998</v>
      </c>
    </row>
    <row r="2353" spans="1:18" hidden="1" x14ac:dyDescent="0.25">
      <c r="A2353" t="s">
        <v>2483</v>
      </c>
      <c r="B2353" t="s">
        <v>333</v>
      </c>
      <c r="C2353" t="s">
        <v>828</v>
      </c>
      <c r="D2353" t="s">
        <v>21</v>
      </c>
      <c r="E2353">
        <v>256.41000000000003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221.6498</v>
      </c>
      <c r="L2353">
        <v>0</v>
      </c>
      <c r="M2353">
        <v>0</v>
      </c>
      <c r="N2353">
        <v>225.88499999999999</v>
      </c>
      <c r="O2353">
        <v>292.82</v>
      </c>
      <c r="P2353">
        <v>0</v>
      </c>
      <c r="R2353">
        <v>0</v>
      </c>
    </row>
    <row r="2354" spans="1:18" hidden="1" x14ac:dyDescent="0.25">
      <c r="A2354" t="s">
        <v>2484</v>
      </c>
      <c r="B2354" t="s">
        <v>333</v>
      </c>
      <c r="C2354" t="s">
        <v>828</v>
      </c>
      <c r="D2354" t="s">
        <v>23</v>
      </c>
      <c r="E2354">
        <v>351.12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360.61200000000002</v>
      </c>
      <c r="L2354">
        <v>0</v>
      </c>
      <c r="M2354">
        <v>0</v>
      </c>
      <c r="N2354">
        <v>366.3</v>
      </c>
      <c r="O2354">
        <v>412.61</v>
      </c>
      <c r="P2354">
        <v>300.73289999999997</v>
      </c>
      <c r="R2354">
        <v>300.72899999999998</v>
      </c>
    </row>
    <row r="2355" spans="1:18" hidden="1" x14ac:dyDescent="0.25">
      <c r="A2355" t="s">
        <v>2485</v>
      </c>
      <c r="B2355" t="s">
        <v>333</v>
      </c>
      <c r="C2355" t="s">
        <v>828</v>
      </c>
      <c r="D2355" t="s">
        <v>25</v>
      </c>
      <c r="E2355">
        <v>378.51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401.23439999999999</v>
      </c>
      <c r="L2355">
        <v>0</v>
      </c>
      <c r="M2355">
        <v>0</v>
      </c>
      <c r="N2355">
        <v>384.61500000000001</v>
      </c>
      <c r="O2355">
        <v>572.33000000000004</v>
      </c>
      <c r="P2355">
        <v>305.57850000000002</v>
      </c>
      <c r="R2355">
        <v>305.58</v>
      </c>
    </row>
    <row r="2356" spans="1:18" hidden="1" x14ac:dyDescent="0.25">
      <c r="A2356" t="s">
        <v>2486</v>
      </c>
      <c r="B2356" t="s">
        <v>333</v>
      </c>
      <c r="C2356" t="s">
        <v>828</v>
      </c>
      <c r="D2356" t="s">
        <v>27</v>
      </c>
      <c r="E2356">
        <v>537.24</v>
      </c>
      <c r="F2356">
        <v>0</v>
      </c>
      <c r="G2356">
        <v>0</v>
      </c>
      <c r="H2356">
        <v>0</v>
      </c>
      <c r="I2356">
        <v>482.29500000000002</v>
      </c>
      <c r="J2356">
        <v>0</v>
      </c>
      <c r="K2356">
        <v>0</v>
      </c>
      <c r="L2356">
        <v>0</v>
      </c>
      <c r="M2356">
        <v>349.55250000000001</v>
      </c>
      <c r="N2356">
        <v>463.98</v>
      </c>
      <c r="O2356">
        <v>585.64</v>
      </c>
      <c r="P2356">
        <v>371.2122</v>
      </c>
      <c r="R2356">
        <v>371.21699999999998</v>
      </c>
    </row>
    <row r="2357" spans="1:18" hidden="1" x14ac:dyDescent="0.25">
      <c r="A2357" t="s">
        <v>2487</v>
      </c>
      <c r="B2357" t="s">
        <v>333</v>
      </c>
      <c r="C2357" t="s">
        <v>828</v>
      </c>
      <c r="D2357" t="s">
        <v>29</v>
      </c>
      <c r="E2357">
        <v>268.62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232.68260000000001</v>
      </c>
      <c r="L2357">
        <v>0</v>
      </c>
      <c r="M2357">
        <v>0</v>
      </c>
      <c r="N2357">
        <v>238.095</v>
      </c>
      <c r="O2357">
        <v>319.44</v>
      </c>
      <c r="P2357">
        <v>232.61500000000001</v>
      </c>
      <c r="R2357">
        <v>232.61699999999999</v>
      </c>
    </row>
    <row r="2358" spans="1:18" hidden="1" x14ac:dyDescent="0.25">
      <c r="A2358" t="s">
        <v>2488</v>
      </c>
      <c r="B2358" t="s">
        <v>333</v>
      </c>
      <c r="C2358" t="s">
        <v>828</v>
      </c>
      <c r="D2358" t="s">
        <v>31</v>
      </c>
      <c r="E2358">
        <v>300.95999999999998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285.41359999999997</v>
      </c>
      <c r="L2358">
        <v>0</v>
      </c>
      <c r="M2358">
        <v>0</v>
      </c>
      <c r="N2358">
        <v>286.935</v>
      </c>
      <c r="O2358">
        <v>346.06</v>
      </c>
      <c r="P2358">
        <v>278.65129999999999</v>
      </c>
      <c r="R2358">
        <v>278.65199999999999</v>
      </c>
    </row>
    <row r="2359" spans="1:18" hidden="1" x14ac:dyDescent="0.25">
      <c r="A2359" t="s">
        <v>2489</v>
      </c>
      <c r="B2359" t="s">
        <v>333</v>
      </c>
      <c r="C2359" t="s">
        <v>828</v>
      </c>
      <c r="D2359" t="s">
        <v>33</v>
      </c>
      <c r="E2359">
        <v>317.45999999999998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298.76179999999999</v>
      </c>
      <c r="L2359">
        <v>0</v>
      </c>
      <c r="M2359">
        <v>0</v>
      </c>
      <c r="N2359">
        <v>299.14499999999998</v>
      </c>
      <c r="O2359">
        <v>372.68</v>
      </c>
      <c r="P2359">
        <v>288.68329999999997</v>
      </c>
      <c r="R2359">
        <v>288.68400000000003</v>
      </c>
    </row>
    <row r="2360" spans="1:18" hidden="1" x14ac:dyDescent="0.25">
      <c r="A2360" t="s">
        <v>2490</v>
      </c>
      <c r="B2360" t="s">
        <v>333</v>
      </c>
      <c r="C2360" t="s">
        <v>828</v>
      </c>
      <c r="D2360" t="s">
        <v>35</v>
      </c>
      <c r="E2360">
        <v>549.45000000000005</v>
      </c>
      <c r="F2360">
        <v>0</v>
      </c>
      <c r="G2360">
        <v>0</v>
      </c>
      <c r="H2360">
        <v>0</v>
      </c>
      <c r="I2360">
        <v>482.29500000000002</v>
      </c>
      <c r="J2360">
        <v>0</v>
      </c>
      <c r="K2360">
        <v>0</v>
      </c>
      <c r="L2360">
        <v>0</v>
      </c>
      <c r="M2360">
        <v>355.82249999999999</v>
      </c>
      <c r="N2360">
        <v>482.29500000000002</v>
      </c>
      <c r="O2360">
        <v>598.95000000000005</v>
      </c>
      <c r="P2360">
        <v>378.11970000000002</v>
      </c>
      <c r="R2360">
        <v>378.125</v>
      </c>
    </row>
    <row r="2361" spans="1:18" hidden="1" x14ac:dyDescent="0.25">
      <c r="A2361" t="s">
        <v>2491</v>
      </c>
      <c r="B2361" t="s">
        <v>333</v>
      </c>
      <c r="C2361" t="s">
        <v>837</v>
      </c>
      <c r="D2361" t="s">
        <v>21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R2361">
        <v>0</v>
      </c>
    </row>
    <row r="2362" spans="1:18" hidden="1" x14ac:dyDescent="0.25">
      <c r="A2362" t="s">
        <v>2492</v>
      </c>
      <c r="B2362" t="s">
        <v>333</v>
      </c>
      <c r="C2362" t="s">
        <v>837</v>
      </c>
      <c r="D2362" t="s">
        <v>23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234.6585</v>
      </c>
      <c r="R2362">
        <v>234.66300000000001</v>
      </c>
    </row>
    <row r="2363" spans="1:18" hidden="1" x14ac:dyDescent="0.25">
      <c r="A2363" t="s">
        <v>2493</v>
      </c>
      <c r="B2363" t="s">
        <v>333</v>
      </c>
      <c r="C2363" t="s">
        <v>837</v>
      </c>
      <c r="D2363" t="s">
        <v>25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243.12129999999999</v>
      </c>
      <c r="R2363">
        <v>243.12200000000001</v>
      </c>
    </row>
    <row r="2364" spans="1:18" hidden="1" x14ac:dyDescent="0.25">
      <c r="A2364" t="s">
        <v>2494</v>
      </c>
      <c r="B2364" t="s">
        <v>333</v>
      </c>
      <c r="C2364" t="s">
        <v>837</v>
      </c>
      <c r="D2364" t="s">
        <v>27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354.2801</v>
      </c>
      <c r="R2364">
        <v>354.27699999999999</v>
      </c>
    </row>
    <row r="2365" spans="1:18" hidden="1" x14ac:dyDescent="0.25">
      <c r="A2365" t="s">
        <v>2495</v>
      </c>
      <c r="B2365" t="s">
        <v>333</v>
      </c>
      <c r="C2365" t="s">
        <v>837</v>
      </c>
      <c r="D2365" t="s">
        <v>29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164.14859999999999</v>
      </c>
      <c r="R2365">
        <v>164.15299999999999</v>
      </c>
    </row>
    <row r="2366" spans="1:18" hidden="1" x14ac:dyDescent="0.25">
      <c r="A2366" t="s">
        <v>2496</v>
      </c>
      <c r="B2366" t="s">
        <v>333</v>
      </c>
      <c r="C2366" t="s">
        <v>837</v>
      </c>
      <c r="D2366" t="s">
        <v>31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204.92869999999999</v>
      </c>
      <c r="R2366">
        <v>204.93</v>
      </c>
    </row>
    <row r="2367" spans="1:18" hidden="1" x14ac:dyDescent="0.25">
      <c r="A2367" t="s">
        <v>2497</v>
      </c>
      <c r="B2367" t="s">
        <v>333</v>
      </c>
      <c r="C2367" t="s">
        <v>837</v>
      </c>
      <c r="D2367" t="s">
        <v>33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213.506</v>
      </c>
      <c r="R2367">
        <v>213.51</v>
      </c>
    </row>
    <row r="2368" spans="1:18" hidden="1" x14ac:dyDescent="0.25">
      <c r="A2368" t="s">
        <v>2498</v>
      </c>
      <c r="B2368" t="s">
        <v>333</v>
      </c>
      <c r="C2368" t="s">
        <v>837</v>
      </c>
      <c r="D2368" t="s">
        <v>35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381.21600000000001</v>
      </c>
      <c r="R2368">
        <v>381.21600000000001</v>
      </c>
    </row>
    <row r="2369" spans="1:18" x14ac:dyDescent="0.25">
      <c r="A2369" t="s">
        <v>2499</v>
      </c>
      <c r="B2369" t="s">
        <v>333</v>
      </c>
      <c r="C2369" t="s">
        <v>846</v>
      </c>
      <c r="D2369" t="s">
        <v>21</v>
      </c>
      <c r="E2369">
        <v>239.316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190.44489999999999</v>
      </c>
      <c r="L2369">
        <v>0</v>
      </c>
      <c r="M2369">
        <v>0</v>
      </c>
      <c r="N2369">
        <v>195.36</v>
      </c>
      <c r="O2369">
        <v>231.59399999999999</v>
      </c>
      <c r="P2369">
        <v>0</v>
      </c>
      <c r="Q2369">
        <v>0</v>
      </c>
      <c r="R2369">
        <v>0</v>
      </c>
    </row>
    <row r="2370" spans="1:18" x14ac:dyDescent="0.25">
      <c r="A2370" t="s">
        <v>2500</v>
      </c>
      <c r="B2370" t="s">
        <v>333</v>
      </c>
      <c r="C2370" t="s">
        <v>846</v>
      </c>
      <c r="D2370" t="s">
        <v>23</v>
      </c>
      <c r="E2370">
        <v>344.322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298.92270000000002</v>
      </c>
      <c r="L2370">
        <v>0</v>
      </c>
      <c r="M2370">
        <v>0</v>
      </c>
      <c r="N2370">
        <v>280.83</v>
      </c>
      <c r="O2370">
        <v>284.834</v>
      </c>
      <c r="P2370">
        <v>255.90690000000001</v>
      </c>
      <c r="Q2370">
        <v>0</v>
      </c>
      <c r="R2370">
        <v>255.904</v>
      </c>
    </row>
    <row r="2371" spans="1:18" x14ac:dyDescent="0.25">
      <c r="A2371" t="s">
        <v>2501</v>
      </c>
      <c r="B2371" t="s">
        <v>333</v>
      </c>
      <c r="C2371" t="s">
        <v>846</v>
      </c>
      <c r="D2371" t="s">
        <v>25</v>
      </c>
      <c r="E2371">
        <v>293.26</v>
      </c>
      <c r="F2371">
        <v>0</v>
      </c>
      <c r="G2371">
        <v>258.5</v>
      </c>
      <c r="H2371">
        <v>0</v>
      </c>
      <c r="I2371">
        <v>0</v>
      </c>
      <c r="J2371">
        <v>0</v>
      </c>
      <c r="K2371">
        <v>327.2072</v>
      </c>
      <c r="L2371">
        <v>0</v>
      </c>
      <c r="M2371">
        <v>0</v>
      </c>
      <c r="N2371">
        <v>295.68</v>
      </c>
      <c r="O2371">
        <v>302.137</v>
      </c>
      <c r="P2371">
        <v>256.84399999999999</v>
      </c>
      <c r="Q2371">
        <v>0</v>
      </c>
      <c r="R2371">
        <v>256.839</v>
      </c>
    </row>
    <row r="2372" spans="1:18" x14ac:dyDescent="0.25">
      <c r="A2372" t="s">
        <v>2502</v>
      </c>
      <c r="B2372" t="s">
        <v>333</v>
      </c>
      <c r="C2372" t="s">
        <v>846</v>
      </c>
      <c r="D2372" t="s">
        <v>27</v>
      </c>
      <c r="E2372">
        <v>375.1</v>
      </c>
      <c r="F2372">
        <v>0</v>
      </c>
      <c r="G2372">
        <v>370.7</v>
      </c>
      <c r="H2372">
        <v>0</v>
      </c>
      <c r="I2372">
        <v>351.45</v>
      </c>
      <c r="J2372">
        <v>0</v>
      </c>
      <c r="K2372">
        <v>0</v>
      </c>
      <c r="L2372">
        <v>0</v>
      </c>
      <c r="M2372">
        <v>0</v>
      </c>
      <c r="N2372">
        <v>344.96</v>
      </c>
      <c r="O2372">
        <v>316.77800000000002</v>
      </c>
      <c r="P2372">
        <v>319.08139999999997</v>
      </c>
      <c r="Q2372">
        <v>0</v>
      </c>
      <c r="R2372">
        <v>319.077</v>
      </c>
    </row>
    <row r="2373" spans="1:18" x14ac:dyDescent="0.25">
      <c r="A2373" t="s">
        <v>2503</v>
      </c>
      <c r="B2373" t="s">
        <v>333</v>
      </c>
      <c r="C2373" t="s">
        <v>846</v>
      </c>
      <c r="D2373" t="s">
        <v>29</v>
      </c>
      <c r="E2373">
        <v>247.863</v>
      </c>
      <c r="F2373">
        <v>206.976</v>
      </c>
      <c r="G2373">
        <v>0</v>
      </c>
      <c r="H2373">
        <v>0</v>
      </c>
      <c r="I2373">
        <v>0</v>
      </c>
      <c r="J2373">
        <v>0</v>
      </c>
      <c r="K2373">
        <v>197.84540000000001</v>
      </c>
      <c r="L2373">
        <v>0</v>
      </c>
      <c r="M2373">
        <v>0</v>
      </c>
      <c r="N2373">
        <v>201.465</v>
      </c>
      <c r="O2373">
        <v>243.57300000000001</v>
      </c>
      <c r="P2373">
        <v>193.53870000000001</v>
      </c>
      <c r="Q2373">
        <v>206.976</v>
      </c>
      <c r="R2373">
        <v>193.53399999999999</v>
      </c>
    </row>
    <row r="2374" spans="1:18" x14ac:dyDescent="0.25">
      <c r="A2374" t="s">
        <v>2504</v>
      </c>
      <c r="B2374" t="s">
        <v>333</v>
      </c>
      <c r="C2374" t="s">
        <v>846</v>
      </c>
      <c r="D2374" t="s">
        <v>31</v>
      </c>
      <c r="E2374">
        <v>247.5</v>
      </c>
      <c r="F2374">
        <v>221.76</v>
      </c>
      <c r="G2374">
        <v>203.5</v>
      </c>
      <c r="H2374">
        <v>0</v>
      </c>
      <c r="I2374">
        <v>221.375</v>
      </c>
      <c r="J2374">
        <v>0</v>
      </c>
      <c r="K2374">
        <v>222.47399999999999</v>
      </c>
      <c r="L2374">
        <v>0</v>
      </c>
      <c r="M2374">
        <v>0</v>
      </c>
      <c r="N2374">
        <v>227.92</v>
      </c>
      <c r="O2374">
        <v>258.214</v>
      </c>
      <c r="P2374">
        <v>197.578</v>
      </c>
      <c r="Q2374">
        <v>221.76</v>
      </c>
      <c r="R2374">
        <v>197.58199999999999</v>
      </c>
    </row>
    <row r="2375" spans="1:18" x14ac:dyDescent="0.25">
      <c r="A2375" t="s">
        <v>2505</v>
      </c>
      <c r="B2375" t="s">
        <v>333</v>
      </c>
      <c r="C2375" t="s">
        <v>846</v>
      </c>
      <c r="D2375" t="s">
        <v>33</v>
      </c>
      <c r="E2375">
        <v>261.29399999999998</v>
      </c>
      <c r="F2375">
        <v>246.4</v>
      </c>
      <c r="G2375">
        <v>0</v>
      </c>
      <c r="H2375">
        <v>0</v>
      </c>
      <c r="I2375">
        <v>0</v>
      </c>
      <c r="J2375">
        <v>0</v>
      </c>
      <c r="K2375">
        <v>227.1662</v>
      </c>
      <c r="L2375">
        <v>0</v>
      </c>
      <c r="M2375">
        <v>0</v>
      </c>
      <c r="N2375">
        <v>231.99</v>
      </c>
      <c r="O2375">
        <v>271.524</v>
      </c>
      <c r="P2375">
        <v>222.39320000000001</v>
      </c>
      <c r="Q2375">
        <v>246.4</v>
      </c>
      <c r="R2375">
        <v>229.00899999999999</v>
      </c>
    </row>
    <row r="2376" spans="1:18" x14ac:dyDescent="0.25">
      <c r="A2376" t="s">
        <v>2506</v>
      </c>
      <c r="B2376" t="s">
        <v>333</v>
      </c>
      <c r="C2376" t="s">
        <v>846</v>
      </c>
      <c r="D2376" t="s">
        <v>35</v>
      </c>
      <c r="E2376">
        <v>395.45</v>
      </c>
      <c r="F2376">
        <v>0</v>
      </c>
      <c r="G2376">
        <v>391.28570000000002</v>
      </c>
      <c r="H2376">
        <v>0</v>
      </c>
      <c r="I2376">
        <v>356.81799999999998</v>
      </c>
      <c r="J2376">
        <v>0</v>
      </c>
      <c r="K2376">
        <v>0</v>
      </c>
      <c r="L2376">
        <v>0</v>
      </c>
      <c r="M2376">
        <v>0</v>
      </c>
      <c r="N2376">
        <v>369.6</v>
      </c>
      <c r="O2376">
        <v>332.75</v>
      </c>
      <c r="P2376">
        <v>334.21800000000002</v>
      </c>
      <c r="Q2376">
        <v>0</v>
      </c>
      <c r="R2376">
        <v>334.21300000000002</v>
      </c>
    </row>
    <row r="2377" spans="1:18" hidden="1" x14ac:dyDescent="0.25">
      <c r="A2377" t="s">
        <v>2507</v>
      </c>
      <c r="B2377" t="s">
        <v>333</v>
      </c>
      <c r="C2377" t="s">
        <v>855</v>
      </c>
      <c r="D2377" t="s">
        <v>21</v>
      </c>
      <c r="E2377">
        <v>280.83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202.3717</v>
      </c>
      <c r="L2377">
        <v>0</v>
      </c>
      <c r="M2377">
        <v>0</v>
      </c>
      <c r="N2377">
        <v>207.57</v>
      </c>
      <c r="O2377">
        <v>319.44</v>
      </c>
      <c r="P2377">
        <v>0</v>
      </c>
      <c r="R2377">
        <v>0</v>
      </c>
    </row>
    <row r="2378" spans="1:18" hidden="1" x14ac:dyDescent="0.25">
      <c r="A2378" t="s">
        <v>2508</v>
      </c>
      <c r="B2378" t="s">
        <v>333</v>
      </c>
      <c r="C2378" t="s">
        <v>855</v>
      </c>
      <c r="D2378" t="s">
        <v>23</v>
      </c>
      <c r="E2378">
        <v>389.49900000000002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301.54950000000002</v>
      </c>
      <c r="L2378">
        <v>0</v>
      </c>
      <c r="M2378">
        <v>0</v>
      </c>
      <c r="N2378">
        <v>305.25</v>
      </c>
      <c r="O2378">
        <v>484.48399999999998</v>
      </c>
      <c r="P2378">
        <v>301.16059999999999</v>
      </c>
      <c r="R2378">
        <v>350.75700000000001</v>
      </c>
    </row>
    <row r="2379" spans="1:18" hidden="1" x14ac:dyDescent="0.25">
      <c r="A2379" t="s">
        <v>2509</v>
      </c>
      <c r="B2379" t="s">
        <v>333</v>
      </c>
      <c r="C2379" t="s">
        <v>855</v>
      </c>
      <c r="D2379" t="s">
        <v>25</v>
      </c>
      <c r="E2379">
        <v>444.44400000000002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330.35939999999999</v>
      </c>
      <c r="L2379">
        <v>0</v>
      </c>
      <c r="M2379">
        <v>0</v>
      </c>
      <c r="N2379">
        <v>323.565</v>
      </c>
      <c r="O2379">
        <v>574.99199999999996</v>
      </c>
      <c r="P2379">
        <v>318.45330000000001</v>
      </c>
      <c r="R2379">
        <v>383.87799999999999</v>
      </c>
    </row>
    <row r="2380" spans="1:18" hidden="1" x14ac:dyDescent="0.25">
      <c r="A2380" t="s">
        <v>2510</v>
      </c>
      <c r="B2380" t="s">
        <v>333</v>
      </c>
      <c r="C2380" t="s">
        <v>855</v>
      </c>
      <c r="D2380" t="s">
        <v>27</v>
      </c>
      <c r="E2380">
        <v>579.97500000000002</v>
      </c>
      <c r="F2380">
        <v>0</v>
      </c>
      <c r="G2380">
        <v>0</v>
      </c>
      <c r="H2380">
        <v>738.1</v>
      </c>
      <c r="I2380">
        <v>494.505</v>
      </c>
      <c r="J2380">
        <v>0</v>
      </c>
      <c r="K2380">
        <v>0</v>
      </c>
      <c r="L2380">
        <v>0</v>
      </c>
      <c r="M2380">
        <v>427.6454</v>
      </c>
      <c r="N2380">
        <v>488.4</v>
      </c>
      <c r="O2380">
        <v>632.22500000000002</v>
      </c>
      <c r="P2380">
        <v>438.95479999999998</v>
      </c>
      <c r="R2380">
        <v>556.072</v>
      </c>
    </row>
    <row r="2381" spans="1:18" hidden="1" x14ac:dyDescent="0.25">
      <c r="A2381" t="s">
        <v>2511</v>
      </c>
      <c r="B2381" t="s">
        <v>333</v>
      </c>
      <c r="C2381" t="s">
        <v>855</v>
      </c>
      <c r="D2381" t="s">
        <v>29</v>
      </c>
      <c r="E2381">
        <v>293.04000000000002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217.30279999999999</v>
      </c>
      <c r="L2381">
        <v>0</v>
      </c>
      <c r="M2381">
        <v>0</v>
      </c>
      <c r="N2381">
        <v>219.78</v>
      </c>
      <c r="O2381">
        <v>344.72899999999998</v>
      </c>
      <c r="P2381">
        <v>216.46549999999999</v>
      </c>
      <c r="R2381">
        <v>216.46899999999999</v>
      </c>
    </row>
    <row r="2382" spans="1:18" hidden="1" x14ac:dyDescent="0.25">
      <c r="A2382" t="s">
        <v>2512</v>
      </c>
      <c r="B2382" t="s">
        <v>333</v>
      </c>
      <c r="C2382" t="s">
        <v>855</v>
      </c>
      <c r="D2382" t="s">
        <v>31</v>
      </c>
      <c r="E2382">
        <v>316.23899999999998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255.88239999999999</v>
      </c>
      <c r="L2382">
        <v>0</v>
      </c>
      <c r="M2382">
        <v>0</v>
      </c>
      <c r="N2382">
        <v>256.41000000000003</v>
      </c>
      <c r="O2382">
        <v>393.976</v>
      </c>
      <c r="P2382">
        <v>252.0744</v>
      </c>
      <c r="R2382">
        <v>252.07599999999999</v>
      </c>
    </row>
    <row r="2383" spans="1:18" hidden="1" x14ac:dyDescent="0.25">
      <c r="A2383" t="s">
        <v>2513</v>
      </c>
      <c r="B2383" t="s">
        <v>333</v>
      </c>
      <c r="C2383" t="s">
        <v>855</v>
      </c>
      <c r="D2383" t="s">
        <v>33</v>
      </c>
      <c r="E2383">
        <v>361.416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270.459</v>
      </c>
      <c r="L2383">
        <v>0</v>
      </c>
      <c r="M2383">
        <v>0</v>
      </c>
      <c r="N2383">
        <v>274.72500000000002</v>
      </c>
      <c r="O2383">
        <v>424.589</v>
      </c>
      <c r="P2383">
        <v>264.39339999999999</v>
      </c>
      <c r="R2383">
        <v>317.75700000000001</v>
      </c>
    </row>
    <row r="2384" spans="1:18" hidden="1" x14ac:dyDescent="0.25">
      <c r="A2384" t="s">
        <v>2514</v>
      </c>
      <c r="B2384" t="s">
        <v>333</v>
      </c>
      <c r="C2384" t="s">
        <v>855</v>
      </c>
      <c r="D2384" t="s">
        <v>35</v>
      </c>
      <c r="E2384">
        <v>732.6</v>
      </c>
      <c r="F2384">
        <v>0</v>
      </c>
      <c r="G2384">
        <v>0</v>
      </c>
      <c r="H2384">
        <v>738.1</v>
      </c>
      <c r="I2384">
        <v>494.505</v>
      </c>
      <c r="J2384">
        <v>0</v>
      </c>
      <c r="K2384">
        <v>0</v>
      </c>
      <c r="L2384">
        <v>0</v>
      </c>
      <c r="M2384">
        <v>461.5034</v>
      </c>
      <c r="N2384">
        <v>500.61</v>
      </c>
      <c r="O2384">
        <v>798.6</v>
      </c>
      <c r="P2384">
        <v>468.94830000000002</v>
      </c>
      <c r="R2384">
        <v>661.25400000000002</v>
      </c>
    </row>
    <row r="2385" spans="1:18" hidden="1" x14ac:dyDescent="0.25">
      <c r="A2385" t="s">
        <v>2515</v>
      </c>
      <c r="B2385" t="s">
        <v>333</v>
      </c>
      <c r="C2385" t="s">
        <v>864</v>
      </c>
      <c r="D2385" t="s">
        <v>21</v>
      </c>
      <c r="E2385">
        <v>293.04000000000002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284.12169999999998</v>
      </c>
      <c r="L2385">
        <v>0</v>
      </c>
      <c r="M2385">
        <v>0</v>
      </c>
      <c r="N2385">
        <v>293.04000000000002</v>
      </c>
      <c r="O2385">
        <v>256.88299999999998</v>
      </c>
      <c r="P2385">
        <v>0</v>
      </c>
      <c r="R2385">
        <v>0</v>
      </c>
    </row>
    <row r="2386" spans="1:18" hidden="1" x14ac:dyDescent="0.25">
      <c r="A2386" t="s">
        <v>2516</v>
      </c>
      <c r="B2386" t="s">
        <v>333</v>
      </c>
      <c r="C2386" t="s">
        <v>864</v>
      </c>
      <c r="D2386" t="s">
        <v>23</v>
      </c>
      <c r="E2386">
        <v>433.45499999999998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421.87349999999998</v>
      </c>
      <c r="L2386">
        <v>0</v>
      </c>
      <c r="M2386">
        <v>0</v>
      </c>
      <c r="N2386">
        <v>433.45499999999998</v>
      </c>
      <c r="O2386">
        <v>412.61</v>
      </c>
      <c r="P2386">
        <v>323.33839999999998</v>
      </c>
      <c r="R2386">
        <v>332.35399999999998</v>
      </c>
    </row>
    <row r="2387" spans="1:18" hidden="1" x14ac:dyDescent="0.25">
      <c r="A2387" t="s">
        <v>2517</v>
      </c>
      <c r="B2387" t="s">
        <v>333</v>
      </c>
      <c r="C2387" t="s">
        <v>864</v>
      </c>
      <c r="D2387" t="s">
        <v>25</v>
      </c>
      <c r="E2387">
        <v>451.77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474.7482</v>
      </c>
      <c r="L2387">
        <v>0</v>
      </c>
      <c r="M2387">
        <v>0</v>
      </c>
      <c r="N2387">
        <v>451.77</v>
      </c>
      <c r="O2387">
        <v>469.84300000000002</v>
      </c>
      <c r="P2387">
        <v>328.34120000000001</v>
      </c>
      <c r="R2387">
        <v>360.8</v>
      </c>
    </row>
    <row r="2388" spans="1:18" hidden="1" x14ac:dyDescent="0.25">
      <c r="A2388" t="s">
        <v>2518</v>
      </c>
      <c r="B2388" t="s">
        <v>333</v>
      </c>
      <c r="C2388" t="s">
        <v>864</v>
      </c>
      <c r="D2388" t="s">
        <v>27</v>
      </c>
      <c r="E2388">
        <v>531.13499999999999</v>
      </c>
      <c r="F2388">
        <v>0</v>
      </c>
      <c r="G2388">
        <v>535.91999999999996</v>
      </c>
      <c r="H2388">
        <v>0</v>
      </c>
      <c r="I2388">
        <v>543.34500000000003</v>
      </c>
      <c r="J2388">
        <v>0</v>
      </c>
      <c r="K2388">
        <v>0</v>
      </c>
      <c r="L2388">
        <v>0</v>
      </c>
      <c r="M2388">
        <v>403.19240000000002</v>
      </c>
      <c r="N2388">
        <v>531.13499999999999</v>
      </c>
      <c r="O2388">
        <v>492.47</v>
      </c>
      <c r="P2388">
        <v>423.54930000000002</v>
      </c>
      <c r="R2388">
        <v>428.47199999999998</v>
      </c>
    </row>
    <row r="2389" spans="1:18" hidden="1" x14ac:dyDescent="0.25">
      <c r="A2389" t="s">
        <v>2519</v>
      </c>
      <c r="B2389" t="s">
        <v>333</v>
      </c>
      <c r="C2389" t="s">
        <v>864</v>
      </c>
      <c r="D2389" t="s">
        <v>29</v>
      </c>
      <c r="E2389">
        <v>305.25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295.05849999999998</v>
      </c>
      <c r="L2389">
        <v>0</v>
      </c>
      <c r="M2389">
        <v>0</v>
      </c>
      <c r="N2389">
        <v>305.25</v>
      </c>
      <c r="O2389">
        <v>299.47500000000002</v>
      </c>
      <c r="P2389">
        <v>253.7713</v>
      </c>
      <c r="R2389">
        <v>253.77</v>
      </c>
    </row>
    <row r="2390" spans="1:18" hidden="1" x14ac:dyDescent="0.25">
      <c r="A2390" t="s">
        <v>2520</v>
      </c>
      <c r="B2390" t="s">
        <v>333</v>
      </c>
      <c r="C2390" t="s">
        <v>864</v>
      </c>
      <c r="D2390" t="s">
        <v>31</v>
      </c>
      <c r="E2390">
        <v>353.65</v>
      </c>
      <c r="F2390">
        <v>0</v>
      </c>
      <c r="G2390">
        <v>308.55</v>
      </c>
      <c r="H2390">
        <v>0</v>
      </c>
      <c r="I2390">
        <v>349.52499999999998</v>
      </c>
      <c r="J2390">
        <v>0</v>
      </c>
      <c r="K2390">
        <v>343.45429999999999</v>
      </c>
      <c r="L2390">
        <v>0</v>
      </c>
      <c r="M2390">
        <v>0</v>
      </c>
      <c r="N2390">
        <v>354.09</v>
      </c>
      <c r="O2390">
        <v>332.75</v>
      </c>
      <c r="P2390">
        <v>308.89170000000001</v>
      </c>
      <c r="R2390">
        <v>308.89100000000002</v>
      </c>
    </row>
    <row r="2391" spans="1:18" hidden="1" x14ac:dyDescent="0.25">
      <c r="A2391" t="s">
        <v>2521</v>
      </c>
      <c r="B2391" t="s">
        <v>333</v>
      </c>
      <c r="C2391" t="s">
        <v>864</v>
      </c>
      <c r="D2391" t="s">
        <v>33</v>
      </c>
      <c r="E2391">
        <v>364.65</v>
      </c>
      <c r="F2391">
        <v>0</v>
      </c>
      <c r="G2391">
        <v>321.75</v>
      </c>
      <c r="H2391">
        <v>0</v>
      </c>
      <c r="I2391">
        <v>349.52499999999998</v>
      </c>
      <c r="J2391">
        <v>0</v>
      </c>
      <c r="K2391">
        <v>360.56200000000001</v>
      </c>
      <c r="L2391">
        <v>0</v>
      </c>
      <c r="M2391">
        <v>0</v>
      </c>
      <c r="N2391">
        <v>366.3</v>
      </c>
      <c r="O2391">
        <v>372.68</v>
      </c>
      <c r="P2391">
        <v>312.05169999999998</v>
      </c>
      <c r="R2391">
        <v>312.048</v>
      </c>
    </row>
    <row r="2392" spans="1:18" hidden="1" x14ac:dyDescent="0.25">
      <c r="A2392" t="s">
        <v>2522</v>
      </c>
      <c r="B2392" t="s">
        <v>333</v>
      </c>
      <c r="C2392" t="s">
        <v>864</v>
      </c>
      <c r="D2392" t="s">
        <v>35</v>
      </c>
      <c r="E2392">
        <v>549.45000000000005</v>
      </c>
      <c r="F2392">
        <v>0</v>
      </c>
      <c r="G2392">
        <v>564.25599999999997</v>
      </c>
      <c r="H2392">
        <v>0</v>
      </c>
      <c r="I2392">
        <v>543.34500000000003</v>
      </c>
      <c r="J2392">
        <v>0</v>
      </c>
      <c r="K2392">
        <v>0</v>
      </c>
      <c r="L2392">
        <v>0</v>
      </c>
      <c r="M2392">
        <v>431.4074</v>
      </c>
      <c r="N2392">
        <v>518.92499999999995</v>
      </c>
      <c r="O2392">
        <v>515.09699999999998</v>
      </c>
      <c r="P2392">
        <v>450.37380000000002</v>
      </c>
      <c r="R2392">
        <v>454.71800000000002</v>
      </c>
    </row>
    <row r="2393" spans="1:18" hidden="1" x14ac:dyDescent="0.25">
      <c r="A2393" t="s">
        <v>2523</v>
      </c>
      <c r="B2393" t="s">
        <v>333</v>
      </c>
      <c r="C2393" t="s">
        <v>873</v>
      </c>
      <c r="D2393" t="s">
        <v>21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R2393">
        <v>0</v>
      </c>
    </row>
    <row r="2394" spans="1:18" hidden="1" x14ac:dyDescent="0.25">
      <c r="A2394" t="s">
        <v>2524</v>
      </c>
      <c r="B2394" t="s">
        <v>333</v>
      </c>
      <c r="C2394" t="s">
        <v>873</v>
      </c>
      <c r="D2394" t="s">
        <v>23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739.33330000000001</v>
      </c>
      <c r="R2394">
        <v>739.33199999999999</v>
      </c>
    </row>
    <row r="2395" spans="1:18" hidden="1" x14ac:dyDescent="0.25">
      <c r="A2395" t="s">
        <v>2525</v>
      </c>
      <c r="B2395" t="s">
        <v>333</v>
      </c>
      <c r="C2395" t="s">
        <v>873</v>
      </c>
      <c r="D2395" t="s">
        <v>25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750.70709999999997</v>
      </c>
      <c r="R2395">
        <v>750.70600000000002</v>
      </c>
    </row>
    <row r="2396" spans="1:18" hidden="1" x14ac:dyDescent="0.25">
      <c r="A2396" t="s">
        <v>2526</v>
      </c>
      <c r="B2396" t="s">
        <v>333</v>
      </c>
      <c r="C2396" t="s">
        <v>873</v>
      </c>
      <c r="D2396" t="s">
        <v>27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924.01059999999995</v>
      </c>
      <c r="R2396">
        <v>924.01099999999997</v>
      </c>
    </row>
    <row r="2397" spans="1:18" hidden="1" x14ac:dyDescent="0.25">
      <c r="A2397" t="s">
        <v>2527</v>
      </c>
      <c r="B2397" t="s">
        <v>333</v>
      </c>
      <c r="C2397" t="s">
        <v>873</v>
      </c>
      <c r="D2397" t="s">
        <v>29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595.02300000000002</v>
      </c>
      <c r="R2397">
        <v>595.02300000000002</v>
      </c>
    </row>
    <row r="2398" spans="1:18" hidden="1" x14ac:dyDescent="0.25">
      <c r="A2398" t="s">
        <v>2528</v>
      </c>
      <c r="B2398" t="s">
        <v>333</v>
      </c>
      <c r="C2398" t="s">
        <v>873</v>
      </c>
      <c r="D2398" t="s">
        <v>31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613.78279999999995</v>
      </c>
      <c r="R2398">
        <v>613.77800000000002</v>
      </c>
    </row>
    <row r="2399" spans="1:18" hidden="1" x14ac:dyDescent="0.25">
      <c r="A2399" t="s">
        <v>2529</v>
      </c>
      <c r="B2399" t="s">
        <v>333</v>
      </c>
      <c r="C2399" t="s">
        <v>873</v>
      </c>
      <c r="D2399" t="s">
        <v>33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637.55870000000004</v>
      </c>
      <c r="R2399">
        <v>637.55999999999995</v>
      </c>
    </row>
    <row r="2400" spans="1:18" hidden="1" x14ac:dyDescent="0.25">
      <c r="A2400" t="s">
        <v>2530</v>
      </c>
      <c r="B2400" t="s">
        <v>333</v>
      </c>
      <c r="C2400" t="s">
        <v>873</v>
      </c>
      <c r="D2400" t="s">
        <v>35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938.40650000000005</v>
      </c>
      <c r="R2400">
        <v>938.41</v>
      </c>
    </row>
    <row r="2401" spans="1:18" hidden="1" x14ac:dyDescent="0.25">
      <c r="A2401" t="s">
        <v>2531</v>
      </c>
      <c r="B2401" t="s">
        <v>333</v>
      </c>
      <c r="C2401" t="s">
        <v>882</v>
      </c>
      <c r="D2401" t="s">
        <v>21</v>
      </c>
      <c r="E2401">
        <v>336.99599999999998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268.89980000000003</v>
      </c>
      <c r="L2401">
        <v>0</v>
      </c>
      <c r="M2401">
        <v>0</v>
      </c>
      <c r="N2401">
        <v>274.72500000000002</v>
      </c>
      <c r="O2401">
        <v>383.32799999999997</v>
      </c>
      <c r="P2401">
        <v>0</v>
      </c>
      <c r="R2401">
        <v>0</v>
      </c>
    </row>
    <row r="2402" spans="1:18" hidden="1" x14ac:dyDescent="0.25">
      <c r="A2402" t="s">
        <v>2532</v>
      </c>
      <c r="B2402" t="s">
        <v>333</v>
      </c>
      <c r="C2402" t="s">
        <v>882</v>
      </c>
      <c r="D2402" t="s">
        <v>23</v>
      </c>
      <c r="E2402">
        <v>452.99099999999999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437.39330000000001</v>
      </c>
      <c r="L2402">
        <v>0</v>
      </c>
      <c r="M2402">
        <v>0</v>
      </c>
      <c r="N2402">
        <v>445.66500000000002</v>
      </c>
      <c r="O2402">
        <v>545.71</v>
      </c>
      <c r="P2402">
        <v>426.2473</v>
      </c>
      <c r="R2402">
        <v>426.25</v>
      </c>
    </row>
    <row r="2403" spans="1:18" hidden="1" x14ac:dyDescent="0.25">
      <c r="A2403" t="s">
        <v>2533</v>
      </c>
      <c r="B2403" t="s">
        <v>333</v>
      </c>
      <c r="C2403" t="s">
        <v>882</v>
      </c>
      <c r="D2403" t="s">
        <v>25</v>
      </c>
      <c r="E2403">
        <v>500.61</v>
      </c>
      <c r="F2403">
        <v>0</v>
      </c>
      <c r="G2403">
        <v>451.33</v>
      </c>
      <c r="H2403">
        <v>0</v>
      </c>
      <c r="I2403">
        <v>0</v>
      </c>
      <c r="J2403">
        <v>0</v>
      </c>
      <c r="K2403">
        <v>493.37189999999998</v>
      </c>
      <c r="L2403">
        <v>0</v>
      </c>
      <c r="M2403">
        <v>0</v>
      </c>
      <c r="N2403">
        <v>463.98</v>
      </c>
      <c r="O2403">
        <v>613.59100000000001</v>
      </c>
      <c r="P2403">
        <v>434.63350000000003</v>
      </c>
      <c r="R2403">
        <v>434.63200000000001</v>
      </c>
    </row>
    <row r="2404" spans="1:18" hidden="1" x14ac:dyDescent="0.25">
      <c r="A2404" t="s">
        <v>2534</v>
      </c>
      <c r="B2404" t="s">
        <v>333</v>
      </c>
      <c r="C2404" t="s">
        <v>882</v>
      </c>
      <c r="D2404" t="s">
        <v>27</v>
      </c>
      <c r="E2404">
        <v>589.74300000000005</v>
      </c>
      <c r="F2404">
        <v>0</v>
      </c>
      <c r="G2404">
        <v>608.63</v>
      </c>
      <c r="H2404">
        <v>0</v>
      </c>
      <c r="I2404">
        <v>616.60500000000002</v>
      </c>
      <c r="J2404">
        <v>0</v>
      </c>
      <c r="K2404">
        <v>0</v>
      </c>
      <c r="L2404">
        <v>0</v>
      </c>
      <c r="M2404">
        <v>0</v>
      </c>
      <c r="N2404">
        <v>610.5</v>
      </c>
      <c r="O2404">
        <v>642.87300000000005</v>
      </c>
      <c r="P2404">
        <v>597.45579999999995</v>
      </c>
      <c r="R2404">
        <v>597.45399999999995</v>
      </c>
    </row>
    <row r="2405" spans="1:18" hidden="1" x14ac:dyDescent="0.25">
      <c r="A2405" t="s">
        <v>2535</v>
      </c>
      <c r="B2405" t="s">
        <v>333</v>
      </c>
      <c r="C2405" t="s">
        <v>882</v>
      </c>
      <c r="D2405" t="s">
        <v>29</v>
      </c>
      <c r="E2405">
        <v>351.64800000000002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279.93259999999998</v>
      </c>
      <c r="L2405">
        <v>0</v>
      </c>
      <c r="M2405">
        <v>0</v>
      </c>
      <c r="N2405">
        <v>286.935</v>
      </c>
      <c r="O2405">
        <v>431.24400000000003</v>
      </c>
      <c r="P2405">
        <v>282.28550000000001</v>
      </c>
      <c r="R2405">
        <v>282.28199999999998</v>
      </c>
    </row>
    <row r="2406" spans="1:18" hidden="1" x14ac:dyDescent="0.25">
      <c r="A2406" t="s">
        <v>2536</v>
      </c>
      <c r="B2406" t="s">
        <v>333</v>
      </c>
      <c r="C2406" t="s">
        <v>882</v>
      </c>
      <c r="D2406" t="s">
        <v>31</v>
      </c>
      <c r="E2406">
        <v>395.60399999999998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379.91359999999997</v>
      </c>
      <c r="L2406">
        <v>0</v>
      </c>
      <c r="M2406">
        <v>0</v>
      </c>
      <c r="N2406">
        <v>384.61500000000001</v>
      </c>
      <c r="O2406">
        <v>479.16</v>
      </c>
      <c r="P2406">
        <v>375.47269999999997</v>
      </c>
      <c r="R2406">
        <v>375.47399999999999</v>
      </c>
    </row>
    <row r="2407" spans="1:18" hidden="1" x14ac:dyDescent="0.25">
      <c r="A2407" t="s">
        <v>2537</v>
      </c>
      <c r="B2407" t="s">
        <v>333</v>
      </c>
      <c r="C2407" t="s">
        <v>882</v>
      </c>
      <c r="D2407" t="s">
        <v>33</v>
      </c>
      <c r="E2407">
        <v>439.56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405.07429999999999</v>
      </c>
      <c r="L2407">
        <v>0</v>
      </c>
      <c r="M2407">
        <v>0</v>
      </c>
      <c r="N2407">
        <v>409.03500000000003</v>
      </c>
      <c r="O2407">
        <v>493.80099999999999</v>
      </c>
      <c r="P2407">
        <v>395.27330000000001</v>
      </c>
      <c r="R2407">
        <v>395.274</v>
      </c>
    </row>
    <row r="2408" spans="1:18" hidden="1" x14ac:dyDescent="0.25">
      <c r="A2408" t="s">
        <v>2538</v>
      </c>
      <c r="B2408" t="s">
        <v>333</v>
      </c>
      <c r="C2408" t="s">
        <v>882</v>
      </c>
      <c r="D2408" t="s">
        <v>35</v>
      </c>
      <c r="E2408">
        <v>653.23500000000001</v>
      </c>
      <c r="F2408">
        <v>0</v>
      </c>
      <c r="G2408">
        <v>646.14</v>
      </c>
      <c r="H2408">
        <v>0</v>
      </c>
      <c r="I2408">
        <v>616.60500000000002</v>
      </c>
      <c r="J2408">
        <v>0</v>
      </c>
      <c r="K2408">
        <v>0</v>
      </c>
      <c r="L2408">
        <v>0</v>
      </c>
      <c r="M2408">
        <v>0</v>
      </c>
      <c r="N2408">
        <v>616.60500000000002</v>
      </c>
      <c r="O2408">
        <v>712.08500000000004</v>
      </c>
      <c r="P2408">
        <v>607.56299999999999</v>
      </c>
      <c r="R2408">
        <v>607.56299999999999</v>
      </c>
    </row>
    <row r="2409" spans="1:18" hidden="1" x14ac:dyDescent="0.25">
      <c r="A2409" t="s">
        <v>2539</v>
      </c>
      <c r="B2409" t="s">
        <v>333</v>
      </c>
      <c r="C2409" t="s">
        <v>891</v>
      </c>
      <c r="D2409" t="s">
        <v>21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R2409">
        <v>0</v>
      </c>
    </row>
    <row r="2410" spans="1:18" hidden="1" x14ac:dyDescent="0.25">
      <c r="A2410" t="s">
        <v>2540</v>
      </c>
      <c r="B2410" t="s">
        <v>333</v>
      </c>
      <c r="C2410" t="s">
        <v>891</v>
      </c>
      <c r="D2410" t="s">
        <v>23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255.49940000000001</v>
      </c>
      <c r="R2410">
        <v>255.49700000000001</v>
      </c>
    </row>
    <row r="2411" spans="1:18" hidden="1" x14ac:dyDescent="0.25">
      <c r="A2411" t="s">
        <v>2541</v>
      </c>
      <c r="B2411" t="s">
        <v>333</v>
      </c>
      <c r="C2411" t="s">
        <v>891</v>
      </c>
      <c r="D2411" t="s">
        <v>25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258.4837</v>
      </c>
      <c r="R2411">
        <v>258.48899999999998</v>
      </c>
    </row>
    <row r="2412" spans="1:18" hidden="1" x14ac:dyDescent="0.25">
      <c r="A2412" t="s">
        <v>2542</v>
      </c>
      <c r="B2412" t="s">
        <v>333</v>
      </c>
      <c r="C2412" t="s">
        <v>891</v>
      </c>
      <c r="D2412" t="s">
        <v>27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399.34219999999999</v>
      </c>
      <c r="R2412">
        <v>399.34399999999999</v>
      </c>
    </row>
    <row r="2413" spans="1:18" hidden="1" x14ac:dyDescent="0.25">
      <c r="A2413" t="s">
        <v>2543</v>
      </c>
      <c r="B2413" t="s">
        <v>333</v>
      </c>
      <c r="C2413" t="s">
        <v>891</v>
      </c>
      <c r="D2413" t="s">
        <v>29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170.3426</v>
      </c>
      <c r="R2413">
        <v>170.346</v>
      </c>
    </row>
    <row r="2414" spans="1:18" hidden="1" x14ac:dyDescent="0.25">
      <c r="A2414" t="s">
        <v>2544</v>
      </c>
      <c r="B2414" t="s">
        <v>333</v>
      </c>
      <c r="C2414" t="s">
        <v>891</v>
      </c>
      <c r="D2414" t="s">
        <v>31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233.3991</v>
      </c>
      <c r="R2414">
        <v>233.398</v>
      </c>
    </row>
    <row r="2415" spans="1:18" hidden="1" x14ac:dyDescent="0.25">
      <c r="A2415" t="s">
        <v>2545</v>
      </c>
      <c r="B2415" t="s">
        <v>333</v>
      </c>
      <c r="C2415" t="s">
        <v>891</v>
      </c>
      <c r="D2415" t="s">
        <v>33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239.92429999999999</v>
      </c>
      <c r="R2415">
        <v>239.92099999999999</v>
      </c>
    </row>
    <row r="2416" spans="1:18" hidden="1" x14ac:dyDescent="0.25">
      <c r="A2416" t="s">
        <v>2546</v>
      </c>
      <c r="B2416" t="s">
        <v>333</v>
      </c>
      <c r="C2416" t="s">
        <v>891</v>
      </c>
      <c r="D2416" t="s">
        <v>35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404.52980000000002</v>
      </c>
      <c r="R2416">
        <v>404.52499999999998</v>
      </c>
    </row>
    <row r="2417" spans="1:18" hidden="1" x14ac:dyDescent="0.25">
      <c r="A2417" t="s">
        <v>2547</v>
      </c>
      <c r="B2417" t="s">
        <v>333</v>
      </c>
      <c r="C2417" t="s">
        <v>900</v>
      </c>
      <c r="D2417" t="s">
        <v>21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R2417">
        <v>0</v>
      </c>
    </row>
    <row r="2418" spans="1:18" hidden="1" x14ac:dyDescent="0.25">
      <c r="A2418" t="s">
        <v>2548</v>
      </c>
      <c r="B2418" t="s">
        <v>333</v>
      </c>
      <c r="C2418" t="s">
        <v>900</v>
      </c>
      <c r="D2418" t="s">
        <v>23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266.18970000000002</v>
      </c>
      <c r="R2418">
        <v>266.18900000000002</v>
      </c>
    </row>
    <row r="2419" spans="1:18" hidden="1" x14ac:dyDescent="0.25">
      <c r="A2419" t="s">
        <v>2549</v>
      </c>
      <c r="B2419" t="s">
        <v>333</v>
      </c>
      <c r="C2419" t="s">
        <v>900</v>
      </c>
      <c r="D2419" t="s">
        <v>25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271.24020000000002</v>
      </c>
      <c r="R2419">
        <v>271.238</v>
      </c>
    </row>
    <row r="2420" spans="1:18" hidden="1" x14ac:dyDescent="0.25">
      <c r="A2420" t="s">
        <v>2550</v>
      </c>
      <c r="B2420" t="s">
        <v>333</v>
      </c>
      <c r="C2420" t="s">
        <v>900</v>
      </c>
      <c r="D2420" t="s">
        <v>27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323.92450000000002</v>
      </c>
      <c r="R2420">
        <v>323.928</v>
      </c>
    </row>
    <row r="2421" spans="1:18" hidden="1" x14ac:dyDescent="0.25">
      <c r="A2421" t="s">
        <v>2551</v>
      </c>
      <c r="B2421" t="s">
        <v>333</v>
      </c>
      <c r="C2421" t="s">
        <v>900</v>
      </c>
      <c r="D2421" t="s">
        <v>29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197.02350000000001</v>
      </c>
      <c r="R2421">
        <v>197.02099999999999</v>
      </c>
    </row>
    <row r="2422" spans="1:18" hidden="1" x14ac:dyDescent="0.25">
      <c r="A2422" t="s">
        <v>2552</v>
      </c>
      <c r="B2422" t="s">
        <v>333</v>
      </c>
      <c r="C2422" t="s">
        <v>900</v>
      </c>
      <c r="D2422" t="s">
        <v>31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203.54570000000001</v>
      </c>
      <c r="R2422">
        <v>203.54400000000001</v>
      </c>
    </row>
    <row r="2423" spans="1:18" hidden="1" x14ac:dyDescent="0.25">
      <c r="A2423" t="s">
        <v>2553</v>
      </c>
      <c r="B2423" t="s">
        <v>333</v>
      </c>
      <c r="C2423" t="s">
        <v>900</v>
      </c>
      <c r="D2423" t="s">
        <v>33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227.9366</v>
      </c>
      <c r="R2423">
        <v>227.94200000000001</v>
      </c>
    </row>
    <row r="2424" spans="1:18" hidden="1" x14ac:dyDescent="0.25">
      <c r="A2424" t="s">
        <v>2554</v>
      </c>
      <c r="B2424" t="s">
        <v>333</v>
      </c>
      <c r="C2424" t="s">
        <v>900</v>
      </c>
      <c r="D2424" t="s">
        <v>35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336.90249999999997</v>
      </c>
      <c r="R2424">
        <v>336.90800000000002</v>
      </c>
    </row>
    <row r="2425" spans="1:18" hidden="1" x14ac:dyDescent="0.25">
      <c r="A2425" t="s">
        <v>2555</v>
      </c>
      <c r="B2425" t="s">
        <v>333</v>
      </c>
      <c r="C2425" t="s">
        <v>909</v>
      </c>
      <c r="D2425" t="s">
        <v>21</v>
      </c>
      <c r="E2425">
        <v>158.72999999999999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120.18729999999999</v>
      </c>
      <c r="L2425">
        <v>0</v>
      </c>
      <c r="M2425">
        <v>0</v>
      </c>
      <c r="N2425">
        <v>122.1</v>
      </c>
      <c r="O2425">
        <v>179.685</v>
      </c>
      <c r="P2425">
        <v>0</v>
      </c>
      <c r="Q2425">
        <v>0</v>
      </c>
      <c r="R2425">
        <v>0</v>
      </c>
    </row>
    <row r="2426" spans="1:18" hidden="1" x14ac:dyDescent="0.25">
      <c r="A2426" t="s">
        <v>2556</v>
      </c>
      <c r="B2426" t="s">
        <v>333</v>
      </c>
      <c r="C2426" t="s">
        <v>909</v>
      </c>
      <c r="D2426" t="s">
        <v>23</v>
      </c>
      <c r="E2426">
        <v>236.874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217.2833</v>
      </c>
      <c r="L2426">
        <v>0</v>
      </c>
      <c r="M2426">
        <v>0</v>
      </c>
      <c r="N2426">
        <v>213.67500000000001</v>
      </c>
      <c r="O2426">
        <v>290.15800000000002</v>
      </c>
      <c r="P2426">
        <v>202.21289999999999</v>
      </c>
      <c r="Q2426">
        <v>0</v>
      </c>
      <c r="R2426">
        <v>218.339</v>
      </c>
    </row>
    <row r="2427" spans="1:18" hidden="1" x14ac:dyDescent="0.25">
      <c r="A2427" t="s">
        <v>2557</v>
      </c>
      <c r="B2427" t="s">
        <v>333</v>
      </c>
      <c r="C2427" t="s">
        <v>909</v>
      </c>
      <c r="D2427" t="s">
        <v>25</v>
      </c>
      <c r="E2427">
        <v>266.178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229.24</v>
      </c>
      <c r="L2427">
        <v>0</v>
      </c>
      <c r="M2427">
        <v>0</v>
      </c>
      <c r="N2427">
        <v>231.99</v>
      </c>
      <c r="O2427">
        <v>316.77800000000002</v>
      </c>
      <c r="P2427">
        <v>209.9486</v>
      </c>
      <c r="Q2427">
        <v>0</v>
      </c>
      <c r="R2427">
        <v>242.946</v>
      </c>
    </row>
    <row r="2428" spans="1:18" hidden="1" x14ac:dyDescent="0.25">
      <c r="A2428" t="s">
        <v>2558</v>
      </c>
      <c r="B2428" t="s">
        <v>333</v>
      </c>
      <c r="C2428" t="s">
        <v>909</v>
      </c>
      <c r="D2428" t="s">
        <v>27</v>
      </c>
      <c r="E2428">
        <v>329.67</v>
      </c>
      <c r="F2428">
        <v>0</v>
      </c>
      <c r="G2428">
        <v>0</v>
      </c>
      <c r="H2428">
        <v>314.60000000000002</v>
      </c>
      <c r="I2428">
        <v>317.45999999999998</v>
      </c>
      <c r="J2428">
        <v>0</v>
      </c>
      <c r="K2428">
        <v>0</v>
      </c>
      <c r="L2428">
        <v>0</v>
      </c>
      <c r="M2428">
        <v>0</v>
      </c>
      <c r="N2428">
        <v>305.25</v>
      </c>
      <c r="O2428">
        <v>332.75</v>
      </c>
      <c r="P2428">
        <v>292.29129999999998</v>
      </c>
      <c r="Q2428">
        <v>0</v>
      </c>
      <c r="R2428">
        <v>296.10899999999998</v>
      </c>
    </row>
    <row r="2429" spans="1:18" hidden="1" x14ac:dyDescent="0.25">
      <c r="A2429" t="s">
        <v>2559</v>
      </c>
      <c r="B2429" t="s">
        <v>333</v>
      </c>
      <c r="C2429" t="s">
        <v>909</v>
      </c>
      <c r="D2429" t="s">
        <v>29</v>
      </c>
      <c r="E2429">
        <v>156.1266</v>
      </c>
      <c r="F2429">
        <v>133.1</v>
      </c>
      <c r="G2429">
        <v>174.82669999999999</v>
      </c>
      <c r="H2429">
        <v>0</v>
      </c>
      <c r="I2429">
        <v>0</v>
      </c>
      <c r="J2429">
        <v>0</v>
      </c>
      <c r="K2429">
        <v>133.434</v>
      </c>
      <c r="L2429">
        <v>0</v>
      </c>
      <c r="M2429">
        <v>0</v>
      </c>
      <c r="N2429">
        <v>134.31</v>
      </c>
      <c r="O2429">
        <v>199.65</v>
      </c>
      <c r="P2429">
        <v>128.85040000000001</v>
      </c>
      <c r="Q2429">
        <v>133.1</v>
      </c>
      <c r="R2429">
        <v>128.85400000000001</v>
      </c>
    </row>
    <row r="2430" spans="1:18" hidden="1" x14ac:dyDescent="0.25">
      <c r="A2430" t="s">
        <v>2560</v>
      </c>
      <c r="B2430" t="s">
        <v>333</v>
      </c>
      <c r="C2430" t="s">
        <v>909</v>
      </c>
      <c r="D2430" t="s">
        <v>31</v>
      </c>
      <c r="E2430">
        <v>183.15</v>
      </c>
      <c r="F2430">
        <v>169.4</v>
      </c>
      <c r="G2430">
        <v>0</v>
      </c>
      <c r="H2430">
        <v>0</v>
      </c>
      <c r="I2430">
        <v>0</v>
      </c>
      <c r="J2430">
        <v>0</v>
      </c>
      <c r="K2430">
        <v>171.68620000000001</v>
      </c>
      <c r="L2430">
        <v>0</v>
      </c>
      <c r="M2430">
        <v>0</v>
      </c>
      <c r="N2430">
        <v>170.94</v>
      </c>
      <c r="O2430">
        <v>227.601</v>
      </c>
      <c r="P2430">
        <v>146.5341</v>
      </c>
      <c r="Q2430">
        <v>169.4</v>
      </c>
      <c r="R2430">
        <v>146.53100000000001</v>
      </c>
    </row>
    <row r="2431" spans="1:18" hidden="1" x14ac:dyDescent="0.25">
      <c r="A2431" t="s">
        <v>2561</v>
      </c>
      <c r="B2431" t="s">
        <v>333</v>
      </c>
      <c r="C2431" t="s">
        <v>909</v>
      </c>
      <c r="D2431" t="s">
        <v>33</v>
      </c>
      <c r="E2431">
        <v>208.791</v>
      </c>
      <c r="F2431">
        <v>179.08</v>
      </c>
      <c r="G2431">
        <v>0</v>
      </c>
      <c r="H2431">
        <v>0</v>
      </c>
      <c r="I2431">
        <v>0</v>
      </c>
      <c r="J2431">
        <v>0</v>
      </c>
      <c r="K2431">
        <v>184.91800000000001</v>
      </c>
      <c r="L2431">
        <v>0</v>
      </c>
      <c r="M2431">
        <v>0</v>
      </c>
      <c r="N2431">
        <v>183.15</v>
      </c>
      <c r="O2431">
        <v>258.214</v>
      </c>
      <c r="P2431">
        <v>148.64080000000001</v>
      </c>
      <c r="Q2431">
        <v>179.08</v>
      </c>
      <c r="R2431">
        <v>189.26599999999999</v>
      </c>
    </row>
    <row r="2432" spans="1:18" hidden="1" x14ac:dyDescent="0.25">
      <c r="A2432" t="s">
        <v>2562</v>
      </c>
      <c r="B2432" t="s">
        <v>333</v>
      </c>
      <c r="C2432" t="s">
        <v>909</v>
      </c>
      <c r="D2432" t="s">
        <v>35</v>
      </c>
      <c r="E2432">
        <v>341.88</v>
      </c>
      <c r="F2432">
        <v>0</v>
      </c>
      <c r="G2432">
        <v>0</v>
      </c>
      <c r="H2432">
        <v>314.60000000000002</v>
      </c>
      <c r="I2432">
        <v>305.25</v>
      </c>
      <c r="J2432">
        <v>0</v>
      </c>
      <c r="K2432">
        <v>0</v>
      </c>
      <c r="L2432">
        <v>0</v>
      </c>
      <c r="M2432">
        <v>0</v>
      </c>
      <c r="N2432">
        <v>317.45999999999998</v>
      </c>
      <c r="O2432">
        <v>348.72199999999998</v>
      </c>
      <c r="P2432">
        <v>301.82170000000002</v>
      </c>
      <c r="Q2432">
        <v>0</v>
      </c>
      <c r="R2432">
        <v>309.11099999999999</v>
      </c>
    </row>
    <row r="2433" spans="4:18" hidden="1" x14ac:dyDescent="0.25">
      <c r="D2433" t="s">
        <v>21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R2433">
        <v>0</v>
      </c>
    </row>
    <row r="2434" spans="4:18" hidden="1" x14ac:dyDescent="0.25">
      <c r="D2434" t="s">
        <v>23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R2434">
        <v>0</v>
      </c>
    </row>
    <row r="2435" spans="4:18" hidden="1" x14ac:dyDescent="0.25">
      <c r="D2435" t="s">
        <v>25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R2435">
        <v>0</v>
      </c>
    </row>
    <row r="2436" spans="4:18" hidden="1" x14ac:dyDescent="0.25">
      <c r="D2436" t="s">
        <v>27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R2436">
        <v>0</v>
      </c>
    </row>
    <row r="2437" spans="4:18" hidden="1" x14ac:dyDescent="0.25">
      <c r="D2437" t="s">
        <v>29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R2437">
        <v>0</v>
      </c>
    </row>
    <row r="2438" spans="4:18" hidden="1" x14ac:dyDescent="0.25">
      <c r="D2438" t="s">
        <v>31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R2438">
        <v>0</v>
      </c>
    </row>
    <row r="2439" spans="4:18" hidden="1" x14ac:dyDescent="0.25">
      <c r="D2439" t="s">
        <v>33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R2439">
        <v>0</v>
      </c>
    </row>
    <row r="2440" spans="4:18" hidden="1" x14ac:dyDescent="0.25">
      <c r="D2440" t="s">
        <v>35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R2440">
        <v>0</v>
      </c>
    </row>
    <row r="2443" spans="4:18" x14ac:dyDescent="0.25">
      <c r="K2443" s="26"/>
    </row>
    <row r="2444" spans="4:18" x14ac:dyDescent="0.25">
      <c r="K2444" s="26"/>
    </row>
    <row r="2445" spans="4:18" x14ac:dyDescent="0.25">
      <c r="F2445" t="s">
        <v>7</v>
      </c>
      <c r="L2445" t="s">
        <v>14</v>
      </c>
    </row>
    <row r="2446" spans="4:18" x14ac:dyDescent="0.25">
      <c r="H2446" s="181"/>
    </row>
    <row r="2447" spans="4:18" x14ac:dyDescent="0.25">
      <c r="D2447" s="181"/>
      <c r="E2447" s="181"/>
      <c r="H2447" s="107"/>
    </row>
    <row r="2448" spans="4:18" x14ac:dyDescent="0.25">
      <c r="D2448" s="181"/>
      <c r="E2448" s="181"/>
    </row>
    <row r="2449" spans="4:5" x14ac:dyDescent="0.25">
      <c r="D2449" s="181"/>
      <c r="E2449" s="181"/>
    </row>
    <row r="2450" spans="4:5" x14ac:dyDescent="0.25">
      <c r="E2450" s="26"/>
    </row>
    <row r="2455" spans="4:5" x14ac:dyDescent="0.25">
      <c r="D2455" s="1"/>
      <c r="E2455" s="1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36B4E-EBFC-4289-A290-6EDB9A0EA177}">
  <sheetPr>
    <tabColor theme="5"/>
  </sheetPr>
  <dimension ref="A1:J25"/>
  <sheetViews>
    <sheetView zoomScale="70" zoomScaleNormal="70" workbookViewId="0">
      <selection activeCell="H19" sqref="H19"/>
    </sheetView>
  </sheetViews>
  <sheetFormatPr baseColWidth="10" defaultColWidth="11.42578125" defaultRowHeight="15" x14ac:dyDescent="0.25"/>
  <cols>
    <col min="1" max="1" width="23.85546875" customWidth="1"/>
    <col min="2" max="2" width="18.140625" customWidth="1"/>
    <col min="3" max="3" width="14.140625" style="21" customWidth="1"/>
    <col min="4" max="4" width="14.140625" customWidth="1"/>
    <col min="5" max="5" width="5.7109375" customWidth="1"/>
    <col min="6" max="6" width="29.5703125" customWidth="1"/>
    <col min="7" max="7" width="15.42578125" bestFit="1" customWidth="1"/>
    <col min="8" max="8" width="10" bestFit="1" customWidth="1"/>
    <col min="9" max="9" width="13.85546875" bestFit="1" customWidth="1"/>
    <col min="10" max="10" width="12" customWidth="1"/>
  </cols>
  <sheetData>
    <row r="1" spans="1:10" x14ac:dyDescent="0.25">
      <c r="A1" s="165" t="s">
        <v>2563</v>
      </c>
      <c r="B1" s="166" t="s">
        <v>2564</v>
      </c>
      <c r="C1" s="167" t="s">
        <v>2565</v>
      </c>
      <c r="D1" s="166" t="s">
        <v>2566</v>
      </c>
      <c r="E1" s="3"/>
      <c r="F1" s="169" t="s">
        <v>2567</v>
      </c>
      <c r="G1" s="169" t="s">
        <v>2564</v>
      </c>
      <c r="H1" s="170" t="s">
        <v>2565</v>
      </c>
      <c r="I1" s="166" t="s">
        <v>2566</v>
      </c>
    </row>
    <row r="2" spans="1:10" x14ac:dyDescent="0.25">
      <c r="A2" s="20" t="s">
        <v>17</v>
      </c>
      <c r="C2" s="21">
        <v>0.1</v>
      </c>
      <c r="F2" s="20" t="s">
        <v>2568</v>
      </c>
      <c r="G2" s="58">
        <v>235.20000000000002</v>
      </c>
      <c r="H2" s="161">
        <v>0.1</v>
      </c>
      <c r="I2" s="164">
        <f t="shared" ref="I2:I9" si="0">G2*(1+H2)</f>
        <v>258.72000000000003</v>
      </c>
    </row>
    <row r="3" spans="1:10" x14ac:dyDescent="0.25">
      <c r="A3" s="20" t="s">
        <v>12</v>
      </c>
      <c r="B3" s="58">
        <v>114.00000000000001</v>
      </c>
      <c r="C3" s="160">
        <v>0.1</v>
      </c>
      <c r="D3" s="164">
        <f t="shared" ref="D3:D11" si="1">(C3*B3)+B3</f>
        <v>125.40000000000002</v>
      </c>
      <c r="F3" s="20" t="s">
        <v>6</v>
      </c>
      <c r="G3" s="58">
        <v>239.40400000000002</v>
      </c>
      <c r="H3" s="161">
        <v>0.1</v>
      </c>
      <c r="I3" s="164">
        <f>G3*(1+H3)</f>
        <v>263.34440000000006</v>
      </c>
    </row>
    <row r="4" spans="1:10" x14ac:dyDescent="0.25">
      <c r="A4" s="20" t="s">
        <v>6</v>
      </c>
      <c r="B4" s="58">
        <v>115.44</v>
      </c>
      <c r="C4" s="160">
        <v>0.1</v>
      </c>
      <c r="D4" s="164">
        <f t="shared" si="1"/>
        <v>126.98399999999999</v>
      </c>
      <c r="F4" s="20" t="s">
        <v>14</v>
      </c>
      <c r="G4" s="162">
        <v>240.24000000000004</v>
      </c>
      <c r="H4" s="161">
        <v>0.1</v>
      </c>
      <c r="I4" s="164">
        <f t="shared" si="0"/>
        <v>264.26400000000007</v>
      </c>
    </row>
    <row r="5" spans="1:10" x14ac:dyDescent="0.25">
      <c r="A5" s="20" t="s">
        <v>8</v>
      </c>
      <c r="B5" s="58">
        <v>121.212</v>
      </c>
      <c r="C5" s="160">
        <v>0.1</v>
      </c>
      <c r="D5" s="164">
        <f t="shared" si="1"/>
        <v>133.33320000000001</v>
      </c>
      <c r="F5" s="20" t="s">
        <v>7</v>
      </c>
      <c r="G5" s="162">
        <v>242.00000000000003</v>
      </c>
      <c r="H5" s="161">
        <v>0.1</v>
      </c>
      <c r="I5" s="164">
        <f t="shared" si="0"/>
        <v>266.20000000000005</v>
      </c>
    </row>
    <row r="6" spans="1:10" x14ac:dyDescent="0.25">
      <c r="A6" s="20" t="s">
        <v>14</v>
      </c>
      <c r="B6" s="58">
        <v>121.77000000000001</v>
      </c>
      <c r="C6" s="160">
        <v>0.1</v>
      </c>
      <c r="D6" s="164">
        <f t="shared" si="1"/>
        <v>133.947</v>
      </c>
      <c r="F6" s="20" t="s">
        <v>4</v>
      </c>
      <c r="G6" s="162">
        <v>244.75500000000002</v>
      </c>
      <c r="H6" s="161">
        <v>0.1</v>
      </c>
      <c r="I6" s="164">
        <f t="shared" si="0"/>
        <v>269.23050000000006</v>
      </c>
    </row>
    <row r="7" spans="1:10" x14ac:dyDescent="0.25">
      <c r="A7" s="20" t="s">
        <v>2569</v>
      </c>
      <c r="B7" s="58">
        <v>124.19999999999999</v>
      </c>
      <c r="C7" s="160">
        <v>0.1</v>
      </c>
      <c r="D7" s="164">
        <f t="shared" si="1"/>
        <v>136.61999999999998</v>
      </c>
      <c r="F7" s="20" t="s">
        <v>8</v>
      </c>
      <c r="G7" s="58">
        <v>245.70000000000002</v>
      </c>
      <c r="H7" s="161">
        <v>0.1</v>
      </c>
      <c r="I7" s="164">
        <f t="shared" si="0"/>
        <v>270.27000000000004</v>
      </c>
    </row>
    <row r="8" spans="1:10" x14ac:dyDescent="0.25">
      <c r="A8" s="20" t="s">
        <v>2568</v>
      </c>
      <c r="B8" s="58">
        <v>124.32000000000001</v>
      </c>
      <c r="C8" s="160">
        <v>0.1</v>
      </c>
      <c r="D8" s="164">
        <f t="shared" si="1"/>
        <v>136.75200000000001</v>
      </c>
      <c r="F8" s="174" t="s">
        <v>9</v>
      </c>
      <c r="G8" s="96">
        <v>250.80000000000004</v>
      </c>
      <c r="H8" s="175">
        <v>0.1</v>
      </c>
      <c r="I8" s="176">
        <f t="shared" si="0"/>
        <v>275.88000000000005</v>
      </c>
    </row>
    <row r="9" spans="1:10" x14ac:dyDescent="0.25">
      <c r="A9" s="20" t="s">
        <v>4</v>
      </c>
      <c r="B9" s="58">
        <v>125.004</v>
      </c>
      <c r="C9" s="160">
        <v>0.1</v>
      </c>
      <c r="D9" s="164">
        <f t="shared" si="1"/>
        <v>137.5044</v>
      </c>
      <c r="F9" s="20" t="s">
        <v>2569</v>
      </c>
      <c r="G9" s="58">
        <v>326.61562500000002</v>
      </c>
      <c r="H9" s="161">
        <v>0.1</v>
      </c>
      <c r="I9" s="164">
        <f t="shared" si="0"/>
        <v>359.27718750000008</v>
      </c>
    </row>
    <row r="10" spans="1:10" x14ac:dyDescent="0.25">
      <c r="A10" s="20" t="s">
        <v>7</v>
      </c>
      <c r="B10" s="58">
        <v>126.50000000000001</v>
      </c>
      <c r="C10" s="160">
        <v>0.1</v>
      </c>
      <c r="D10" s="164">
        <f t="shared" si="1"/>
        <v>139.15</v>
      </c>
      <c r="E10" s="21"/>
      <c r="F10" s="20" t="s">
        <v>17</v>
      </c>
      <c r="G10" s="12">
        <v>238.38</v>
      </c>
      <c r="H10" s="177">
        <v>0.1</v>
      </c>
      <c r="I10" s="164">
        <v>262.22000000000003</v>
      </c>
      <c r="J10" s="21"/>
    </row>
    <row r="11" spans="1:10" x14ac:dyDescent="0.25">
      <c r="A11" s="20" t="s">
        <v>9</v>
      </c>
      <c r="B11" s="58">
        <v>147.06</v>
      </c>
      <c r="C11" s="160">
        <v>0.1</v>
      </c>
      <c r="D11" s="164">
        <f t="shared" si="1"/>
        <v>161.76599999999999</v>
      </c>
      <c r="G11" s="1"/>
      <c r="H11" s="22"/>
      <c r="I11" s="1"/>
    </row>
    <row r="12" spans="1:10" x14ac:dyDescent="0.25">
      <c r="B12" s="1"/>
      <c r="D12" s="1"/>
      <c r="F12" s="182" t="s">
        <v>2570</v>
      </c>
      <c r="G12" s="182"/>
      <c r="H12" s="182"/>
      <c r="I12" s="1"/>
    </row>
    <row r="13" spans="1:10" x14ac:dyDescent="0.25">
      <c r="A13" s="168" t="s">
        <v>2571</v>
      </c>
      <c r="B13" s="166" t="s">
        <v>2564</v>
      </c>
      <c r="C13" s="167" t="s">
        <v>2565</v>
      </c>
      <c r="D13" s="166" t="s">
        <v>2566</v>
      </c>
      <c r="F13" s="183" t="s">
        <v>2572</v>
      </c>
      <c r="G13" s="183"/>
      <c r="H13" s="171" t="s">
        <v>2573</v>
      </c>
      <c r="I13" s="23"/>
    </row>
    <row r="14" spans="1:10" x14ac:dyDescent="0.25">
      <c r="A14" s="20" t="s">
        <v>2574</v>
      </c>
      <c r="B14" s="12">
        <v>78.127500000000012</v>
      </c>
      <c r="C14" s="158">
        <v>0.1</v>
      </c>
      <c r="D14" s="164">
        <f t="shared" ref="D14:D15" si="2">(C14*B14)+B14</f>
        <v>85.94025000000002</v>
      </c>
      <c r="F14" s="24" t="s">
        <v>8</v>
      </c>
      <c r="G14" s="25">
        <v>476.58600000000001</v>
      </c>
      <c r="H14" s="12">
        <f>G14/2</f>
        <v>238.29300000000001</v>
      </c>
      <c r="I14" s="26"/>
      <c r="J14" s="163"/>
    </row>
    <row r="15" spans="1:10" x14ac:dyDescent="0.25">
      <c r="A15" s="20" t="s">
        <v>2575</v>
      </c>
      <c r="B15" s="12">
        <v>156.25500000000002</v>
      </c>
      <c r="C15" s="158">
        <v>0.1</v>
      </c>
      <c r="D15" s="164">
        <f t="shared" si="2"/>
        <v>171.88050000000004</v>
      </c>
      <c r="F15" s="28" t="s">
        <v>7</v>
      </c>
      <c r="G15" s="12">
        <v>470.25000000000006</v>
      </c>
      <c r="H15" s="12">
        <f>G15/2</f>
        <v>235.12500000000003</v>
      </c>
      <c r="I15" s="26"/>
      <c r="J15" s="163"/>
    </row>
    <row r="16" spans="1:10" x14ac:dyDescent="0.25">
      <c r="A16" s="3"/>
      <c r="B16" s="26"/>
      <c r="C16" s="159"/>
      <c r="D16" s="26"/>
      <c r="F16" s="3"/>
      <c r="G16" s="26"/>
      <c r="H16" s="29"/>
      <c r="I16" s="26"/>
      <c r="J16" s="27"/>
    </row>
    <row r="17" spans="1:10" x14ac:dyDescent="0.25">
      <c r="A17" s="3"/>
      <c r="B17" s="26"/>
      <c r="C17" s="159"/>
      <c r="D17" s="26"/>
      <c r="F17" s="182" t="s">
        <v>2570</v>
      </c>
      <c r="G17" s="182"/>
      <c r="H17" s="182"/>
      <c r="I17" s="182"/>
      <c r="J17" s="27"/>
    </row>
    <row r="18" spans="1:10" x14ac:dyDescent="0.25">
      <c r="B18" s="1"/>
      <c r="D18" s="1"/>
      <c r="F18" s="172" t="s">
        <v>2576</v>
      </c>
      <c r="G18" s="172">
        <v>1</v>
      </c>
      <c r="H18" s="172">
        <v>3</v>
      </c>
      <c r="I18" s="172">
        <v>4</v>
      </c>
    </row>
    <row r="19" spans="1:10" x14ac:dyDescent="0.25">
      <c r="A19" s="165" t="s">
        <v>2577</v>
      </c>
      <c r="B19" s="166" t="s">
        <v>2564</v>
      </c>
      <c r="C19" s="167" t="s">
        <v>2565</v>
      </c>
      <c r="D19" s="166" t="s">
        <v>2566</v>
      </c>
      <c r="F19" s="24" t="s">
        <v>7</v>
      </c>
      <c r="G19" s="25">
        <v>320.04500000000002</v>
      </c>
      <c r="H19" s="12">
        <f>G19/3</f>
        <v>106.68166666666667</v>
      </c>
      <c r="I19" s="12">
        <f>G19/4</f>
        <v>80.011250000000004</v>
      </c>
      <c r="J19" s="131"/>
    </row>
    <row r="20" spans="1:10" x14ac:dyDescent="0.25">
      <c r="A20" s="20" t="s">
        <v>6</v>
      </c>
      <c r="B20" s="12">
        <v>532.1</v>
      </c>
      <c r="C20" s="158">
        <v>0.1</v>
      </c>
      <c r="D20" s="164">
        <f t="shared" ref="D20:D24" si="3">(C20*B20)+B20</f>
        <v>585.31000000000006</v>
      </c>
      <c r="F20" s="30"/>
      <c r="G20" s="31"/>
      <c r="H20" s="22"/>
      <c r="I20" s="1"/>
    </row>
    <row r="21" spans="1:10" x14ac:dyDescent="0.25">
      <c r="A21" s="20" t="s">
        <v>2578</v>
      </c>
      <c r="B21" s="12">
        <v>266.05</v>
      </c>
      <c r="C21" s="158">
        <v>0.1</v>
      </c>
      <c r="D21" s="164">
        <f t="shared" si="3"/>
        <v>292.65500000000003</v>
      </c>
      <c r="G21" s="1"/>
      <c r="H21" s="123"/>
      <c r="I21" s="1"/>
    </row>
    <row r="22" spans="1:10" x14ac:dyDescent="0.25">
      <c r="A22" s="20" t="s">
        <v>9</v>
      </c>
      <c r="B22" s="12">
        <v>489</v>
      </c>
      <c r="C22" s="158">
        <v>0.1</v>
      </c>
      <c r="D22" s="164">
        <f t="shared" si="3"/>
        <v>537.9</v>
      </c>
      <c r="G22" s="1"/>
      <c r="H22" s="22"/>
      <c r="I22" s="1"/>
      <c r="J22" s="124" t="s">
        <v>2579</v>
      </c>
    </row>
    <row r="23" spans="1:10" x14ac:dyDescent="0.25">
      <c r="A23" s="20" t="s">
        <v>12</v>
      </c>
      <c r="B23" s="12">
        <v>532.1</v>
      </c>
      <c r="C23" s="158">
        <v>0.1</v>
      </c>
      <c r="D23" s="164">
        <f t="shared" si="3"/>
        <v>585.31000000000006</v>
      </c>
      <c r="G23" s="1"/>
      <c r="H23" s="22"/>
      <c r="I23" s="1"/>
    </row>
    <row r="24" spans="1:10" x14ac:dyDescent="0.25">
      <c r="A24" s="20" t="s">
        <v>17</v>
      </c>
      <c r="B24" s="12">
        <v>568.02</v>
      </c>
      <c r="C24" s="158">
        <v>0.1</v>
      </c>
      <c r="D24" s="164">
        <f t="shared" si="3"/>
        <v>624.822</v>
      </c>
      <c r="G24" s="1"/>
      <c r="H24" s="22"/>
      <c r="I24" s="1"/>
    </row>
    <row r="25" spans="1:10" x14ac:dyDescent="0.25">
      <c r="A25" s="20" t="s">
        <v>2580</v>
      </c>
      <c r="B25" s="12">
        <f>+B24/2</f>
        <v>284.01</v>
      </c>
      <c r="C25" s="158">
        <v>0.1</v>
      </c>
      <c r="D25" s="164">
        <f>(C25*B25)+B25</f>
        <v>312.411</v>
      </c>
    </row>
  </sheetData>
  <mergeCells count="3">
    <mergeCell ref="F17:I17"/>
    <mergeCell ref="F12:H12"/>
    <mergeCell ref="F13:G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01115-81A9-42CD-AEEC-E40BE85E1333}">
  <sheetPr>
    <tabColor rgb="FF002060"/>
  </sheetPr>
  <dimension ref="A1:H183"/>
  <sheetViews>
    <sheetView zoomScale="85" zoomScaleNormal="85" workbookViewId="0">
      <selection activeCell="C66" sqref="C66"/>
    </sheetView>
  </sheetViews>
  <sheetFormatPr baseColWidth="10" defaultColWidth="11.42578125" defaultRowHeight="15" x14ac:dyDescent="0.25"/>
  <cols>
    <col min="1" max="1" width="29.140625" bestFit="1" customWidth="1"/>
    <col min="2" max="2" width="15" bestFit="1" customWidth="1"/>
    <col min="3" max="3" width="10.28515625" bestFit="1" customWidth="1"/>
    <col min="4" max="4" width="11.7109375" bestFit="1" customWidth="1"/>
    <col min="5" max="5" width="10.7109375" bestFit="1" customWidth="1"/>
    <col min="6" max="6" width="13.7109375" bestFit="1" customWidth="1"/>
    <col min="7" max="7" width="11.7109375" bestFit="1" customWidth="1"/>
    <col min="8" max="8" width="15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2581</v>
      </c>
      <c r="F1" t="s">
        <v>2582</v>
      </c>
      <c r="G1" t="s">
        <v>2583</v>
      </c>
      <c r="H1" t="s">
        <v>2584</v>
      </c>
    </row>
    <row r="2" spans="1:8" hidden="1" x14ac:dyDescent="0.25">
      <c r="A2" t="s">
        <v>2585</v>
      </c>
      <c r="B2" t="s">
        <v>37</v>
      </c>
      <c r="C2" t="s">
        <v>2586</v>
      </c>
      <c r="D2" t="s">
        <v>2587</v>
      </c>
      <c r="E2">
        <v>0</v>
      </c>
      <c r="F2">
        <v>985.6</v>
      </c>
      <c r="G2">
        <v>41.965000000000003</v>
      </c>
      <c r="H2">
        <v>0</v>
      </c>
    </row>
    <row r="3" spans="1:8" hidden="1" x14ac:dyDescent="0.25">
      <c r="A3" t="s">
        <v>2588</v>
      </c>
      <c r="B3" t="s">
        <v>37</v>
      </c>
      <c r="C3" t="s">
        <v>2586</v>
      </c>
      <c r="D3" t="s">
        <v>2589</v>
      </c>
      <c r="E3">
        <v>39.072000000000003</v>
      </c>
      <c r="F3">
        <v>39.423999999999999</v>
      </c>
      <c r="G3">
        <v>41.965000000000003</v>
      </c>
      <c r="H3">
        <v>0</v>
      </c>
    </row>
    <row r="4" spans="1:8" hidden="1" x14ac:dyDescent="0.25">
      <c r="A4" t="s">
        <v>2590</v>
      </c>
      <c r="B4" t="s">
        <v>37</v>
      </c>
      <c r="C4" t="s">
        <v>2586</v>
      </c>
      <c r="D4" t="s">
        <v>2591</v>
      </c>
      <c r="E4">
        <v>37.201999999999998</v>
      </c>
      <c r="F4">
        <v>39.423999999999999</v>
      </c>
      <c r="G4">
        <v>40.985999999999997</v>
      </c>
      <c r="H4">
        <v>0</v>
      </c>
    </row>
    <row r="5" spans="1:8" hidden="1" x14ac:dyDescent="0.25">
      <c r="A5" t="s">
        <v>2592</v>
      </c>
      <c r="B5" t="s">
        <v>37</v>
      </c>
      <c r="C5" t="s">
        <v>2586</v>
      </c>
      <c r="D5" t="s">
        <v>2593</v>
      </c>
      <c r="E5">
        <v>37.201999999999998</v>
      </c>
      <c r="F5">
        <v>39.423999999999999</v>
      </c>
      <c r="G5">
        <v>41.965000000000003</v>
      </c>
      <c r="H5">
        <v>0</v>
      </c>
    </row>
    <row r="6" spans="1:8" hidden="1" x14ac:dyDescent="0.25">
      <c r="A6" t="s">
        <v>2594</v>
      </c>
      <c r="B6" t="s">
        <v>37</v>
      </c>
      <c r="C6" t="s">
        <v>2586</v>
      </c>
      <c r="D6" t="s">
        <v>2595</v>
      </c>
      <c r="E6">
        <v>37.201999999999998</v>
      </c>
      <c r="F6">
        <v>39.423999999999999</v>
      </c>
      <c r="G6">
        <v>41.965000000000003</v>
      </c>
      <c r="H6">
        <v>0</v>
      </c>
    </row>
    <row r="7" spans="1:8" hidden="1" x14ac:dyDescent="0.25">
      <c r="A7" t="s">
        <v>2596</v>
      </c>
      <c r="B7" t="s">
        <v>37</v>
      </c>
      <c r="C7" t="s">
        <v>2586</v>
      </c>
      <c r="D7" t="s">
        <v>2597</v>
      </c>
      <c r="E7">
        <v>37.201999999999998</v>
      </c>
      <c r="F7">
        <v>39.423999999999999</v>
      </c>
      <c r="G7">
        <v>41.965000000000003</v>
      </c>
      <c r="H7">
        <v>0</v>
      </c>
    </row>
    <row r="8" spans="1:8" x14ac:dyDescent="0.25">
      <c r="A8" t="s">
        <v>2598</v>
      </c>
      <c r="B8" t="s">
        <v>37</v>
      </c>
      <c r="C8" t="s">
        <v>2586</v>
      </c>
      <c r="D8" t="s">
        <v>2599</v>
      </c>
      <c r="E8">
        <v>37.201999999999998</v>
      </c>
      <c r="F8">
        <v>39.423999999999999</v>
      </c>
      <c r="G8">
        <v>39.500999999999998</v>
      </c>
      <c r="H8">
        <v>0</v>
      </c>
    </row>
    <row r="9" spans="1:8" hidden="1" x14ac:dyDescent="0.25">
      <c r="A9" t="s">
        <v>2600</v>
      </c>
      <c r="B9" t="s">
        <v>37</v>
      </c>
      <c r="C9" t="s">
        <v>2601</v>
      </c>
      <c r="D9" t="s">
        <v>2587</v>
      </c>
      <c r="E9">
        <v>0</v>
      </c>
      <c r="F9">
        <v>985.6</v>
      </c>
      <c r="G9">
        <v>32.097999999999999</v>
      </c>
      <c r="H9">
        <v>0</v>
      </c>
    </row>
    <row r="10" spans="1:8" hidden="1" x14ac:dyDescent="0.25">
      <c r="A10" t="s">
        <v>2602</v>
      </c>
      <c r="B10" t="s">
        <v>37</v>
      </c>
      <c r="C10" t="s">
        <v>2601</v>
      </c>
      <c r="D10" t="s">
        <v>2589</v>
      </c>
      <c r="E10">
        <v>32.856999999999999</v>
      </c>
      <c r="F10">
        <v>36.96</v>
      </c>
      <c r="G10">
        <v>32.097999999999999</v>
      </c>
      <c r="H10">
        <v>0</v>
      </c>
    </row>
    <row r="11" spans="1:8" hidden="1" x14ac:dyDescent="0.25">
      <c r="A11" t="s">
        <v>2603</v>
      </c>
      <c r="B11" t="s">
        <v>37</v>
      </c>
      <c r="C11" t="s">
        <v>2601</v>
      </c>
      <c r="D11" t="s">
        <v>2591</v>
      </c>
      <c r="E11">
        <v>31.295000000000002</v>
      </c>
      <c r="F11">
        <v>36.96</v>
      </c>
      <c r="G11">
        <v>29.623000000000001</v>
      </c>
      <c r="H11">
        <v>0</v>
      </c>
    </row>
    <row r="12" spans="1:8" hidden="1" x14ac:dyDescent="0.25">
      <c r="A12" t="s">
        <v>2604</v>
      </c>
      <c r="B12" t="s">
        <v>37</v>
      </c>
      <c r="C12" t="s">
        <v>2601</v>
      </c>
      <c r="D12" t="s">
        <v>2593</v>
      </c>
      <c r="E12">
        <v>31.295000000000002</v>
      </c>
      <c r="F12">
        <v>36.96</v>
      </c>
      <c r="G12">
        <v>32.097999999999999</v>
      </c>
      <c r="H12">
        <v>0</v>
      </c>
    </row>
    <row r="13" spans="1:8" hidden="1" x14ac:dyDescent="0.25">
      <c r="A13" t="s">
        <v>2605</v>
      </c>
      <c r="B13" t="s">
        <v>37</v>
      </c>
      <c r="C13" t="s">
        <v>2601</v>
      </c>
      <c r="D13" t="s">
        <v>2595</v>
      </c>
      <c r="E13">
        <v>31.295000000000002</v>
      </c>
      <c r="F13">
        <v>36.96</v>
      </c>
      <c r="G13">
        <v>32.097999999999999</v>
      </c>
      <c r="H13">
        <v>0</v>
      </c>
    </row>
    <row r="14" spans="1:8" hidden="1" x14ac:dyDescent="0.25">
      <c r="A14" t="s">
        <v>2606</v>
      </c>
      <c r="B14" t="s">
        <v>37</v>
      </c>
      <c r="C14" t="s">
        <v>2601</v>
      </c>
      <c r="D14" t="s">
        <v>2597</v>
      </c>
      <c r="E14">
        <v>31.295000000000002</v>
      </c>
      <c r="F14">
        <v>36.96</v>
      </c>
      <c r="G14">
        <v>32.097999999999999</v>
      </c>
      <c r="H14">
        <v>0</v>
      </c>
    </row>
    <row r="15" spans="1:8" x14ac:dyDescent="0.25">
      <c r="A15" t="s">
        <v>2607</v>
      </c>
      <c r="B15" t="s">
        <v>37</v>
      </c>
      <c r="C15" t="s">
        <v>2601</v>
      </c>
      <c r="D15" t="s">
        <v>2599</v>
      </c>
      <c r="E15">
        <v>31.295000000000002</v>
      </c>
      <c r="F15">
        <v>36.96</v>
      </c>
      <c r="G15">
        <v>28.149000000000001</v>
      </c>
      <c r="H15">
        <v>0</v>
      </c>
    </row>
    <row r="16" spans="1:8" hidden="1" x14ac:dyDescent="0.25">
      <c r="A16" t="s">
        <v>2608</v>
      </c>
      <c r="B16" t="s">
        <v>37</v>
      </c>
      <c r="C16" t="s">
        <v>2609</v>
      </c>
      <c r="D16" t="s">
        <v>2587</v>
      </c>
      <c r="E16">
        <v>0</v>
      </c>
      <c r="F16">
        <v>924</v>
      </c>
      <c r="G16">
        <v>32.097999999999999</v>
      </c>
      <c r="H16">
        <v>0</v>
      </c>
    </row>
    <row r="17" spans="1:8" hidden="1" x14ac:dyDescent="0.25">
      <c r="A17" t="s">
        <v>2610</v>
      </c>
      <c r="B17" t="s">
        <v>37</v>
      </c>
      <c r="C17" t="s">
        <v>2609</v>
      </c>
      <c r="D17" t="s">
        <v>2589</v>
      </c>
      <c r="E17">
        <v>33.374000000000002</v>
      </c>
      <c r="F17">
        <v>24.64</v>
      </c>
      <c r="G17">
        <v>32.097999999999999</v>
      </c>
      <c r="H17">
        <v>0</v>
      </c>
    </row>
    <row r="18" spans="1:8" hidden="1" x14ac:dyDescent="0.25">
      <c r="A18" t="s">
        <v>2611</v>
      </c>
      <c r="B18" t="s">
        <v>37</v>
      </c>
      <c r="C18" t="s">
        <v>2609</v>
      </c>
      <c r="D18" t="s">
        <v>2591</v>
      </c>
      <c r="E18">
        <v>31.79</v>
      </c>
      <c r="F18">
        <v>24.64</v>
      </c>
      <c r="G18">
        <v>29.623000000000001</v>
      </c>
      <c r="H18">
        <v>0</v>
      </c>
    </row>
    <row r="19" spans="1:8" hidden="1" x14ac:dyDescent="0.25">
      <c r="A19" t="s">
        <v>2612</v>
      </c>
      <c r="B19" t="s">
        <v>37</v>
      </c>
      <c r="C19" t="s">
        <v>2609</v>
      </c>
      <c r="D19" t="s">
        <v>2593</v>
      </c>
      <c r="E19">
        <v>31.79</v>
      </c>
      <c r="F19">
        <v>24.64</v>
      </c>
      <c r="G19">
        <v>32.097999999999999</v>
      </c>
      <c r="H19">
        <v>0</v>
      </c>
    </row>
    <row r="20" spans="1:8" hidden="1" x14ac:dyDescent="0.25">
      <c r="A20" t="s">
        <v>2613</v>
      </c>
      <c r="B20" t="s">
        <v>37</v>
      </c>
      <c r="C20" t="s">
        <v>2609</v>
      </c>
      <c r="D20" t="s">
        <v>2595</v>
      </c>
      <c r="E20">
        <v>31.79</v>
      </c>
      <c r="F20">
        <v>24.64</v>
      </c>
      <c r="G20">
        <v>32.097999999999999</v>
      </c>
      <c r="H20">
        <v>0</v>
      </c>
    </row>
    <row r="21" spans="1:8" hidden="1" x14ac:dyDescent="0.25">
      <c r="A21" t="s">
        <v>2614</v>
      </c>
      <c r="B21" t="s">
        <v>37</v>
      </c>
      <c r="C21" t="s">
        <v>2609</v>
      </c>
      <c r="D21" t="s">
        <v>2597</v>
      </c>
      <c r="E21">
        <v>31.79</v>
      </c>
      <c r="F21">
        <v>24.64</v>
      </c>
      <c r="G21">
        <v>32.097999999999999</v>
      </c>
      <c r="H21">
        <v>0</v>
      </c>
    </row>
    <row r="22" spans="1:8" x14ac:dyDescent="0.25">
      <c r="A22" t="s">
        <v>2615</v>
      </c>
      <c r="B22" t="s">
        <v>37</v>
      </c>
      <c r="C22" t="s">
        <v>2609</v>
      </c>
      <c r="D22" t="s">
        <v>2599</v>
      </c>
      <c r="E22">
        <v>31.79</v>
      </c>
      <c r="F22">
        <v>24.64</v>
      </c>
      <c r="G22">
        <v>28.149000000000001</v>
      </c>
      <c r="H22">
        <v>0</v>
      </c>
    </row>
    <row r="23" spans="1:8" hidden="1" x14ac:dyDescent="0.25">
      <c r="A23" t="s">
        <v>2616</v>
      </c>
      <c r="B23" t="s">
        <v>37</v>
      </c>
      <c r="C23" t="s">
        <v>2617</v>
      </c>
      <c r="D23" t="s">
        <v>2587</v>
      </c>
      <c r="E23">
        <v>0</v>
      </c>
      <c r="F23">
        <v>924</v>
      </c>
      <c r="G23">
        <v>32.097999999999999</v>
      </c>
      <c r="H23">
        <v>0</v>
      </c>
    </row>
    <row r="24" spans="1:8" hidden="1" x14ac:dyDescent="0.25">
      <c r="A24" t="s">
        <v>2618</v>
      </c>
      <c r="B24" t="s">
        <v>37</v>
      </c>
      <c r="C24" t="s">
        <v>2617</v>
      </c>
      <c r="D24" t="s">
        <v>2589</v>
      </c>
      <c r="E24">
        <v>32.076000000000001</v>
      </c>
      <c r="F24">
        <v>24.2</v>
      </c>
      <c r="G24">
        <v>32.097999999999999</v>
      </c>
      <c r="H24">
        <v>0</v>
      </c>
    </row>
    <row r="25" spans="1:8" hidden="1" x14ac:dyDescent="0.25">
      <c r="A25" t="s">
        <v>2619</v>
      </c>
      <c r="B25" t="s">
        <v>37</v>
      </c>
      <c r="C25" t="s">
        <v>2617</v>
      </c>
      <c r="D25" t="s">
        <v>2591</v>
      </c>
      <c r="E25">
        <v>30.558</v>
      </c>
      <c r="F25">
        <v>24.2</v>
      </c>
      <c r="G25">
        <v>29.623000000000001</v>
      </c>
      <c r="H25">
        <v>0</v>
      </c>
    </row>
    <row r="26" spans="1:8" hidden="1" x14ac:dyDescent="0.25">
      <c r="A26" t="s">
        <v>2620</v>
      </c>
      <c r="B26" t="s">
        <v>37</v>
      </c>
      <c r="C26" t="s">
        <v>2617</v>
      </c>
      <c r="D26" t="s">
        <v>2593</v>
      </c>
      <c r="E26">
        <v>30.558</v>
      </c>
      <c r="F26">
        <v>24.2</v>
      </c>
      <c r="G26">
        <v>32.097999999999999</v>
      </c>
      <c r="H26">
        <v>0</v>
      </c>
    </row>
    <row r="27" spans="1:8" hidden="1" x14ac:dyDescent="0.25">
      <c r="A27" t="s">
        <v>2621</v>
      </c>
      <c r="B27" t="s">
        <v>37</v>
      </c>
      <c r="C27" t="s">
        <v>2617</v>
      </c>
      <c r="D27" t="s">
        <v>2595</v>
      </c>
      <c r="E27">
        <v>30.558</v>
      </c>
      <c r="F27">
        <v>24.2</v>
      </c>
      <c r="G27">
        <v>32.097999999999999</v>
      </c>
      <c r="H27">
        <v>0</v>
      </c>
    </row>
    <row r="28" spans="1:8" hidden="1" x14ac:dyDescent="0.25">
      <c r="A28" t="s">
        <v>2622</v>
      </c>
      <c r="B28" t="s">
        <v>37</v>
      </c>
      <c r="C28" t="s">
        <v>2617</v>
      </c>
      <c r="D28" t="s">
        <v>2597</v>
      </c>
      <c r="E28">
        <v>30.558</v>
      </c>
      <c r="F28">
        <v>24.2</v>
      </c>
      <c r="G28">
        <v>32.097999999999999</v>
      </c>
      <c r="H28">
        <v>0</v>
      </c>
    </row>
    <row r="29" spans="1:8" x14ac:dyDescent="0.25">
      <c r="A29" t="s">
        <v>2623</v>
      </c>
      <c r="B29" t="s">
        <v>37</v>
      </c>
      <c r="C29" t="s">
        <v>2617</v>
      </c>
      <c r="D29" t="s">
        <v>2599</v>
      </c>
      <c r="E29">
        <v>30.558</v>
      </c>
      <c r="F29">
        <v>24.2</v>
      </c>
      <c r="G29">
        <v>28.149000000000001</v>
      </c>
      <c r="H29">
        <v>0</v>
      </c>
    </row>
    <row r="30" spans="1:8" hidden="1" x14ac:dyDescent="0.25">
      <c r="A30" t="s">
        <v>2624</v>
      </c>
      <c r="B30" t="s">
        <v>37</v>
      </c>
      <c r="C30" t="s">
        <v>2625</v>
      </c>
      <c r="D30" t="s">
        <v>2587</v>
      </c>
      <c r="E30">
        <v>0</v>
      </c>
      <c r="F30">
        <v>985.6</v>
      </c>
      <c r="G30">
        <v>27.158999999999999</v>
      </c>
      <c r="H30">
        <v>0</v>
      </c>
    </row>
    <row r="31" spans="1:8" hidden="1" x14ac:dyDescent="0.25">
      <c r="A31" t="s">
        <v>2626</v>
      </c>
      <c r="B31" t="s">
        <v>37</v>
      </c>
      <c r="C31" t="s">
        <v>2625</v>
      </c>
      <c r="D31" t="s">
        <v>2589</v>
      </c>
      <c r="E31">
        <v>30.524999999999999</v>
      </c>
      <c r="F31">
        <v>27.103999999999999</v>
      </c>
      <c r="G31">
        <v>27.158999999999999</v>
      </c>
      <c r="H31">
        <v>0</v>
      </c>
    </row>
    <row r="32" spans="1:8" hidden="1" x14ac:dyDescent="0.25">
      <c r="A32" t="s">
        <v>2627</v>
      </c>
      <c r="B32" t="s">
        <v>37</v>
      </c>
      <c r="C32" t="s">
        <v>2625</v>
      </c>
      <c r="D32" t="s">
        <v>2591</v>
      </c>
      <c r="E32">
        <v>29.073</v>
      </c>
      <c r="F32">
        <v>27.103999999999999</v>
      </c>
      <c r="G32">
        <v>24.684000000000001</v>
      </c>
      <c r="H32">
        <v>0</v>
      </c>
    </row>
    <row r="33" spans="1:8" hidden="1" x14ac:dyDescent="0.25">
      <c r="A33" t="s">
        <v>2628</v>
      </c>
      <c r="B33" t="s">
        <v>37</v>
      </c>
      <c r="C33" t="s">
        <v>2625</v>
      </c>
      <c r="D33" t="s">
        <v>2593</v>
      </c>
      <c r="E33">
        <v>29.073</v>
      </c>
      <c r="F33">
        <v>27.103999999999999</v>
      </c>
      <c r="G33">
        <v>27.158999999999999</v>
      </c>
      <c r="H33">
        <v>0</v>
      </c>
    </row>
    <row r="34" spans="1:8" hidden="1" x14ac:dyDescent="0.25">
      <c r="A34" t="s">
        <v>2629</v>
      </c>
      <c r="B34" t="s">
        <v>37</v>
      </c>
      <c r="C34" t="s">
        <v>2625</v>
      </c>
      <c r="D34" t="s">
        <v>2595</v>
      </c>
      <c r="E34">
        <v>29.073</v>
      </c>
      <c r="F34">
        <v>27.103999999999999</v>
      </c>
      <c r="G34">
        <v>27.158999999999999</v>
      </c>
      <c r="H34">
        <v>0</v>
      </c>
    </row>
    <row r="35" spans="1:8" hidden="1" x14ac:dyDescent="0.25">
      <c r="A35" t="s">
        <v>2630</v>
      </c>
      <c r="B35" t="s">
        <v>37</v>
      </c>
      <c r="C35" t="s">
        <v>2625</v>
      </c>
      <c r="D35" t="s">
        <v>2597</v>
      </c>
      <c r="E35">
        <v>29.073</v>
      </c>
      <c r="F35">
        <v>27.103999999999999</v>
      </c>
      <c r="G35">
        <v>27.158999999999999</v>
      </c>
      <c r="H35">
        <v>0</v>
      </c>
    </row>
    <row r="36" spans="1:8" x14ac:dyDescent="0.25">
      <c r="A36" t="s">
        <v>2631</v>
      </c>
      <c r="B36" t="s">
        <v>37</v>
      </c>
      <c r="C36" t="s">
        <v>2625</v>
      </c>
      <c r="D36" t="s">
        <v>2599</v>
      </c>
      <c r="E36">
        <v>29.073</v>
      </c>
      <c r="F36">
        <v>27.103999999999999</v>
      </c>
      <c r="G36">
        <v>23.704999999999998</v>
      </c>
      <c r="H36">
        <v>0</v>
      </c>
    </row>
    <row r="37" spans="1:8" hidden="1" x14ac:dyDescent="0.25">
      <c r="A37" t="s">
        <v>2632</v>
      </c>
      <c r="B37" t="s">
        <v>37</v>
      </c>
      <c r="C37" t="s">
        <v>2633</v>
      </c>
      <c r="D37" t="s">
        <v>2587</v>
      </c>
      <c r="E37">
        <v>0</v>
      </c>
      <c r="F37">
        <v>862.4</v>
      </c>
      <c r="G37">
        <v>20.734999999999999</v>
      </c>
      <c r="H37">
        <v>0</v>
      </c>
    </row>
    <row r="38" spans="1:8" hidden="1" x14ac:dyDescent="0.25">
      <c r="A38" t="s">
        <v>2634</v>
      </c>
      <c r="B38" t="s">
        <v>37</v>
      </c>
      <c r="C38" t="s">
        <v>2633</v>
      </c>
      <c r="D38" t="s">
        <v>2589</v>
      </c>
      <c r="E38">
        <v>24.981000000000002</v>
      </c>
      <c r="F38">
        <v>22.175999999999998</v>
      </c>
      <c r="G38">
        <v>20.734999999999999</v>
      </c>
      <c r="H38">
        <v>0</v>
      </c>
    </row>
    <row r="39" spans="1:8" hidden="1" x14ac:dyDescent="0.25">
      <c r="A39" t="s">
        <v>2635</v>
      </c>
      <c r="B39" t="s">
        <v>37</v>
      </c>
      <c r="C39" t="s">
        <v>2633</v>
      </c>
      <c r="D39" t="s">
        <v>2591</v>
      </c>
      <c r="E39">
        <v>23.803999999999998</v>
      </c>
      <c r="F39">
        <v>22.175999999999998</v>
      </c>
      <c r="G39">
        <v>19.756</v>
      </c>
      <c r="H39">
        <v>0</v>
      </c>
    </row>
    <row r="40" spans="1:8" hidden="1" x14ac:dyDescent="0.25">
      <c r="A40" t="s">
        <v>2636</v>
      </c>
      <c r="B40" t="s">
        <v>37</v>
      </c>
      <c r="C40" t="s">
        <v>2633</v>
      </c>
      <c r="D40" t="s">
        <v>2593</v>
      </c>
      <c r="E40">
        <v>23.803999999999998</v>
      </c>
      <c r="F40">
        <v>22.175999999999998</v>
      </c>
      <c r="G40">
        <v>20.734999999999999</v>
      </c>
      <c r="H40">
        <v>0</v>
      </c>
    </row>
    <row r="41" spans="1:8" hidden="1" x14ac:dyDescent="0.25">
      <c r="A41" t="s">
        <v>2637</v>
      </c>
      <c r="B41" t="s">
        <v>37</v>
      </c>
      <c r="C41" t="s">
        <v>2633</v>
      </c>
      <c r="D41" t="s">
        <v>2595</v>
      </c>
      <c r="E41">
        <v>23.803999999999998</v>
      </c>
      <c r="F41">
        <v>22.175999999999998</v>
      </c>
      <c r="G41">
        <v>20.734999999999999</v>
      </c>
      <c r="H41">
        <v>0</v>
      </c>
    </row>
    <row r="42" spans="1:8" hidden="1" x14ac:dyDescent="0.25">
      <c r="A42" t="s">
        <v>2638</v>
      </c>
      <c r="B42" t="s">
        <v>37</v>
      </c>
      <c r="C42" t="s">
        <v>2633</v>
      </c>
      <c r="D42" t="s">
        <v>2597</v>
      </c>
      <c r="E42">
        <v>23.803999999999998</v>
      </c>
      <c r="F42">
        <v>22.175999999999998</v>
      </c>
      <c r="G42">
        <v>20.734999999999999</v>
      </c>
      <c r="H42">
        <v>0</v>
      </c>
    </row>
    <row r="43" spans="1:8" x14ac:dyDescent="0.25">
      <c r="A43" t="s">
        <v>2639</v>
      </c>
      <c r="B43" t="s">
        <v>37</v>
      </c>
      <c r="C43" t="s">
        <v>2633</v>
      </c>
      <c r="D43" t="s">
        <v>2599</v>
      </c>
      <c r="E43">
        <v>23.803999999999998</v>
      </c>
      <c r="F43">
        <v>22.175999999999998</v>
      </c>
      <c r="G43">
        <v>18.765999999999998</v>
      </c>
      <c r="H43">
        <v>0</v>
      </c>
    </row>
    <row r="44" spans="1:8" hidden="1" x14ac:dyDescent="0.25">
      <c r="A44" t="s">
        <v>2640</v>
      </c>
      <c r="B44" t="s">
        <v>37</v>
      </c>
      <c r="C44" t="s">
        <v>2641</v>
      </c>
      <c r="D44" t="s">
        <v>2587</v>
      </c>
      <c r="E44">
        <v>0</v>
      </c>
      <c r="F44">
        <v>985.6</v>
      </c>
      <c r="G44">
        <v>27.158999999999999</v>
      </c>
      <c r="H44">
        <v>0</v>
      </c>
    </row>
    <row r="45" spans="1:8" hidden="1" x14ac:dyDescent="0.25">
      <c r="A45" t="s">
        <v>2642</v>
      </c>
      <c r="B45" t="s">
        <v>37</v>
      </c>
      <c r="C45" t="s">
        <v>2641</v>
      </c>
      <c r="D45" t="s">
        <v>2589</v>
      </c>
      <c r="E45">
        <v>30.524999999999999</v>
      </c>
      <c r="F45">
        <v>29.568000000000001</v>
      </c>
      <c r="G45">
        <v>27.158999999999999</v>
      </c>
      <c r="H45">
        <v>0</v>
      </c>
    </row>
    <row r="46" spans="1:8" hidden="1" x14ac:dyDescent="0.25">
      <c r="A46" t="s">
        <v>2643</v>
      </c>
      <c r="B46" t="s">
        <v>37</v>
      </c>
      <c r="C46" t="s">
        <v>2641</v>
      </c>
      <c r="D46" t="s">
        <v>2591</v>
      </c>
      <c r="E46">
        <v>29.073</v>
      </c>
      <c r="F46">
        <v>29.568000000000001</v>
      </c>
      <c r="G46">
        <v>24.684000000000001</v>
      </c>
      <c r="H46">
        <v>0</v>
      </c>
    </row>
    <row r="47" spans="1:8" hidden="1" x14ac:dyDescent="0.25">
      <c r="A47" t="s">
        <v>2644</v>
      </c>
      <c r="B47" t="s">
        <v>37</v>
      </c>
      <c r="C47" t="s">
        <v>2641</v>
      </c>
      <c r="D47" t="s">
        <v>2593</v>
      </c>
      <c r="E47">
        <v>29.073</v>
      </c>
      <c r="F47">
        <v>29.568000000000001</v>
      </c>
      <c r="G47">
        <v>27.158999999999999</v>
      </c>
      <c r="H47">
        <v>0</v>
      </c>
    </row>
    <row r="48" spans="1:8" hidden="1" x14ac:dyDescent="0.25">
      <c r="A48" t="s">
        <v>2645</v>
      </c>
      <c r="B48" t="s">
        <v>37</v>
      </c>
      <c r="C48" t="s">
        <v>2641</v>
      </c>
      <c r="D48" t="s">
        <v>2595</v>
      </c>
      <c r="E48">
        <v>29.073</v>
      </c>
      <c r="F48">
        <v>29.568000000000001</v>
      </c>
      <c r="G48">
        <v>27.158999999999999</v>
      </c>
      <c r="H48">
        <v>0</v>
      </c>
    </row>
    <row r="49" spans="1:8" hidden="1" x14ac:dyDescent="0.25">
      <c r="A49" t="s">
        <v>2646</v>
      </c>
      <c r="B49" t="s">
        <v>37</v>
      </c>
      <c r="C49" t="s">
        <v>2641</v>
      </c>
      <c r="D49" t="s">
        <v>2597</v>
      </c>
      <c r="E49">
        <v>29.073</v>
      </c>
      <c r="F49">
        <v>29.568000000000001</v>
      </c>
      <c r="G49">
        <v>27.158999999999999</v>
      </c>
      <c r="H49">
        <v>0</v>
      </c>
    </row>
    <row r="50" spans="1:8" x14ac:dyDescent="0.25">
      <c r="A50" t="s">
        <v>2647</v>
      </c>
      <c r="B50" t="s">
        <v>37</v>
      </c>
      <c r="C50" t="s">
        <v>2641</v>
      </c>
      <c r="D50" t="s">
        <v>2599</v>
      </c>
      <c r="E50">
        <v>29.073</v>
      </c>
      <c r="F50">
        <v>29.568000000000001</v>
      </c>
      <c r="G50">
        <v>23.704999999999998</v>
      </c>
      <c r="H50">
        <v>0</v>
      </c>
    </row>
    <row r="51" spans="1:8" hidden="1" x14ac:dyDescent="0.25">
      <c r="A51" t="s">
        <v>2648</v>
      </c>
      <c r="B51" t="s">
        <v>37</v>
      </c>
      <c r="C51" t="s">
        <v>2649</v>
      </c>
      <c r="D51" t="s">
        <v>2587</v>
      </c>
      <c r="E51">
        <v>0</v>
      </c>
      <c r="F51">
        <v>862.4</v>
      </c>
      <c r="G51">
        <v>17.280999999999999</v>
      </c>
      <c r="H51">
        <v>0</v>
      </c>
    </row>
    <row r="52" spans="1:8" hidden="1" x14ac:dyDescent="0.25">
      <c r="A52" t="s">
        <v>2650</v>
      </c>
      <c r="B52" t="s">
        <v>37</v>
      </c>
      <c r="C52" t="s">
        <v>2649</v>
      </c>
      <c r="D52" t="s">
        <v>2589</v>
      </c>
      <c r="E52">
        <v>23.177</v>
      </c>
      <c r="F52">
        <v>19.712</v>
      </c>
      <c r="G52">
        <v>17.280999999999999</v>
      </c>
      <c r="H52">
        <v>0</v>
      </c>
    </row>
    <row r="53" spans="1:8" hidden="1" x14ac:dyDescent="0.25">
      <c r="A53" t="s">
        <v>2651</v>
      </c>
      <c r="B53" t="s">
        <v>37</v>
      </c>
      <c r="C53" t="s">
        <v>2649</v>
      </c>
      <c r="D53" t="s">
        <v>2591</v>
      </c>
      <c r="E53">
        <v>22.077000000000002</v>
      </c>
      <c r="F53">
        <v>19.712</v>
      </c>
      <c r="G53">
        <v>16.291</v>
      </c>
      <c r="H53">
        <v>0</v>
      </c>
    </row>
    <row r="54" spans="1:8" hidden="1" x14ac:dyDescent="0.25">
      <c r="A54" t="s">
        <v>2652</v>
      </c>
      <c r="B54" t="s">
        <v>37</v>
      </c>
      <c r="C54" t="s">
        <v>2649</v>
      </c>
      <c r="D54" t="s">
        <v>2593</v>
      </c>
      <c r="E54">
        <v>22.077000000000002</v>
      </c>
      <c r="F54">
        <v>19.712</v>
      </c>
      <c r="G54">
        <v>17.280999999999999</v>
      </c>
      <c r="H54">
        <v>0</v>
      </c>
    </row>
    <row r="55" spans="1:8" hidden="1" x14ac:dyDescent="0.25">
      <c r="A55" t="s">
        <v>2653</v>
      </c>
      <c r="B55" t="s">
        <v>37</v>
      </c>
      <c r="C55" t="s">
        <v>2649</v>
      </c>
      <c r="D55" t="s">
        <v>2595</v>
      </c>
      <c r="E55">
        <v>22.077000000000002</v>
      </c>
      <c r="F55">
        <v>19.712</v>
      </c>
      <c r="G55">
        <v>17.280999999999999</v>
      </c>
      <c r="H55">
        <v>0</v>
      </c>
    </row>
    <row r="56" spans="1:8" hidden="1" x14ac:dyDescent="0.25">
      <c r="A56" t="s">
        <v>2654</v>
      </c>
      <c r="B56" t="s">
        <v>37</v>
      </c>
      <c r="C56" t="s">
        <v>2649</v>
      </c>
      <c r="D56" t="s">
        <v>2597</v>
      </c>
      <c r="E56">
        <v>22.077000000000002</v>
      </c>
      <c r="F56">
        <v>19.712</v>
      </c>
      <c r="G56">
        <v>17.280999999999999</v>
      </c>
      <c r="H56">
        <v>0</v>
      </c>
    </row>
    <row r="57" spans="1:8" x14ac:dyDescent="0.25">
      <c r="A57" t="s">
        <v>2655</v>
      </c>
      <c r="B57" t="s">
        <v>37</v>
      </c>
      <c r="C57" t="s">
        <v>2649</v>
      </c>
      <c r="D57" t="s">
        <v>2599</v>
      </c>
      <c r="E57">
        <v>22.077000000000002</v>
      </c>
      <c r="F57">
        <v>19.712</v>
      </c>
      <c r="G57">
        <v>14.817</v>
      </c>
      <c r="H57">
        <v>0</v>
      </c>
    </row>
    <row r="58" spans="1:8" hidden="1" x14ac:dyDescent="0.25">
      <c r="A58" t="s">
        <v>2656</v>
      </c>
      <c r="B58" t="s">
        <v>333</v>
      </c>
      <c r="C58" t="s">
        <v>2586</v>
      </c>
      <c r="D58" t="s">
        <v>2587</v>
      </c>
      <c r="E58">
        <v>0</v>
      </c>
      <c r="F58">
        <v>985.6</v>
      </c>
      <c r="G58">
        <v>0</v>
      </c>
      <c r="H58">
        <v>0</v>
      </c>
    </row>
    <row r="59" spans="1:8" hidden="1" x14ac:dyDescent="0.25">
      <c r="A59" t="s">
        <v>2657</v>
      </c>
      <c r="B59" t="s">
        <v>333</v>
      </c>
      <c r="C59" t="s">
        <v>2586</v>
      </c>
      <c r="D59" t="s">
        <v>2589</v>
      </c>
      <c r="E59">
        <v>0</v>
      </c>
      <c r="F59">
        <v>39.423999999999999</v>
      </c>
      <c r="G59">
        <v>0</v>
      </c>
      <c r="H59">
        <v>0</v>
      </c>
    </row>
    <row r="60" spans="1:8" hidden="1" x14ac:dyDescent="0.25">
      <c r="A60" t="s">
        <v>2658</v>
      </c>
      <c r="B60" t="s">
        <v>333</v>
      </c>
      <c r="C60" t="s">
        <v>2586</v>
      </c>
      <c r="D60" t="s">
        <v>2591</v>
      </c>
      <c r="E60">
        <v>0</v>
      </c>
      <c r="F60">
        <v>39.423999999999999</v>
      </c>
      <c r="G60">
        <v>0</v>
      </c>
      <c r="H60">
        <v>0</v>
      </c>
    </row>
    <row r="61" spans="1:8" hidden="1" x14ac:dyDescent="0.25">
      <c r="A61" t="s">
        <v>2659</v>
      </c>
      <c r="B61" t="s">
        <v>333</v>
      </c>
      <c r="C61" t="s">
        <v>2586</v>
      </c>
      <c r="D61" t="s">
        <v>2593</v>
      </c>
      <c r="E61">
        <v>0</v>
      </c>
      <c r="F61">
        <v>39.423999999999999</v>
      </c>
      <c r="G61">
        <v>0</v>
      </c>
      <c r="H61">
        <v>0</v>
      </c>
    </row>
    <row r="62" spans="1:8" hidden="1" x14ac:dyDescent="0.25">
      <c r="A62" t="s">
        <v>2660</v>
      </c>
      <c r="B62" t="s">
        <v>333</v>
      </c>
      <c r="C62" t="s">
        <v>2586</v>
      </c>
      <c r="D62" t="s">
        <v>2595</v>
      </c>
      <c r="E62">
        <v>0</v>
      </c>
      <c r="F62">
        <v>39.423999999999999</v>
      </c>
      <c r="G62">
        <v>0</v>
      </c>
      <c r="H62">
        <v>0</v>
      </c>
    </row>
    <row r="63" spans="1:8" hidden="1" x14ac:dyDescent="0.25">
      <c r="A63" t="s">
        <v>2661</v>
      </c>
      <c r="B63" t="s">
        <v>333</v>
      </c>
      <c r="C63" t="s">
        <v>2586</v>
      </c>
      <c r="D63" t="s">
        <v>2597</v>
      </c>
      <c r="E63">
        <v>0</v>
      </c>
      <c r="F63">
        <v>39.423999999999999</v>
      </c>
      <c r="G63">
        <v>0</v>
      </c>
      <c r="H63">
        <v>0</v>
      </c>
    </row>
    <row r="64" spans="1:8" hidden="1" x14ac:dyDescent="0.25">
      <c r="A64" t="s">
        <v>2662</v>
      </c>
      <c r="B64" t="s">
        <v>333</v>
      </c>
      <c r="C64" t="s">
        <v>2586</v>
      </c>
      <c r="D64" t="s">
        <v>2599</v>
      </c>
      <c r="E64">
        <v>0</v>
      </c>
      <c r="F64">
        <v>39.423999999999999</v>
      </c>
      <c r="G64">
        <v>0</v>
      </c>
      <c r="H64">
        <v>0</v>
      </c>
    </row>
    <row r="65" spans="1:8" hidden="1" x14ac:dyDescent="0.25">
      <c r="A65" t="s">
        <v>2663</v>
      </c>
      <c r="B65" t="s">
        <v>333</v>
      </c>
      <c r="C65" t="s">
        <v>2601</v>
      </c>
      <c r="D65" t="s">
        <v>2587</v>
      </c>
      <c r="E65">
        <v>0</v>
      </c>
      <c r="F65">
        <v>985.6</v>
      </c>
      <c r="G65">
        <v>0</v>
      </c>
      <c r="H65">
        <v>0</v>
      </c>
    </row>
    <row r="66" spans="1:8" hidden="1" x14ac:dyDescent="0.25">
      <c r="A66" t="s">
        <v>2664</v>
      </c>
      <c r="B66" t="s">
        <v>333</v>
      </c>
      <c r="C66" t="s">
        <v>2601</v>
      </c>
      <c r="D66" t="s">
        <v>2589</v>
      </c>
      <c r="E66">
        <v>0</v>
      </c>
      <c r="F66">
        <v>36.96</v>
      </c>
      <c r="G66">
        <v>0</v>
      </c>
      <c r="H66">
        <v>0</v>
      </c>
    </row>
    <row r="67" spans="1:8" hidden="1" x14ac:dyDescent="0.25">
      <c r="A67" t="s">
        <v>2665</v>
      </c>
      <c r="B67" t="s">
        <v>333</v>
      </c>
      <c r="C67" t="s">
        <v>2601</v>
      </c>
      <c r="D67" t="s">
        <v>2591</v>
      </c>
      <c r="E67">
        <v>0</v>
      </c>
      <c r="F67">
        <v>36.96</v>
      </c>
      <c r="G67">
        <v>0</v>
      </c>
      <c r="H67">
        <v>0</v>
      </c>
    </row>
    <row r="68" spans="1:8" hidden="1" x14ac:dyDescent="0.25">
      <c r="A68" t="s">
        <v>2666</v>
      </c>
      <c r="B68" t="s">
        <v>333</v>
      </c>
      <c r="C68" t="s">
        <v>2601</v>
      </c>
      <c r="D68" t="s">
        <v>2593</v>
      </c>
      <c r="E68">
        <v>0</v>
      </c>
      <c r="F68">
        <v>36.96</v>
      </c>
      <c r="G68">
        <v>0</v>
      </c>
      <c r="H68">
        <v>0</v>
      </c>
    </row>
    <row r="69" spans="1:8" hidden="1" x14ac:dyDescent="0.25">
      <c r="A69" t="s">
        <v>2667</v>
      </c>
      <c r="B69" t="s">
        <v>333</v>
      </c>
      <c r="C69" t="s">
        <v>2601</v>
      </c>
      <c r="D69" t="s">
        <v>2595</v>
      </c>
      <c r="E69">
        <v>0</v>
      </c>
      <c r="F69">
        <v>36.96</v>
      </c>
      <c r="G69">
        <v>0</v>
      </c>
      <c r="H69">
        <v>0</v>
      </c>
    </row>
    <row r="70" spans="1:8" hidden="1" x14ac:dyDescent="0.25">
      <c r="A70" t="s">
        <v>2668</v>
      </c>
      <c r="B70" t="s">
        <v>333</v>
      </c>
      <c r="C70" t="s">
        <v>2601</v>
      </c>
      <c r="D70" t="s">
        <v>2597</v>
      </c>
      <c r="E70">
        <v>0</v>
      </c>
      <c r="F70">
        <v>36.96</v>
      </c>
      <c r="G70">
        <v>0</v>
      </c>
      <c r="H70">
        <v>0</v>
      </c>
    </row>
    <row r="71" spans="1:8" hidden="1" x14ac:dyDescent="0.25">
      <c r="A71" t="s">
        <v>2669</v>
      </c>
      <c r="B71" t="s">
        <v>333</v>
      </c>
      <c r="C71" t="s">
        <v>2601</v>
      </c>
      <c r="D71" t="s">
        <v>2599</v>
      </c>
      <c r="E71">
        <v>0</v>
      </c>
      <c r="F71">
        <v>36.96</v>
      </c>
      <c r="G71">
        <v>0</v>
      </c>
      <c r="H71">
        <v>0</v>
      </c>
    </row>
    <row r="72" spans="1:8" hidden="1" x14ac:dyDescent="0.25">
      <c r="A72" t="s">
        <v>2670</v>
      </c>
      <c r="B72" t="s">
        <v>333</v>
      </c>
      <c r="C72" t="s">
        <v>2609</v>
      </c>
      <c r="D72" t="s">
        <v>2587</v>
      </c>
      <c r="E72">
        <v>0</v>
      </c>
      <c r="F72">
        <v>924</v>
      </c>
      <c r="G72">
        <v>0</v>
      </c>
      <c r="H72">
        <v>0</v>
      </c>
    </row>
    <row r="73" spans="1:8" hidden="1" x14ac:dyDescent="0.25">
      <c r="A73" t="s">
        <v>2671</v>
      </c>
      <c r="B73" t="s">
        <v>333</v>
      </c>
      <c r="C73" t="s">
        <v>2609</v>
      </c>
      <c r="D73" t="s">
        <v>2589</v>
      </c>
      <c r="E73">
        <v>0</v>
      </c>
      <c r="F73">
        <v>24.64</v>
      </c>
      <c r="G73">
        <v>0</v>
      </c>
      <c r="H73">
        <v>0</v>
      </c>
    </row>
    <row r="74" spans="1:8" hidden="1" x14ac:dyDescent="0.25">
      <c r="A74" t="s">
        <v>2672</v>
      </c>
      <c r="B74" t="s">
        <v>333</v>
      </c>
      <c r="C74" t="s">
        <v>2609</v>
      </c>
      <c r="D74" t="s">
        <v>2591</v>
      </c>
      <c r="E74">
        <v>0</v>
      </c>
      <c r="F74">
        <v>24.64</v>
      </c>
      <c r="G74">
        <v>0</v>
      </c>
      <c r="H74">
        <v>0</v>
      </c>
    </row>
    <row r="75" spans="1:8" hidden="1" x14ac:dyDescent="0.25">
      <c r="A75" t="s">
        <v>2673</v>
      </c>
      <c r="B75" t="s">
        <v>333</v>
      </c>
      <c r="C75" t="s">
        <v>2609</v>
      </c>
      <c r="D75" t="s">
        <v>2593</v>
      </c>
      <c r="E75">
        <v>0</v>
      </c>
      <c r="F75">
        <v>24.64</v>
      </c>
      <c r="G75">
        <v>0</v>
      </c>
      <c r="H75">
        <v>0</v>
      </c>
    </row>
    <row r="76" spans="1:8" hidden="1" x14ac:dyDescent="0.25">
      <c r="A76" t="s">
        <v>2674</v>
      </c>
      <c r="B76" t="s">
        <v>333</v>
      </c>
      <c r="C76" t="s">
        <v>2609</v>
      </c>
      <c r="D76" t="s">
        <v>2595</v>
      </c>
      <c r="E76">
        <v>0</v>
      </c>
      <c r="F76">
        <v>24.64</v>
      </c>
      <c r="G76">
        <v>0</v>
      </c>
      <c r="H76">
        <v>0</v>
      </c>
    </row>
    <row r="77" spans="1:8" hidden="1" x14ac:dyDescent="0.25">
      <c r="A77" t="s">
        <v>2675</v>
      </c>
      <c r="B77" t="s">
        <v>333</v>
      </c>
      <c r="C77" t="s">
        <v>2609</v>
      </c>
      <c r="D77" t="s">
        <v>2597</v>
      </c>
      <c r="E77">
        <v>0</v>
      </c>
      <c r="F77">
        <v>24.64</v>
      </c>
      <c r="G77">
        <v>0</v>
      </c>
      <c r="H77">
        <v>0</v>
      </c>
    </row>
    <row r="78" spans="1:8" hidden="1" x14ac:dyDescent="0.25">
      <c r="A78" t="s">
        <v>2676</v>
      </c>
      <c r="B78" t="s">
        <v>333</v>
      </c>
      <c r="C78" t="s">
        <v>2609</v>
      </c>
      <c r="D78" t="s">
        <v>2599</v>
      </c>
      <c r="E78">
        <v>0</v>
      </c>
      <c r="F78">
        <v>24.64</v>
      </c>
      <c r="G78">
        <v>0</v>
      </c>
      <c r="H78">
        <v>0</v>
      </c>
    </row>
    <row r="79" spans="1:8" hidden="1" x14ac:dyDescent="0.25">
      <c r="A79" t="s">
        <v>2677</v>
      </c>
      <c r="B79" t="s">
        <v>333</v>
      </c>
      <c r="C79" t="s">
        <v>2617</v>
      </c>
      <c r="D79" t="s">
        <v>2587</v>
      </c>
      <c r="E79">
        <v>0</v>
      </c>
      <c r="F79">
        <v>924</v>
      </c>
      <c r="G79">
        <v>0</v>
      </c>
      <c r="H79">
        <v>0</v>
      </c>
    </row>
    <row r="80" spans="1:8" hidden="1" x14ac:dyDescent="0.25">
      <c r="A80" t="s">
        <v>2678</v>
      </c>
      <c r="B80" t="s">
        <v>333</v>
      </c>
      <c r="C80" t="s">
        <v>2617</v>
      </c>
      <c r="D80" t="s">
        <v>2589</v>
      </c>
      <c r="E80">
        <v>0</v>
      </c>
      <c r="F80">
        <v>24.64</v>
      </c>
      <c r="G80">
        <v>0</v>
      </c>
      <c r="H80">
        <v>0</v>
      </c>
    </row>
    <row r="81" spans="1:8" hidden="1" x14ac:dyDescent="0.25">
      <c r="A81" t="s">
        <v>2679</v>
      </c>
      <c r="B81" t="s">
        <v>333</v>
      </c>
      <c r="C81" t="s">
        <v>2617</v>
      </c>
      <c r="D81" t="s">
        <v>2591</v>
      </c>
      <c r="E81">
        <v>0</v>
      </c>
      <c r="F81">
        <v>24.64</v>
      </c>
      <c r="G81">
        <v>0</v>
      </c>
      <c r="H81">
        <v>0</v>
      </c>
    </row>
    <row r="82" spans="1:8" hidden="1" x14ac:dyDescent="0.25">
      <c r="A82" t="s">
        <v>2680</v>
      </c>
      <c r="B82" t="s">
        <v>333</v>
      </c>
      <c r="C82" t="s">
        <v>2617</v>
      </c>
      <c r="D82" t="s">
        <v>2593</v>
      </c>
      <c r="E82">
        <v>0</v>
      </c>
      <c r="F82">
        <v>24.64</v>
      </c>
      <c r="G82">
        <v>0</v>
      </c>
      <c r="H82">
        <v>0</v>
      </c>
    </row>
    <row r="83" spans="1:8" hidden="1" x14ac:dyDescent="0.25">
      <c r="A83" t="s">
        <v>2681</v>
      </c>
      <c r="B83" t="s">
        <v>333</v>
      </c>
      <c r="C83" t="s">
        <v>2617</v>
      </c>
      <c r="D83" t="s">
        <v>2595</v>
      </c>
      <c r="E83">
        <v>0</v>
      </c>
      <c r="F83">
        <v>24.64</v>
      </c>
      <c r="G83">
        <v>0</v>
      </c>
      <c r="H83">
        <v>0</v>
      </c>
    </row>
    <row r="84" spans="1:8" hidden="1" x14ac:dyDescent="0.25">
      <c r="A84" t="s">
        <v>2682</v>
      </c>
      <c r="B84" t="s">
        <v>333</v>
      </c>
      <c r="C84" t="s">
        <v>2617</v>
      </c>
      <c r="D84" t="s">
        <v>2597</v>
      </c>
      <c r="E84">
        <v>0</v>
      </c>
      <c r="F84">
        <v>24.64</v>
      </c>
      <c r="G84">
        <v>0</v>
      </c>
      <c r="H84">
        <v>0</v>
      </c>
    </row>
    <row r="85" spans="1:8" hidden="1" x14ac:dyDescent="0.25">
      <c r="A85" t="s">
        <v>2683</v>
      </c>
      <c r="B85" t="s">
        <v>333</v>
      </c>
      <c r="C85" t="s">
        <v>2617</v>
      </c>
      <c r="D85" t="s">
        <v>2599</v>
      </c>
      <c r="E85">
        <v>0</v>
      </c>
      <c r="F85">
        <v>24.64</v>
      </c>
      <c r="G85">
        <v>0</v>
      </c>
      <c r="H85">
        <v>0</v>
      </c>
    </row>
    <row r="86" spans="1:8" hidden="1" x14ac:dyDescent="0.25">
      <c r="A86" t="s">
        <v>2684</v>
      </c>
      <c r="B86" t="s">
        <v>333</v>
      </c>
      <c r="C86" t="s">
        <v>2625</v>
      </c>
      <c r="D86" t="s">
        <v>2587</v>
      </c>
      <c r="E86">
        <v>0</v>
      </c>
      <c r="F86">
        <v>862.4</v>
      </c>
      <c r="G86">
        <v>0</v>
      </c>
      <c r="H86">
        <v>0</v>
      </c>
    </row>
    <row r="87" spans="1:8" hidden="1" x14ac:dyDescent="0.25">
      <c r="A87" t="s">
        <v>2685</v>
      </c>
      <c r="B87" t="s">
        <v>333</v>
      </c>
      <c r="C87" t="s">
        <v>2625</v>
      </c>
      <c r="D87" t="s">
        <v>2589</v>
      </c>
      <c r="E87">
        <v>0</v>
      </c>
      <c r="F87">
        <v>22.175999999999998</v>
      </c>
      <c r="G87">
        <v>0</v>
      </c>
      <c r="H87">
        <v>0</v>
      </c>
    </row>
    <row r="88" spans="1:8" hidden="1" x14ac:dyDescent="0.25">
      <c r="A88" t="s">
        <v>2686</v>
      </c>
      <c r="B88" t="s">
        <v>333</v>
      </c>
      <c r="C88" t="s">
        <v>2625</v>
      </c>
      <c r="D88" t="s">
        <v>2591</v>
      </c>
      <c r="E88">
        <v>0</v>
      </c>
      <c r="F88">
        <v>22.175999999999998</v>
      </c>
      <c r="G88">
        <v>0</v>
      </c>
      <c r="H88">
        <v>0</v>
      </c>
    </row>
    <row r="89" spans="1:8" hidden="1" x14ac:dyDescent="0.25">
      <c r="A89" t="s">
        <v>2687</v>
      </c>
      <c r="B89" t="s">
        <v>333</v>
      </c>
      <c r="C89" t="s">
        <v>2625</v>
      </c>
      <c r="D89" t="s">
        <v>2593</v>
      </c>
      <c r="E89">
        <v>0</v>
      </c>
      <c r="F89">
        <v>22.175999999999998</v>
      </c>
      <c r="G89">
        <v>0</v>
      </c>
      <c r="H89">
        <v>0</v>
      </c>
    </row>
    <row r="90" spans="1:8" hidden="1" x14ac:dyDescent="0.25">
      <c r="A90" t="s">
        <v>2688</v>
      </c>
      <c r="B90" t="s">
        <v>333</v>
      </c>
      <c r="C90" t="s">
        <v>2625</v>
      </c>
      <c r="D90" t="s">
        <v>2595</v>
      </c>
      <c r="E90">
        <v>0</v>
      </c>
      <c r="F90">
        <v>22.175999999999998</v>
      </c>
      <c r="G90">
        <v>0</v>
      </c>
      <c r="H90">
        <v>0</v>
      </c>
    </row>
    <row r="91" spans="1:8" hidden="1" x14ac:dyDescent="0.25">
      <c r="A91" t="s">
        <v>2689</v>
      </c>
      <c r="B91" t="s">
        <v>333</v>
      </c>
      <c r="C91" t="s">
        <v>2625</v>
      </c>
      <c r="D91" t="s">
        <v>2597</v>
      </c>
      <c r="E91">
        <v>0</v>
      </c>
      <c r="F91">
        <v>22.175999999999998</v>
      </c>
      <c r="G91">
        <v>0</v>
      </c>
      <c r="H91">
        <v>0</v>
      </c>
    </row>
    <row r="92" spans="1:8" hidden="1" x14ac:dyDescent="0.25">
      <c r="A92" t="s">
        <v>2690</v>
      </c>
      <c r="B92" t="s">
        <v>333</v>
      </c>
      <c r="C92" t="s">
        <v>2625</v>
      </c>
      <c r="D92" t="s">
        <v>2599</v>
      </c>
      <c r="E92">
        <v>0</v>
      </c>
      <c r="F92">
        <v>22.175999999999998</v>
      </c>
      <c r="G92">
        <v>0</v>
      </c>
      <c r="H92">
        <v>0</v>
      </c>
    </row>
    <row r="93" spans="1:8" hidden="1" x14ac:dyDescent="0.25">
      <c r="A93" t="s">
        <v>2691</v>
      </c>
      <c r="B93" t="s">
        <v>333</v>
      </c>
      <c r="C93" t="s">
        <v>2633</v>
      </c>
      <c r="D93" t="s">
        <v>2587</v>
      </c>
      <c r="E93">
        <v>0</v>
      </c>
      <c r="F93">
        <v>985.6</v>
      </c>
      <c r="G93">
        <v>0</v>
      </c>
      <c r="H93">
        <v>0</v>
      </c>
    </row>
    <row r="94" spans="1:8" hidden="1" x14ac:dyDescent="0.25">
      <c r="A94" t="s">
        <v>2692</v>
      </c>
      <c r="B94" t="s">
        <v>333</v>
      </c>
      <c r="C94" t="s">
        <v>2633</v>
      </c>
      <c r="D94" t="s">
        <v>2589</v>
      </c>
      <c r="E94">
        <v>0</v>
      </c>
      <c r="F94">
        <v>27.103999999999999</v>
      </c>
      <c r="G94">
        <v>0</v>
      </c>
      <c r="H94">
        <v>0</v>
      </c>
    </row>
    <row r="95" spans="1:8" hidden="1" x14ac:dyDescent="0.25">
      <c r="A95" t="s">
        <v>2693</v>
      </c>
      <c r="B95" t="s">
        <v>333</v>
      </c>
      <c r="C95" t="s">
        <v>2633</v>
      </c>
      <c r="D95" t="s">
        <v>2591</v>
      </c>
      <c r="E95">
        <v>0</v>
      </c>
      <c r="F95">
        <v>27.103999999999999</v>
      </c>
      <c r="G95">
        <v>0</v>
      </c>
      <c r="H95">
        <v>0</v>
      </c>
    </row>
    <row r="96" spans="1:8" hidden="1" x14ac:dyDescent="0.25">
      <c r="A96" t="s">
        <v>2694</v>
      </c>
      <c r="B96" t="s">
        <v>333</v>
      </c>
      <c r="C96" t="s">
        <v>2633</v>
      </c>
      <c r="D96" t="s">
        <v>2593</v>
      </c>
      <c r="E96">
        <v>0</v>
      </c>
      <c r="F96">
        <v>27.103999999999999</v>
      </c>
      <c r="G96">
        <v>0</v>
      </c>
      <c r="H96">
        <v>0</v>
      </c>
    </row>
    <row r="97" spans="1:8" hidden="1" x14ac:dyDescent="0.25">
      <c r="A97" t="s">
        <v>2695</v>
      </c>
      <c r="B97" t="s">
        <v>333</v>
      </c>
      <c r="C97" t="s">
        <v>2633</v>
      </c>
      <c r="D97" t="s">
        <v>2595</v>
      </c>
      <c r="E97">
        <v>0</v>
      </c>
      <c r="F97">
        <v>27.103999999999999</v>
      </c>
      <c r="G97">
        <v>0</v>
      </c>
      <c r="H97">
        <v>0</v>
      </c>
    </row>
    <row r="98" spans="1:8" hidden="1" x14ac:dyDescent="0.25">
      <c r="A98" t="s">
        <v>2696</v>
      </c>
      <c r="B98" t="s">
        <v>333</v>
      </c>
      <c r="C98" t="s">
        <v>2633</v>
      </c>
      <c r="D98" t="s">
        <v>2597</v>
      </c>
      <c r="E98">
        <v>0</v>
      </c>
      <c r="F98">
        <v>27.103999999999999</v>
      </c>
      <c r="G98">
        <v>0</v>
      </c>
      <c r="H98">
        <v>0</v>
      </c>
    </row>
    <row r="99" spans="1:8" hidden="1" x14ac:dyDescent="0.25">
      <c r="A99" t="s">
        <v>2697</v>
      </c>
      <c r="B99" t="s">
        <v>333</v>
      </c>
      <c r="C99" t="s">
        <v>2633</v>
      </c>
      <c r="D99" t="s">
        <v>2599</v>
      </c>
      <c r="E99">
        <v>0</v>
      </c>
      <c r="F99">
        <v>27.103999999999999</v>
      </c>
      <c r="G99">
        <v>0</v>
      </c>
      <c r="H99">
        <v>0</v>
      </c>
    </row>
    <row r="100" spans="1:8" hidden="1" x14ac:dyDescent="0.25">
      <c r="A100" t="s">
        <v>2698</v>
      </c>
      <c r="B100" t="s">
        <v>333</v>
      </c>
      <c r="C100" t="s">
        <v>2641</v>
      </c>
      <c r="D100" t="s">
        <v>2587</v>
      </c>
      <c r="E100">
        <v>0</v>
      </c>
      <c r="F100">
        <v>862.4</v>
      </c>
      <c r="G100">
        <v>0</v>
      </c>
      <c r="H100">
        <v>0</v>
      </c>
    </row>
    <row r="101" spans="1:8" hidden="1" x14ac:dyDescent="0.25">
      <c r="A101" t="s">
        <v>2699</v>
      </c>
      <c r="B101" t="s">
        <v>333</v>
      </c>
      <c r="C101" t="s">
        <v>2641</v>
      </c>
      <c r="D101" t="s">
        <v>2589</v>
      </c>
      <c r="E101">
        <v>0</v>
      </c>
      <c r="F101">
        <v>19.712</v>
      </c>
      <c r="G101">
        <v>0</v>
      </c>
      <c r="H101">
        <v>0</v>
      </c>
    </row>
    <row r="102" spans="1:8" hidden="1" x14ac:dyDescent="0.25">
      <c r="A102" t="s">
        <v>2700</v>
      </c>
      <c r="B102" t="s">
        <v>333</v>
      </c>
      <c r="C102" t="s">
        <v>2641</v>
      </c>
      <c r="D102" t="s">
        <v>2591</v>
      </c>
      <c r="E102">
        <v>0</v>
      </c>
      <c r="F102">
        <v>19.712</v>
      </c>
      <c r="G102">
        <v>0</v>
      </c>
      <c r="H102">
        <v>0</v>
      </c>
    </row>
    <row r="103" spans="1:8" hidden="1" x14ac:dyDescent="0.25">
      <c r="A103" t="s">
        <v>2701</v>
      </c>
      <c r="B103" t="s">
        <v>333</v>
      </c>
      <c r="C103" t="s">
        <v>2641</v>
      </c>
      <c r="D103" t="s">
        <v>2593</v>
      </c>
      <c r="E103">
        <v>0</v>
      </c>
      <c r="F103">
        <v>19.712</v>
      </c>
      <c r="G103">
        <v>0</v>
      </c>
      <c r="H103">
        <v>0</v>
      </c>
    </row>
    <row r="104" spans="1:8" hidden="1" x14ac:dyDescent="0.25">
      <c r="A104" t="s">
        <v>2702</v>
      </c>
      <c r="B104" t="s">
        <v>333</v>
      </c>
      <c r="C104" t="s">
        <v>2641</v>
      </c>
      <c r="D104" t="s">
        <v>2595</v>
      </c>
      <c r="E104">
        <v>0</v>
      </c>
      <c r="F104">
        <v>19.712</v>
      </c>
      <c r="G104">
        <v>0</v>
      </c>
      <c r="H104">
        <v>0</v>
      </c>
    </row>
    <row r="105" spans="1:8" hidden="1" x14ac:dyDescent="0.25">
      <c r="A105" t="s">
        <v>2703</v>
      </c>
      <c r="B105" t="s">
        <v>333</v>
      </c>
      <c r="C105" t="s">
        <v>2641</v>
      </c>
      <c r="D105" t="s">
        <v>2597</v>
      </c>
      <c r="E105">
        <v>0</v>
      </c>
      <c r="F105">
        <v>19.712</v>
      </c>
      <c r="G105">
        <v>0</v>
      </c>
      <c r="H105">
        <v>0</v>
      </c>
    </row>
    <row r="106" spans="1:8" hidden="1" x14ac:dyDescent="0.25">
      <c r="A106" t="s">
        <v>2704</v>
      </c>
      <c r="B106" t="s">
        <v>333</v>
      </c>
      <c r="C106" t="s">
        <v>2641</v>
      </c>
      <c r="D106" t="s">
        <v>2599</v>
      </c>
      <c r="E106">
        <v>0</v>
      </c>
      <c r="F106">
        <v>19.712</v>
      </c>
      <c r="G106">
        <v>0</v>
      </c>
      <c r="H106">
        <v>0</v>
      </c>
    </row>
    <row r="107" spans="1:8" hidden="1" x14ac:dyDescent="0.25">
      <c r="A107" t="s">
        <v>2705</v>
      </c>
      <c r="B107" t="s">
        <v>333</v>
      </c>
      <c r="C107" t="s">
        <v>2649</v>
      </c>
      <c r="D107" t="s">
        <v>2587</v>
      </c>
      <c r="E107">
        <v>0</v>
      </c>
      <c r="F107">
        <v>985.6</v>
      </c>
      <c r="G107">
        <v>0</v>
      </c>
      <c r="H107">
        <v>0</v>
      </c>
    </row>
    <row r="108" spans="1:8" hidden="1" x14ac:dyDescent="0.25">
      <c r="A108" t="s">
        <v>2706</v>
      </c>
      <c r="B108" t="s">
        <v>333</v>
      </c>
      <c r="C108" t="s">
        <v>2649</v>
      </c>
      <c r="D108" t="s">
        <v>2589</v>
      </c>
      <c r="E108">
        <v>0</v>
      </c>
      <c r="F108">
        <v>29.568000000000001</v>
      </c>
      <c r="G108">
        <v>0</v>
      </c>
      <c r="H108">
        <v>0</v>
      </c>
    </row>
    <row r="109" spans="1:8" hidden="1" x14ac:dyDescent="0.25">
      <c r="A109" t="s">
        <v>2707</v>
      </c>
      <c r="B109" t="s">
        <v>333</v>
      </c>
      <c r="C109" t="s">
        <v>2649</v>
      </c>
      <c r="D109" t="s">
        <v>2591</v>
      </c>
      <c r="E109">
        <v>0</v>
      </c>
      <c r="F109">
        <v>29.568000000000001</v>
      </c>
      <c r="G109">
        <v>0</v>
      </c>
      <c r="H109">
        <v>0</v>
      </c>
    </row>
    <row r="110" spans="1:8" hidden="1" x14ac:dyDescent="0.25">
      <c r="A110" t="s">
        <v>2708</v>
      </c>
      <c r="B110" t="s">
        <v>333</v>
      </c>
      <c r="C110" t="s">
        <v>2649</v>
      </c>
      <c r="D110" t="s">
        <v>2593</v>
      </c>
      <c r="E110">
        <v>0</v>
      </c>
      <c r="F110">
        <v>29.568000000000001</v>
      </c>
      <c r="G110">
        <v>0</v>
      </c>
      <c r="H110">
        <v>0</v>
      </c>
    </row>
    <row r="111" spans="1:8" hidden="1" x14ac:dyDescent="0.25">
      <c r="A111" t="s">
        <v>2709</v>
      </c>
      <c r="B111" t="s">
        <v>333</v>
      </c>
      <c r="C111" t="s">
        <v>2649</v>
      </c>
      <c r="D111" t="s">
        <v>2595</v>
      </c>
      <c r="E111">
        <v>0</v>
      </c>
      <c r="F111">
        <v>29.568000000000001</v>
      </c>
      <c r="G111">
        <v>0</v>
      </c>
      <c r="H111">
        <v>0</v>
      </c>
    </row>
    <row r="112" spans="1:8" hidden="1" x14ac:dyDescent="0.25">
      <c r="A112" t="s">
        <v>2710</v>
      </c>
      <c r="B112" t="s">
        <v>333</v>
      </c>
      <c r="C112" t="s">
        <v>2649</v>
      </c>
      <c r="D112" t="s">
        <v>2597</v>
      </c>
      <c r="E112">
        <v>0</v>
      </c>
      <c r="F112">
        <v>29.568000000000001</v>
      </c>
      <c r="G112">
        <v>0</v>
      </c>
      <c r="H112">
        <v>0</v>
      </c>
    </row>
    <row r="113" spans="1:8" hidden="1" x14ac:dyDescent="0.25">
      <c r="A113" t="s">
        <v>2711</v>
      </c>
      <c r="B113" t="s">
        <v>333</v>
      </c>
      <c r="C113" t="s">
        <v>2649</v>
      </c>
      <c r="D113" t="s">
        <v>2599</v>
      </c>
      <c r="E113">
        <v>0</v>
      </c>
      <c r="F113">
        <v>29.568000000000001</v>
      </c>
      <c r="G113">
        <v>0</v>
      </c>
      <c r="H113">
        <v>0</v>
      </c>
    </row>
    <row r="114" spans="1:8" hidden="1" x14ac:dyDescent="0.25">
      <c r="A114" t="s">
        <v>2712</v>
      </c>
      <c r="B114" t="s">
        <v>639</v>
      </c>
      <c r="C114" t="s">
        <v>2713</v>
      </c>
      <c r="D114" t="s">
        <v>2587</v>
      </c>
      <c r="E114">
        <v>0</v>
      </c>
      <c r="F114">
        <v>0</v>
      </c>
      <c r="G114">
        <v>0</v>
      </c>
      <c r="H114">
        <v>869</v>
      </c>
    </row>
    <row r="115" spans="1:8" hidden="1" x14ac:dyDescent="0.25">
      <c r="A115" t="s">
        <v>2714</v>
      </c>
      <c r="B115" t="s">
        <v>639</v>
      </c>
      <c r="C115" t="s">
        <v>2713</v>
      </c>
      <c r="D115" t="s">
        <v>2589</v>
      </c>
      <c r="E115">
        <v>0</v>
      </c>
      <c r="F115">
        <v>0</v>
      </c>
      <c r="G115">
        <v>0</v>
      </c>
      <c r="H115">
        <v>29.942</v>
      </c>
    </row>
    <row r="116" spans="1:8" hidden="1" x14ac:dyDescent="0.25">
      <c r="A116" t="s">
        <v>2715</v>
      </c>
      <c r="B116" t="s">
        <v>639</v>
      </c>
      <c r="C116" t="s">
        <v>2713</v>
      </c>
      <c r="D116" t="s">
        <v>2591</v>
      </c>
      <c r="E116">
        <v>0</v>
      </c>
      <c r="F116">
        <v>0</v>
      </c>
      <c r="G116">
        <v>0</v>
      </c>
      <c r="H116">
        <v>13.541</v>
      </c>
    </row>
    <row r="117" spans="1:8" hidden="1" x14ac:dyDescent="0.25">
      <c r="A117" t="s">
        <v>2716</v>
      </c>
      <c r="B117" t="s">
        <v>639</v>
      </c>
      <c r="C117" t="s">
        <v>2713</v>
      </c>
      <c r="D117" t="s">
        <v>2593</v>
      </c>
      <c r="E117">
        <v>0</v>
      </c>
      <c r="F117">
        <v>0</v>
      </c>
      <c r="G117">
        <v>0</v>
      </c>
      <c r="H117">
        <v>18.457999999999998</v>
      </c>
    </row>
    <row r="118" spans="1:8" hidden="1" x14ac:dyDescent="0.25">
      <c r="A118" t="s">
        <v>2717</v>
      </c>
      <c r="B118" t="s">
        <v>639</v>
      </c>
      <c r="C118" t="s">
        <v>2713</v>
      </c>
      <c r="D118" t="s">
        <v>2595</v>
      </c>
      <c r="E118">
        <v>0</v>
      </c>
      <c r="F118">
        <v>0</v>
      </c>
      <c r="G118">
        <v>0</v>
      </c>
      <c r="H118">
        <v>13.541</v>
      </c>
    </row>
    <row r="119" spans="1:8" hidden="1" x14ac:dyDescent="0.25">
      <c r="A119" t="s">
        <v>2718</v>
      </c>
      <c r="B119" t="s">
        <v>639</v>
      </c>
      <c r="C119" t="s">
        <v>2713</v>
      </c>
      <c r="D119" t="s">
        <v>2597</v>
      </c>
      <c r="E119">
        <v>0</v>
      </c>
      <c r="F119">
        <v>0</v>
      </c>
      <c r="G119">
        <v>0</v>
      </c>
      <c r="H119">
        <v>13.541</v>
      </c>
    </row>
    <row r="120" spans="1:8" hidden="1" x14ac:dyDescent="0.25">
      <c r="A120" t="s">
        <v>2719</v>
      </c>
      <c r="B120" t="s">
        <v>639</v>
      </c>
      <c r="C120" t="s">
        <v>2713</v>
      </c>
      <c r="D120" t="s">
        <v>2599</v>
      </c>
      <c r="E120">
        <v>0</v>
      </c>
      <c r="F120">
        <v>0</v>
      </c>
      <c r="G120">
        <v>0</v>
      </c>
      <c r="H120">
        <v>13.541</v>
      </c>
    </row>
    <row r="121" spans="1:8" hidden="1" x14ac:dyDescent="0.25">
      <c r="A121" t="s">
        <v>2720</v>
      </c>
      <c r="B121" t="s">
        <v>639</v>
      </c>
      <c r="C121" t="s">
        <v>2721</v>
      </c>
      <c r="D121" t="s">
        <v>2587</v>
      </c>
      <c r="E121">
        <v>0</v>
      </c>
      <c r="F121">
        <v>0</v>
      </c>
      <c r="G121">
        <v>0</v>
      </c>
      <c r="H121">
        <v>759</v>
      </c>
    </row>
    <row r="122" spans="1:8" hidden="1" x14ac:dyDescent="0.25">
      <c r="A122" t="s">
        <v>2722</v>
      </c>
      <c r="B122" t="s">
        <v>639</v>
      </c>
      <c r="C122" t="s">
        <v>2721</v>
      </c>
      <c r="D122" t="s">
        <v>2589</v>
      </c>
      <c r="E122">
        <v>0</v>
      </c>
      <c r="F122">
        <v>0</v>
      </c>
      <c r="G122">
        <v>0</v>
      </c>
      <c r="H122">
        <v>26.664000000000001</v>
      </c>
    </row>
    <row r="123" spans="1:8" hidden="1" x14ac:dyDescent="0.25">
      <c r="A123" t="s">
        <v>2723</v>
      </c>
      <c r="B123" t="s">
        <v>639</v>
      </c>
      <c r="C123" t="s">
        <v>2721</v>
      </c>
      <c r="D123" t="s">
        <v>2591</v>
      </c>
      <c r="E123">
        <v>0</v>
      </c>
      <c r="F123">
        <v>0</v>
      </c>
      <c r="G123">
        <v>0</v>
      </c>
      <c r="H123">
        <v>12.308999999999999</v>
      </c>
    </row>
    <row r="124" spans="1:8" hidden="1" x14ac:dyDescent="0.25">
      <c r="A124" t="s">
        <v>2724</v>
      </c>
      <c r="B124" t="s">
        <v>639</v>
      </c>
      <c r="C124" t="s">
        <v>2721</v>
      </c>
      <c r="D124" t="s">
        <v>2593</v>
      </c>
      <c r="E124">
        <v>0</v>
      </c>
      <c r="F124">
        <v>0</v>
      </c>
      <c r="G124">
        <v>0</v>
      </c>
      <c r="H124">
        <v>16.489000000000001</v>
      </c>
    </row>
    <row r="125" spans="1:8" hidden="1" x14ac:dyDescent="0.25">
      <c r="A125" t="s">
        <v>2725</v>
      </c>
      <c r="B125" t="s">
        <v>639</v>
      </c>
      <c r="C125" t="s">
        <v>2721</v>
      </c>
      <c r="D125" t="s">
        <v>2595</v>
      </c>
      <c r="E125">
        <v>0</v>
      </c>
      <c r="F125">
        <v>0</v>
      </c>
      <c r="G125">
        <v>0</v>
      </c>
      <c r="H125">
        <v>12.308999999999999</v>
      </c>
    </row>
    <row r="126" spans="1:8" hidden="1" x14ac:dyDescent="0.25">
      <c r="A126" t="s">
        <v>2726</v>
      </c>
      <c r="B126" t="s">
        <v>639</v>
      </c>
      <c r="C126" t="s">
        <v>2721</v>
      </c>
      <c r="D126" t="s">
        <v>2597</v>
      </c>
      <c r="E126">
        <v>0</v>
      </c>
      <c r="F126">
        <v>0</v>
      </c>
      <c r="G126">
        <v>0</v>
      </c>
      <c r="H126">
        <v>12.308999999999999</v>
      </c>
    </row>
    <row r="127" spans="1:8" hidden="1" x14ac:dyDescent="0.25">
      <c r="A127" t="s">
        <v>2727</v>
      </c>
      <c r="B127" t="s">
        <v>639</v>
      </c>
      <c r="C127" t="s">
        <v>2721</v>
      </c>
      <c r="D127" t="s">
        <v>2599</v>
      </c>
      <c r="E127">
        <v>0</v>
      </c>
      <c r="F127">
        <v>0</v>
      </c>
      <c r="G127">
        <v>0</v>
      </c>
      <c r="H127">
        <v>12.308999999999999</v>
      </c>
    </row>
    <row r="128" spans="1:8" hidden="1" x14ac:dyDescent="0.25">
      <c r="A128" t="s">
        <v>2728</v>
      </c>
      <c r="B128" t="s">
        <v>639</v>
      </c>
      <c r="C128" t="s">
        <v>2729</v>
      </c>
      <c r="D128" t="s">
        <v>2587</v>
      </c>
      <c r="E128">
        <v>0</v>
      </c>
      <c r="F128">
        <v>0</v>
      </c>
      <c r="G128">
        <v>0</v>
      </c>
      <c r="H128">
        <v>979</v>
      </c>
    </row>
    <row r="129" spans="1:8" hidden="1" x14ac:dyDescent="0.25">
      <c r="A129" t="s">
        <v>2730</v>
      </c>
      <c r="B129" t="s">
        <v>639</v>
      </c>
      <c r="C129" t="s">
        <v>2729</v>
      </c>
      <c r="D129" t="s">
        <v>2589</v>
      </c>
      <c r="E129">
        <v>0</v>
      </c>
      <c r="F129">
        <v>0</v>
      </c>
      <c r="G129">
        <v>0</v>
      </c>
      <c r="H129">
        <v>33.231000000000002</v>
      </c>
    </row>
    <row r="130" spans="1:8" hidden="1" x14ac:dyDescent="0.25">
      <c r="A130" t="s">
        <v>2731</v>
      </c>
      <c r="B130" t="s">
        <v>639</v>
      </c>
      <c r="C130" t="s">
        <v>2729</v>
      </c>
      <c r="D130" t="s">
        <v>2591</v>
      </c>
      <c r="E130">
        <v>0</v>
      </c>
      <c r="F130">
        <v>0</v>
      </c>
      <c r="G130">
        <v>0</v>
      </c>
      <c r="H130">
        <v>15.388999999999999</v>
      </c>
    </row>
    <row r="131" spans="1:8" hidden="1" x14ac:dyDescent="0.25">
      <c r="A131" t="s">
        <v>2732</v>
      </c>
      <c r="B131" t="s">
        <v>639</v>
      </c>
      <c r="C131" t="s">
        <v>2729</v>
      </c>
      <c r="D131" t="s">
        <v>2593</v>
      </c>
      <c r="E131">
        <v>0</v>
      </c>
      <c r="F131">
        <v>0</v>
      </c>
      <c r="G131">
        <v>0</v>
      </c>
      <c r="H131">
        <v>20.427</v>
      </c>
    </row>
    <row r="132" spans="1:8" hidden="1" x14ac:dyDescent="0.25">
      <c r="A132" t="s">
        <v>2733</v>
      </c>
      <c r="B132" t="s">
        <v>639</v>
      </c>
      <c r="C132" t="s">
        <v>2729</v>
      </c>
      <c r="D132" t="s">
        <v>2595</v>
      </c>
      <c r="E132">
        <v>0</v>
      </c>
      <c r="F132">
        <v>0</v>
      </c>
      <c r="G132">
        <v>0</v>
      </c>
      <c r="H132">
        <v>15.388999999999999</v>
      </c>
    </row>
    <row r="133" spans="1:8" hidden="1" x14ac:dyDescent="0.25">
      <c r="A133" t="s">
        <v>2734</v>
      </c>
      <c r="B133" t="s">
        <v>639</v>
      </c>
      <c r="C133" t="s">
        <v>2729</v>
      </c>
      <c r="D133" t="s">
        <v>2597</v>
      </c>
      <c r="E133">
        <v>0</v>
      </c>
      <c r="F133">
        <v>0</v>
      </c>
      <c r="G133">
        <v>0</v>
      </c>
      <c r="H133">
        <v>15.388999999999999</v>
      </c>
    </row>
    <row r="134" spans="1:8" hidden="1" x14ac:dyDescent="0.25">
      <c r="A134" t="s">
        <v>2735</v>
      </c>
      <c r="B134" t="s">
        <v>639</v>
      </c>
      <c r="C134" t="s">
        <v>2729</v>
      </c>
      <c r="D134" t="s">
        <v>2599</v>
      </c>
      <c r="E134">
        <v>0</v>
      </c>
      <c r="F134">
        <v>0</v>
      </c>
      <c r="G134">
        <v>0</v>
      </c>
      <c r="H134">
        <v>15.388999999999999</v>
      </c>
    </row>
    <row r="135" spans="1:8" hidden="1" x14ac:dyDescent="0.25">
      <c r="A135" t="s">
        <v>2736</v>
      </c>
      <c r="B135" t="s">
        <v>639</v>
      </c>
      <c r="C135" t="s">
        <v>2737</v>
      </c>
      <c r="D135" t="s">
        <v>2587</v>
      </c>
      <c r="E135">
        <v>0</v>
      </c>
      <c r="F135">
        <v>0</v>
      </c>
      <c r="G135">
        <v>0</v>
      </c>
      <c r="H135">
        <v>1209</v>
      </c>
    </row>
    <row r="136" spans="1:8" hidden="1" x14ac:dyDescent="0.25">
      <c r="A136" t="s">
        <v>2738</v>
      </c>
      <c r="B136" t="s">
        <v>639</v>
      </c>
      <c r="C136" t="s">
        <v>2737</v>
      </c>
      <c r="D136" t="s">
        <v>2589</v>
      </c>
      <c r="E136">
        <v>0</v>
      </c>
      <c r="F136">
        <v>0</v>
      </c>
      <c r="G136">
        <v>0</v>
      </c>
      <c r="H136">
        <v>41.448</v>
      </c>
    </row>
    <row r="137" spans="1:8" hidden="1" x14ac:dyDescent="0.25">
      <c r="A137" t="s">
        <v>2739</v>
      </c>
      <c r="B137" t="s">
        <v>639</v>
      </c>
      <c r="C137" t="s">
        <v>2737</v>
      </c>
      <c r="D137" t="s">
        <v>2591</v>
      </c>
      <c r="E137">
        <v>0</v>
      </c>
      <c r="F137">
        <v>0</v>
      </c>
      <c r="G137">
        <v>0</v>
      </c>
      <c r="H137">
        <v>19.085000000000001</v>
      </c>
    </row>
    <row r="138" spans="1:8" hidden="1" x14ac:dyDescent="0.25">
      <c r="A138" t="s">
        <v>2740</v>
      </c>
      <c r="B138" t="s">
        <v>639</v>
      </c>
      <c r="C138" t="s">
        <v>2737</v>
      </c>
      <c r="D138" t="s">
        <v>2593</v>
      </c>
      <c r="E138">
        <v>0</v>
      </c>
      <c r="F138">
        <v>0</v>
      </c>
      <c r="G138">
        <v>0</v>
      </c>
      <c r="H138">
        <v>25.355</v>
      </c>
    </row>
    <row r="139" spans="1:8" hidden="1" x14ac:dyDescent="0.25">
      <c r="A139" t="s">
        <v>2741</v>
      </c>
      <c r="B139" t="s">
        <v>639</v>
      </c>
      <c r="C139" t="s">
        <v>2737</v>
      </c>
      <c r="D139" t="s">
        <v>2595</v>
      </c>
      <c r="E139">
        <v>0</v>
      </c>
      <c r="F139">
        <v>0</v>
      </c>
      <c r="G139">
        <v>0</v>
      </c>
      <c r="H139">
        <v>19.085000000000001</v>
      </c>
    </row>
    <row r="140" spans="1:8" hidden="1" x14ac:dyDescent="0.25">
      <c r="A140" t="s">
        <v>2742</v>
      </c>
      <c r="B140" t="s">
        <v>639</v>
      </c>
      <c r="C140" t="s">
        <v>2737</v>
      </c>
      <c r="D140" t="s">
        <v>2597</v>
      </c>
      <c r="E140">
        <v>0</v>
      </c>
      <c r="F140">
        <v>0</v>
      </c>
      <c r="G140">
        <v>0</v>
      </c>
      <c r="H140">
        <v>19.085000000000001</v>
      </c>
    </row>
    <row r="141" spans="1:8" hidden="1" x14ac:dyDescent="0.25">
      <c r="A141" t="s">
        <v>2743</v>
      </c>
      <c r="B141" t="s">
        <v>639</v>
      </c>
      <c r="C141" t="s">
        <v>2737</v>
      </c>
      <c r="D141" t="s">
        <v>2599</v>
      </c>
      <c r="E141">
        <v>0</v>
      </c>
      <c r="F141">
        <v>0</v>
      </c>
      <c r="G141">
        <v>0</v>
      </c>
      <c r="H141">
        <v>19.085000000000001</v>
      </c>
    </row>
    <row r="142" spans="1:8" hidden="1" x14ac:dyDescent="0.25">
      <c r="A142" t="s">
        <v>2744</v>
      </c>
      <c r="B142" t="s">
        <v>639</v>
      </c>
      <c r="C142" t="s">
        <v>2586</v>
      </c>
      <c r="D142" t="s">
        <v>2587</v>
      </c>
      <c r="E142">
        <v>0</v>
      </c>
      <c r="F142">
        <v>0</v>
      </c>
      <c r="G142">
        <v>0</v>
      </c>
      <c r="H142">
        <v>1484</v>
      </c>
    </row>
    <row r="143" spans="1:8" hidden="1" x14ac:dyDescent="0.25">
      <c r="A143" t="s">
        <v>2745</v>
      </c>
      <c r="B143" t="s">
        <v>639</v>
      </c>
      <c r="C143" t="s">
        <v>2586</v>
      </c>
      <c r="D143" t="s">
        <v>2589</v>
      </c>
      <c r="E143">
        <v>0</v>
      </c>
      <c r="F143">
        <v>0</v>
      </c>
      <c r="G143">
        <v>0</v>
      </c>
      <c r="H143">
        <v>49.654000000000003</v>
      </c>
    </row>
    <row r="144" spans="1:8" hidden="1" x14ac:dyDescent="0.25">
      <c r="A144" t="s">
        <v>2746</v>
      </c>
      <c r="B144" t="s">
        <v>639</v>
      </c>
      <c r="C144" t="s">
        <v>2586</v>
      </c>
      <c r="D144" t="s">
        <v>2591</v>
      </c>
      <c r="E144">
        <v>0</v>
      </c>
      <c r="F144">
        <v>0</v>
      </c>
      <c r="G144">
        <v>0</v>
      </c>
      <c r="H144">
        <v>22.164999999999999</v>
      </c>
    </row>
    <row r="145" spans="1:8" hidden="1" x14ac:dyDescent="0.25">
      <c r="A145" t="s">
        <v>2747</v>
      </c>
      <c r="B145" t="s">
        <v>639</v>
      </c>
      <c r="C145" t="s">
        <v>2586</v>
      </c>
      <c r="D145" t="s">
        <v>2593</v>
      </c>
      <c r="E145">
        <v>0</v>
      </c>
      <c r="F145">
        <v>0</v>
      </c>
      <c r="G145">
        <v>0</v>
      </c>
      <c r="H145">
        <v>30.283000000000001</v>
      </c>
    </row>
    <row r="146" spans="1:8" hidden="1" x14ac:dyDescent="0.25">
      <c r="A146" t="s">
        <v>2748</v>
      </c>
      <c r="B146" t="s">
        <v>639</v>
      </c>
      <c r="C146" t="s">
        <v>2586</v>
      </c>
      <c r="D146" t="s">
        <v>2595</v>
      </c>
      <c r="E146">
        <v>0</v>
      </c>
      <c r="F146">
        <v>0</v>
      </c>
      <c r="G146">
        <v>0</v>
      </c>
      <c r="H146">
        <v>22.164999999999999</v>
      </c>
    </row>
    <row r="147" spans="1:8" hidden="1" x14ac:dyDescent="0.25">
      <c r="A147" t="s">
        <v>2749</v>
      </c>
      <c r="B147" t="s">
        <v>639</v>
      </c>
      <c r="C147" t="s">
        <v>2586</v>
      </c>
      <c r="D147" t="s">
        <v>2597</v>
      </c>
      <c r="E147">
        <v>0</v>
      </c>
      <c r="F147">
        <v>0</v>
      </c>
      <c r="G147">
        <v>0</v>
      </c>
      <c r="H147">
        <v>22.164999999999999</v>
      </c>
    </row>
    <row r="148" spans="1:8" hidden="1" x14ac:dyDescent="0.25">
      <c r="A148" t="s">
        <v>2750</v>
      </c>
      <c r="B148" t="s">
        <v>639</v>
      </c>
      <c r="C148" t="s">
        <v>2586</v>
      </c>
      <c r="D148" t="s">
        <v>2599</v>
      </c>
      <c r="E148">
        <v>0</v>
      </c>
      <c r="F148">
        <v>0</v>
      </c>
      <c r="G148">
        <v>0</v>
      </c>
      <c r="H148">
        <v>22.164999999999999</v>
      </c>
    </row>
    <row r="149" spans="1:8" hidden="1" x14ac:dyDescent="0.25">
      <c r="A149" t="s">
        <v>2751</v>
      </c>
      <c r="B149" t="s">
        <v>639</v>
      </c>
      <c r="C149" t="s">
        <v>2601</v>
      </c>
      <c r="D149" t="s">
        <v>2587</v>
      </c>
      <c r="E149">
        <v>0</v>
      </c>
      <c r="F149">
        <v>0</v>
      </c>
      <c r="G149">
        <v>0</v>
      </c>
      <c r="H149">
        <v>1814</v>
      </c>
    </row>
    <row r="150" spans="1:8" hidden="1" x14ac:dyDescent="0.25">
      <c r="A150" t="s">
        <v>2752</v>
      </c>
      <c r="B150" t="s">
        <v>639</v>
      </c>
      <c r="C150" t="s">
        <v>2601</v>
      </c>
      <c r="D150" t="s">
        <v>2589</v>
      </c>
      <c r="E150">
        <v>0</v>
      </c>
      <c r="F150">
        <v>0</v>
      </c>
      <c r="G150">
        <v>0</v>
      </c>
      <c r="H150">
        <v>51.622999999999998</v>
      </c>
    </row>
    <row r="151" spans="1:8" hidden="1" x14ac:dyDescent="0.25">
      <c r="A151" t="s">
        <v>2753</v>
      </c>
      <c r="B151" t="s">
        <v>639</v>
      </c>
      <c r="C151" t="s">
        <v>2601</v>
      </c>
      <c r="D151" t="s">
        <v>2591</v>
      </c>
      <c r="E151">
        <v>0</v>
      </c>
      <c r="F151">
        <v>0</v>
      </c>
      <c r="G151">
        <v>0</v>
      </c>
      <c r="H151">
        <v>24.145</v>
      </c>
    </row>
    <row r="152" spans="1:8" hidden="1" x14ac:dyDescent="0.25">
      <c r="A152" t="s">
        <v>2754</v>
      </c>
      <c r="B152" t="s">
        <v>639</v>
      </c>
      <c r="C152" t="s">
        <v>2601</v>
      </c>
      <c r="D152" t="s">
        <v>2593</v>
      </c>
      <c r="E152">
        <v>0</v>
      </c>
      <c r="F152">
        <v>0</v>
      </c>
      <c r="G152">
        <v>0</v>
      </c>
      <c r="H152">
        <v>31.416</v>
      </c>
    </row>
    <row r="153" spans="1:8" hidden="1" x14ac:dyDescent="0.25">
      <c r="A153" t="s">
        <v>2755</v>
      </c>
      <c r="B153" t="s">
        <v>639</v>
      </c>
      <c r="C153" t="s">
        <v>2601</v>
      </c>
      <c r="D153" t="s">
        <v>2595</v>
      </c>
      <c r="E153">
        <v>0</v>
      </c>
      <c r="F153">
        <v>0</v>
      </c>
      <c r="G153">
        <v>0</v>
      </c>
      <c r="H153">
        <v>24.145</v>
      </c>
    </row>
    <row r="154" spans="1:8" hidden="1" x14ac:dyDescent="0.25">
      <c r="A154" t="s">
        <v>2756</v>
      </c>
      <c r="B154" t="s">
        <v>639</v>
      </c>
      <c r="C154" t="s">
        <v>2601</v>
      </c>
      <c r="D154" t="s">
        <v>2597</v>
      </c>
      <c r="E154">
        <v>0</v>
      </c>
      <c r="F154">
        <v>0</v>
      </c>
      <c r="G154">
        <v>0</v>
      </c>
      <c r="H154">
        <v>24.145</v>
      </c>
    </row>
    <row r="155" spans="1:8" hidden="1" x14ac:dyDescent="0.25">
      <c r="A155" t="s">
        <v>2757</v>
      </c>
      <c r="B155" t="s">
        <v>639</v>
      </c>
      <c r="C155" t="s">
        <v>2601</v>
      </c>
      <c r="D155" t="s">
        <v>2599</v>
      </c>
      <c r="E155">
        <v>0</v>
      </c>
      <c r="F155">
        <v>0</v>
      </c>
      <c r="G155">
        <v>0</v>
      </c>
      <c r="H155">
        <v>24.145</v>
      </c>
    </row>
    <row r="156" spans="1:8" hidden="1" x14ac:dyDescent="0.25">
      <c r="A156" t="s">
        <v>2758</v>
      </c>
      <c r="B156" t="s">
        <v>639</v>
      </c>
      <c r="C156" t="s">
        <v>2609</v>
      </c>
      <c r="D156" t="s">
        <v>2587</v>
      </c>
      <c r="E156">
        <v>0</v>
      </c>
      <c r="F156">
        <v>0</v>
      </c>
      <c r="G156">
        <v>0</v>
      </c>
      <c r="H156">
        <v>2364</v>
      </c>
    </row>
    <row r="157" spans="1:8" hidden="1" x14ac:dyDescent="0.25">
      <c r="A157" t="s">
        <v>2759</v>
      </c>
      <c r="B157" t="s">
        <v>639</v>
      </c>
      <c r="C157" t="s">
        <v>2609</v>
      </c>
      <c r="D157" t="s">
        <v>2589</v>
      </c>
      <c r="E157">
        <v>0</v>
      </c>
      <c r="F157">
        <v>0</v>
      </c>
      <c r="G157">
        <v>0</v>
      </c>
      <c r="H157">
        <v>73.887</v>
      </c>
    </row>
    <row r="158" spans="1:8" hidden="1" x14ac:dyDescent="0.25">
      <c r="A158" t="s">
        <v>2760</v>
      </c>
      <c r="B158" t="s">
        <v>639</v>
      </c>
      <c r="C158" t="s">
        <v>2609</v>
      </c>
      <c r="D158" t="s">
        <v>2591</v>
      </c>
      <c r="E158">
        <v>0</v>
      </c>
      <c r="F158">
        <v>0</v>
      </c>
      <c r="G158">
        <v>0</v>
      </c>
      <c r="H158">
        <v>35.079000000000001</v>
      </c>
    </row>
    <row r="159" spans="1:8" hidden="1" x14ac:dyDescent="0.25">
      <c r="A159" t="s">
        <v>2761</v>
      </c>
      <c r="B159" t="s">
        <v>639</v>
      </c>
      <c r="C159" t="s">
        <v>2609</v>
      </c>
      <c r="D159" t="s">
        <v>2593</v>
      </c>
      <c r="E159">
        <v>0</v>
      </c>
      <c r="F159">
        <v>0</v>
      </c>
      <c r="G159">
        <v>0</v>
      </c>
      <c r="H159">
        <v>45.308999999999997</v>
      </c>
    </row>
    <row r="160" spans="1:8" hidden="1" x14ac:dyDescent="0.25">
      <c r="A160" t="s">
        <v>2762</v>
      </c>
      <c r="B160" t="s">
        <v>639</v>
      </c>
      <c r="C160" t="s">
        <v>2609</v>
      </c>
      <c r="D160" t="s">
        <v>2595</v>
      </c>
      <c r="E160">
        <v>0</v>
      </c>
      <c r="F160">
        <v>0</v>
      </c>
      <c r="G160">
        <v>0</v>
      </c>
      <c r="H160">
        <v>35.079000000000001</v>
      </c>
    </row>
    <row r="161" spans="1:8" hidden="1" x14ac:dyDescent="0.25">
      <c r="A161" t="s">
        <v>2763</v>
      </c>
      <c r="B161" t="s">
        <v>639</v>
      </c>
      <c r="C161" t="s">
        <v>2609</v>
      </c>
      <c r="D161" t="s">
        <v>2597</v>
      </c>
      <c r="E161">
        <v>0</v>
      </c>
      <c r="F161">
        <v>0</v>
      </c>
      <c r="G161">
        <v>0</v>
      </c>
      <c r="H161">
        <v>35.079000000000001</v>
      </c>
    </row>
    <row r="162" spans="1:8" hidden="1" x14ac:dyDescent="0.25">
      <c r="A162" t="s">
        <v>2764</v>
      </c>
      <c r="B162" t="s">
        <v>639</v>
      </c>
      <c r="C162" t="s">
        <v>2609</v>
      </c>
      <c r="D162" t="s">
        <v>2599</v>
      </c>
      <c r="E162">
        <v>0</v>
      </c>
      <c r="F162">
        <v>0</v>
      </c>
      <c r="G162">
        <v>0</v>
      </c>
      <c r="H162">
        <v>35.079000000000001</v>
      </c>
    </row>
    <row r="163" spans="1:8" hidden="1" x14ac:dyDescent="0.25">
      <c r="A163" t="s">
        <v>2765</v>
      </c>
      <c r="B163" t="s">
        <v>639</v>
      </c>
      <c r="C163" t="s">
        <v>2617</v>
      </c>
      <c r="D163" t="s">
        <v>2587</v>
      </c>
      <c r="E163">
        <v>0</v>
      </c>
      <c r="F163">
        <v>0</v>
      </c>
      <c r="G163">
        <v>0</v>
      </c>
      <c r="H163">
        <v>2144</v>
      </c>
    </row>
    <row r="164" spans="1:8" hidden="1" x14ac:dyDescent="0.25">
      <c r="A164" t="s">
        <v>2766</v>
      </c>
      <c r="B164" t="s">
        <v>639</v>
      </c>
      <c r="C164" t="s">
        <v>2617</v>
      </c>
      <c r="D164" t="s">
        <v>2589</v>
      </c>
      <c r="E164">
        <v>0</v>
      </c>
      <c r="F164">
        <v>0</v>
      </c>
      <c r="G164">
        <v>0</v>
      </c>
      <c r="H164">
        <v>67.319999999999993</v>
      </c>
    </row>
    <row r="165" spans="1:8" hidden="1" x14ac:dyDescent="0.25">
      <c r="A165" t="s">
        <v>2767</v>
      </c>
      <c r="B165" t="s">
        <v>639</v>
      </c>
      <c r="C165" t="s">
        <v>2617</v>
      </c>
      <c r="D165" t="s">
        <v>2591</v>
      </c>
      <c r="E165">
        <v>0</v>
      </c>
      <c r="F165">
        <v>0</v>
      </c>
      <c r="G165">
        <v>0</v>
      </c>
      <c r="H165">
        <v>32.076000000000001</v>
      </c>
    </row>
    <row r="166" spans="1:8" hidden="1" x14ac:dyDescent="0.25">
      <c r="A166" t="s">
        <v>2768</v>
      </c>
      <c r="B166" t="s">
        <v>639</v>
      </c>
      <c r="C166" t="s">
        <v>2617</v>
      </c>
      <c r="D166" t="s">
        <v>2593</v>
      </c>
      <c r="E166">
        <v>0</v>
      </c>
      <c r="F166">
        <v>0</v>
      </c>
      <c r="G166">
        <v>0</v>
      </c>
      <c r="H166">
        <v>41.371000000000002</v>
      </c>
    </row>
    <row r="167" spans="1:8" hidden="1" x14ac:dyDescent="0.25">
      <c r="A167" t="s">
        <v>2769</v>
      </c>
      <c r="B167" t="s">
        <v>639</v>
      </c>
      <c r="C167" t="s">
        <v>2617</v>
      </c>
      <c r="D167" t="s">
        <v>2595</v>
      </c>
      <c r="E167">
        <v>0</v>
      </c>
      <c r="F167">
        <v>0</v>
      </c>
      <c r="G167">
        <v>0</v>
      </c>
      <c r="H167">
        <v>32.076000000000001</v>
      </c>
    </row>
    <row r="168" spans="1:8" hidden="1" x14ac:dyDescent="0.25">
      <c r="A168" t="s">
        <v>2770</v>
      </c>
      <c r="B168" t="s">
        <v>639</v>
      </c>
      <c r="C168" t="s">
        <v>2617</v>
      </c>
      <c r="D168" t="s">
        <v>2597</v>
      </c>
      <c r="E168">
        <v>0</v>
      </c>
      <c r="F168">
        <v>0</v>
      </c>
      <c r="G168">
        <v>0</v>
      </c>
      <c r="H168">
        <v>32.076000000000001</v>
      </c>
    </row>
    <row r="169" spans="1:8" hidden="1" x14ac:dyDescent="0.25">
      <c r="A169" t="s">
        <v>2771</v>
      </c>
      <c r="B169" t="s">
        <v>639</v>
      </c>
      <c r="C169" t="s">
        <v>2617</v>
      </c>
      <c r="D169" t="s">
        <v>2599</v>
      </c>
      <c r="E169">
        <v>0</v>
      </c>
      <c r="F169">
        <v>0</v>
      </c>
      <c r="G169">
        <v>0</v>
      </c>
      <c r="H169">
        <v>32.076000000000001</v>
      </c>
    </row>
    <row r="170" spans="1:8" hidden="1" x14ac:dyDescent="0.25">
      <c r="A170" t="s">
        <v>2772</v>
      </c>
      <c r="B170" t="s">
        <v>639</v>
      </c>
      <c r="C170" t="s">
        <v>2625</v>
      </c>
      <c r="D170" t="s">
        <v>2587</v>
      </c>
      <c r="E170">
        <v>0</v>
      </c>
      <c r="F170">
        <v>0</v>
      </c>
      <c r="G170">
        <v>0</v>
      </c>
      <c r="H170">
        <v>1704</v>
      </c>
    </row>
    <row r="171" spans="1:8" hidden="1" x14ac:dyDescent="0.25">
      <c r="A171" t="s">
        <v>2773</v>
      </c>
      <c r="B171" t="s">
        <v>639</v>
      </c>
      <c r="C171" t="s">
        <v>2625</v>
      </c>
      <c r="D171" t="s">
        <v>2589</v>
      </c>
      <c r="E171">
        <v>0</v>
      </c>
      <c r="F171">
        <v>0</v>
      </c>
      <c r="G171">
        <v>0</v>
      </c>
      <c r="H171">
        <v>87.064999999999998</v>
      </c>
    </row>
    <row r="172" spans="1:8" hidden="1" x14ac:dyDescent="0.25">
      <c r="A172" t="s">
        <v>2774</v>
      </c>
      <c r="B172" t="s">
        <v>639</v>
      </c>
      <c r="C172" t="s">
        <v>2625</v>
      </c>
      <c r="D172" t="s">
        <v>2591</v>
      </c>
      <c r="E172">
        <v>0</v>
      </c>
      <c r="F172">
        <v>0</v>
      </c>
      <c r="G172">
        <v>0</v>
      </c>
      <c r="H172">
        <v>41.052</v>
      </c>
    </row>
    <row r="173" spans="1:8" hidden="1" x14ac:dyDescent="0.25">
      <c r="A173" t="s">
        <v>2775</v>
      </c>
      <c r="B173" t="s">
        <v>639</v>
      </c>
      <c r="C173" t="s">
        <v>2625</v>
      </c>
      <c r="D173" t="s">
        <v>2593</v>
      </c>
      <c r="E173">
        <v>0</v>
      </c>
      <c r="F173">
        <v>0</v>
      </c>
      <c r="G173">
        <v>0</v>
      </c>
      <c r="H173">
        <v>53.195999999999998</v>
      </c>
    </row>
    <row r="174" spans="1:8" hidden="1" x14ac:dyDescent="0.25">
      <c r="A174" t="s">
        <v>2776</v>
      </c>
      <c r="B174" t="s">
        <v>639</v>
      </c>
      <c r="C174" t="s">
        <v>2625</v>
      </c>
      <c r="D174" t="s">
        <v>2595</v>
      </c>
      <c r="E174">
        <v>0</v>
      </c>
      <c r="F174">
        <v>0</v>
      </c>
      <c r="G174">
        <v>0</v>
      </c>
      <c r="H174">
        <v>41.052</v>
      </c>
    </row>
    <row r="175" spans="1:8" hidden="1" x14ac:dyDescent="0.25">
      <c r="A175" t="s">
        <v>2777</v>
      </c>
      <c r="B175" t="s">
        <v>639</v>
      </c>
      <c r="C175" t="s">
        <v>2625</v>
      </c>
      <c r="D175" t="s">
        <v>2597</v>
      </c>
      <c r="E175">
        <v>0</v>
      </c>
      <c r="F175">
        <v>0</v>
      </c>
      <c r="G175">
        <v>0</v>
      </c>
      <c r="H175">
        <v>41.052</v>
      </c>
    </row>
    <row r="176" spans="1:8" hidden="1" x14ac:dyDescent="0.25">
      <c r="A176" t="s">
        <v>2778</v>
      </c>
      <c r="B176" t="s">
        <v>639</v>
      </c>
      <c r="C176" t="s">
        <v>2625</v>
      </c>
      <c r="D176" t="s">
        <v>2599</v>
      </c>
      <c r="E176">
        <v>0</v>
      </c>
      <c r="F176">
        <v>0</v>
      </c>
      <c r="G176">
        <v>0</v>
      </c>
      <c r="H176">
        <v>41.052</v>
      </c>
    </row>
    <row r="177" spans="1:8" hidden="1" x14ac:dyDescent="0.25">
      <c r="A177" t="s">
        <v>2779</v>
      </c>
      <c r="B177" t="s">
        <v>639</v>
      </c>
      <c r="C177" t="s">
        <v>2633</v>
      </c>
      <c r="D177" t="s">
        <v>2587</v>
      </c>
      <c r="E177">
        <v>0</v>
      </c>
      <c r="F177">
        <v>0</v>
      </c>
      <c r="G177">
        <v>0</v>
      </c>
      <c r="H177">
        <v>2584</v>
      </c>
    </row>
    <row r="178" spans="1:8" hidden="1" x14ac:dyDescent="0.25">
      <c r="A178" t="s">
        <v>2780</v>
      </c>
      <c r="B178" t="s">
        <v>639</v>
      </c>
      <c r="C178" t="s">
        <v>2633</v>
      </c>
      <c r="D178" t="s">
        <v>2589</v>
      </c>
      <c r="E178">
        <v>0</v>
      </c>
      <c r="F178">
        <v>0</v>
      </c>
      <c r="G178">
        <v>0</v>
      </c>
      <c r="H178">
        <v>80.453999999999994</v>
      </c>
    </row>
    <row r="179" spans="1:8" hidden="1" x14ac:dyDescent="0.25">
      <c r="A179" t="s">
        <v>2781</v>
      </c>
      <c r="B179" t="s">
        <v>639</v>
      </c>
      <c r="C179" t="s">
        <v>2633</v>
      </c>
      <c r="D179" t="s">
        <v>2591</v>
      </c>
      <c r="E179">
        <v>0</v>
      </c>
      <c r="F179">
        <v>0</v>
      </c>
      <c r="G179">
        <v>0</v>
      </c>
      <c r="H179">
        <v>38.06</v>
      </c>
    </row>
    <row r="180" spans="1:8" hidden="1" x14ac:dyDescent="0.25">
      <c r="A180" t="s">
        <v>2782</v>
      </c>
      <c r="B180" t="s">
        <v>639</v>
      </c>
      <c r="C180" t="s">
        <v>2633</v>
      </c>
      <c r="D180" t="s">
        <v>2593</v>
      </c>
      <c r="E180">
        <v>0</v>
      </c>
      <c r="F180">
        <v>0</v>
      </c>
      <c r="G180">
        <v>0</v>
      </c>
      <c r="H180">
        <v>49.258000000000003</v>
      </c>
    </row>
    <row r="181" spans="1:8" hidden="1" x14ac:dyDescent="0.25">
      <c r="A181" t="s">
        <v>2783</v>
      </c>
      <c r="B181" t="s">
        <v>639</v>
      </c>
      <c r="C181" t="s">
        <v>2633</v>
      </c>
      <c r="D181" t="s">
        <v>2595</v>
      </c>
      <c r="E181">
        <v>0</v>
      </c>
      <c r="F181">
        <v>0</v>
      </c>
      <c r="G181">
        <v>0</v>
      </c>
      <c r="H181">
        <v>38.06</v>
      </c>
    </row>
    <row r="182" spans="1:8" hidden="1" x14ac:dyDescent="0.25">
      <c r="A182" t="s">
        <v>2784</v>
      </c>
      <c r="B182" t="s">
        <v>639</v>
      </c>
      <c r="C182" t="s">
        <v>2633</v>
      </c>
      <c r="D182" t="s">
        <v>2597</v>
      </c>
      <c r="E182">
        <v>0</v>
      </c>
      <c r="F182">
        <v>0</v>
      </c>
      <c r="G182">
        <v>0</v>
      </c>
      <c r="H182">
        <v>38.06</v>
      </c>
    </row>
    <row r="183" spans="1:8" hidden="1" x14ac:dyDescent="0.25">
      <c r="A183" t="s">
        <v>2785</v>
      </c>
      <c r="B183" t="s">
        <v>639</v>
      </c>
      <c r="C183" t="s">
        <v>2633</v>
      </c>
      <c r="D183" t="s">
        <v>2599</v>
      </c>
      <c r="E183">
        <v>0</v>
      </c>
      <c r="F183">
        <v>0</v>
      </c>
      <c r="G183">
        <v>0</v>
      </c>
      <c r="H183">
        <v>38.06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B0278-8B1F-430E-9028-80395EB143E0}">
  <dimension ref="A1:K86"/>
  <sheetViews>
    <sheetView workbookViewId="0">
      <selection activeCell="A63" sqref="A63:XFD63"/>
    </sheetView>
  </sheetViews>
  <sheetFormatPr baseColWidth="10" defaultColWidth="11.42578125" defaultRowHeight="15" x14ac:dyDescent="0.25"/>
  <cols>
    <col min="1" max="1" width="10.5703125" bestFit="1" customWidth="1"/>
    <col min="2" max="2" width="17.140625" bestFit="1" customWidth="1"/>
    <col min="3" max="5" width="11.5703125" bestFit="1" customWidth="1"/>
    <col min="6" max="6" width="12.5703125" bestFit="1" customWidth="1"/>
    <col min="7" max="9" width="13.5703125" bestFit="1" customWidth="1"/>
    <col min="10" max="10" width="14" bestFit="1" customWidth="1"/>
    <col min="11" max="11" width="13.42578125" bestFit="1" customWidth="1"/>
  </cols>
  <sheetData>
    <row r="1" spans="1:11" x14ac:dyDescent="0.25">
      <c r="A1" t="s">
        <v>1</v>
      </c>
      <c r="B1" t="s">
        <v>2</v>
      </c>
      <c r="C1" t="s">
        <v>21</v>
      </c>
      <c r="D1" t="s">
        <v>29</v>
      </c>
      <c r="E1" t="s">
        <v>31</v>
      </c>
      <c r="F1" t="s">
        <v>33</v>
      </c>
      <c r="G1" t="s">
        <v>23</v>
      </c>
      <c r="H1" t="s">
        <v>25</v>
      </c>
      <c r="I1" t="s">
        <v>27</v>
      </c>
      <c r="J1" t="s">
        <v>35</v>
      </c>
      <c r="K1" t="s">
        <v>2786</v>
      </c>
    </row>
    <row r="2" spans="1:11" x14ac:dyDescent="0.25">
      <c r="A2" t="s">
        <v>37</v>
      </c>
      <c r="B2" t="s">
        <v>46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532.1</v>
      </c>
      <c r="J2">
        <v>532.09500000000003</v>
      </c>
      <c r="K2" t="s">
        <v>12</v>
      </c>
    </row>
    <row r="3" spans="1:11" hidden="1" x14ac:dyDescent="0.25">
      <c r="A3" t="s">
        <v>37</v>
      </c>
      <c r="B3" t="s">
        <v>109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419.00700000000001</v>
      </c>
      <c r="J3">
        <v>450.35700000000003</v>
      </c>
      <c r="K3" t="s">
        <v>12</v>
      </c>
    </row>
    <row r="4" spans="1:11" hidden="1" x14ac:dyDescent="0.25">
      <c r="A4" t="s">
        <v>37</v>
      </c>
      <c r="B4" t="s">
        <v>118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326.61</v>
      </c>
      <c r="J4">
        <v>358.70100000000002</v>
      </c>
      <c r="K4" t="s">
        <v>12</v>
      </c>
    </row>
    <row r="5" spans="1:11" hidden="1" x14ac:dyDescent="0.25">
      <c r="A5" t="s">
        <v>37</v>
      </c>
      <c r="B5" t="s">
        <v>127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416.15699999999998</v>
      </c>
      <c r="J5">
        <v>448.64699999999999</v>
      </c>
      <c r="K5" t="s">
        <v>12</v>
      </c>
    </row>
    <row r="6" spans="1:11" hidden="1" x14ac:dyDescent="0.25">
      <c r="A6" t="s">
        <v>37</v>
      </c>
      <c r="B6" t="s">
        <v>136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420.14699999999999</v>
      </c>
      <c r="J6">
        <v>446.36700000000002</v>
      </c>
      <c r="K6" t="s">
        <v>12</v>
      </c>
    </row>
    <row r="7" spans="1:11" hidden="1" x14ac:dyDescent="0.25">
      <c r="A7" t="s">
        <v>37</v>
      </c>
      <c r="B7" t="s">
        <v>154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293.55</v>
      </c>
      <c r="J7">
        <v>312.36</v>
      </c>
      <c r="K7" t="s">
        <v>12</v>
      </c>
    </row>
    <row r="8" spans="1:11" hidden="1" x14ac:dyDescent="0.25">
      <c r="A8" t="s">
        <v>37</v>
      </c>
      <c r="B8" t="s">
        <v>217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254.79</v>
      </c>
      <c r="J8">
        <v>271.60500000000002</v>
      </c>
      <c r="K8" t="s">
        <v>12</v>
      </c>
    </row>
    <row r="9" spans="1:11" hidden="1" x14ac:dyDescent="0.25">
      <c r="A9" t="s">
        <v>37</v>
      </c>
      <c r="B9" t="s">
        <v>226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354.14100000000002</v>
      </c>
      <c r="J9">
        <v>375.80099999999999</v>
      </c>
      <c r="K9" t="s">
        <v>12</v>
      </c>
    </row>
    <row r="10" spans="1:11" hidden="1" x14ac:dyDescent="0.25">
      <c r="A10" t="s">
        <v>37</v>
      </c>
      <c r="B10" t="s">
        <v>270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294.97500000000002</v>
      </c>
      <c r="J10">
        <v>300.67500000000001</v>
      </c>
      <c r="K10" t="s">
        <v>12</v>
      </c>
    </row>
    <row r="11" spans="1:11" hidden="1" x14ac:dyDescent="0.25">
      <c r="A11" t="s">
        <v>37</v>
      </c>
      <c r="B11" t="s">
        <v>288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436.67700000000002</v>
      </c>
      <c r="J11">
        <v>445.22699999999998</v>
      </c>
      <c r="K11" t="s">
        <v>12</v>
      </c>
    </row>
    <row r="12" spans="1:11" hidden="1" x14ac:dyDescent="0.25">
      <c r="A12" t="s">
        <v>37</v>
      </c>
      <c r="B12" t="s">
        <v>351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520.125</v>
      </c>
      <c r="J12">
        <v>593.94000000000005</v>
      </c>
      <c r="K12" t="s">
        <v>12</v>
      </c>
    </row>
    <row r="13" spans="1:11" hidden="1" x14ac:dyDescent="0.25">
      <c r="A13" t="s">
        <v>37</v>
      </c>
      <c r="B13" t="s">
        <v>360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520.125</v>
      </c>
      <c r="J13">
        <v>549.19500000000005</v>
      </c>
      <c r="K13" t="s">
        <v>12</v>
      </c>
    </row>
    <row r="14" spans="1:11" hidden="1" x14ac:dyDescent="0.25">
      <c r="A14" t="s">
        <v>37</v>
      </c>
      <c r="B14" t="s">
        <v>396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456.05700000000002</v>
      </c>
      <c r="J14">
        <v>485.12700000000001</v>
      </c>
      <c r="K14" t="s">
        <v>12</v>
      </c>
    </row>
    <row r="15" spans="1:11" hidden="1" x14ac:dyDescent="0.25">
      <c r="A15" t="s">
        <v>37</v>
      </c>
      <c r="B15" t="s">
        <v>423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520.125</v>
      </c>
      <c r="J15">
        <v>549.19500000000005</v>
      </c>
      <c r="K15" t="s">
        <v>12</v>
      </c>
    </row>
    <row r="16" spans="1:11" hidden="1" x14ac:dyDescent="0.25">
      <c r="A16" t="s">
        <v>37</v>
      </c>
      <c r="B16" t="s">
        <v>450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419.577</v>
      </c>
      <c r="J16">
        <v>450.92700000000002</v>
      </c>
      <c r="K16" t="s">
        <v>12</v>
      </c>
    </row>
    <row r="17" spans="1:11" hidden="1" x14ac:dyDescent="0.25">
      <c r="A17" t="s">
        <v>37</v>
      </c>
      <c r="B17" t="s">
        <v>522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280.44</v>
      </c>
      <c r="J17">
        <v>311.79000000000002</v>
      </c>
      <c r="K17" t="s">
        <v>12</v>
      </c>
    </row>
    <row r="18" spans="1:11" hidden="1" x14ac:dyDescent="0.25">
      <c r="A18" t="s">
        <v>37</v>
      </c>
      <c r="B18" t="s">
        <v>540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382.49849999999998</v>
      </c>
      <c r="J18">
        <v>401.87849999999997</v>
      </c>
      <c r="K18" t="s">
        <v>12</v>
      </c>
    </row>
    <row r="19" spans="1:11" hidden="1" x14ac:dyDescent="0.25">
      <c r="A19" t="s">
        <v>37</v>
      </c>
      <c r="B19" t="s">
        <v>576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399</v>
      </c>
      <c r="J19">
        <v>410.4</v>
      </c>
      <c r="K19" t="s">
        <v>12</v>
      </c>
    </row>
    <row r="20" spans="1:11" hidden="1" x14ac:dyDescent="0.25">
      <c r="A20" t="s">
        <v>37</v>
      </c>
      <c r="B20" t="s">
        <v>639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481.65</v>
      </c>
      <c r="J20">
        <v>526.11</v>
      </c>
      <c r="K20" t="s">
        <v>12</v>
      </c>
    </row>
    <row r="21" spans="1:11" hidden="1" x14ac:dyDescent="0.25">
      <c r="A21" t="s">
        <v>37</v>
      </c>
      <c r="B21" t="s">
        <v>666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520.125</v>
      </c>
      <c r="J21">
        <v>608.19000000000005</v>
      </c>
      <c r="K21" t="s">
        <v>12</v>
      </c>
    </row>
    <row r="22" spans="1:11" hidden="1" x14ac:dyDescent="0.25">
      <c r="A22" t="s">
        <v>37</v>
      </c>
      <c r="B22" t="s">
        <v>675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282.435</v>
      </c>
      <c r="J22">
        <v>300.67500000000001</v>
      </c>
      <c r="K22" t="s">
        <v>12</v>
      </c>
    </row>
    <row r="23" spans="1:11" hidden="1" x14ac:dyDescent="0.25">
      <c r="A23" t="s">
        <v>37</v>
      </c>
      <c r="B23" t="s">
        <v>684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434.96699999999998</v>
      </c>
      <c r="J23">
        <v>480.56700000000001</v>
      </c>
      <c r="K23" t="s">
        <v>12</v>
      </c>
    </row>
    <row r="24" spans="1:11" hidden="1" x14ac:dyDescent="0.25">
      <c r="A24" t="s">
        <v>37</v>
      </c>
      <c r="B24" t="s">
        <v>702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485.07</v>
      </c>
      <c r="J24">
        <v>532.09500000000003</v>
      </c>
      <c r="K24" t="s">
        <v>12</v>
      </c>
    </row>
    <row r="25" spans="1:11" hidden="1" x14ac:dyDescent="0.25">
      <c r="A25" t="s">
        <v>37</v>
      </c>
      <c r="B25" t="s">
        <v>819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434.96699999999998</v>
      </c>
      <c r="J25">
        <v>485.12700000000001</v>
      </c>
      <c r="K25" t="s">
        <v>12</v>
      </c>
    </row>
    <row r="26" spans="1:11" hidden="1" x14ac:dyDescent="0.25">
      <c r="A26" t="s">
        <v>37</v>
      </c>
      <c r="B26" t="s">
        <v>855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388.76850000000002</v>
      </c>
      <c r="J26">
        <v>419.54849999999999</v>
      </c>
      <c r="K26" t="s">
        <v>12</v>
      </c>
    </row>
    <row r="27" spans="1:11" hidden="1" x14ac:dyDescent="0.25">
      <c r="A27" t="s">
        <v>37</v>
      </c>
      <c r="B27" t="s">
        <v>864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366.5385</v>
      </c>
      <c r="J27">
        <v>392.18849999999998</v>
      </c>
      <c r="K27" t="s">
        <v>12</v>
      </c>
    </row>
    <row r="28" spans="1:11" hidden="1" x14ac:dyDescent="0.25">
      <c r="A28" t="s">
        <v>333</v>
      </c>
      <c r="B28" t="s">
        <v>46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520.69500000000005</v>
      </c>
      <c r="J28">
        <v>532.09500000000003</v>
      </c>
      <c r="K28" t="s">
        <v>12</v>
      </c>
    </row>
    <row r="29" spans="1:11" hidden="1" x14ac:dyDescent="0.25">
      <c r="A29" t="s">
        <v>333</v>
      </c>
      <c r="B29" t="s">
        <v>109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419.00700000000001</v>
      </c>
      <c r="J29">
        <v>450.35700000000003</v>
      </c>
      <c r="K29" t="s">
        <v>12</v>
      </c>
    </row>
    <row r="30" spans="1:11" hidden="1" x14ac:dyDescent="0.25">
      <c r="A30" t="s">
        <v>333</v>
      </c>
      <c r="B30" t="s">
        <v>118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326.61</v>
      </c>
      <c r="J30">
        <v>358.70100000000002</v>
      </c>
      <c r="K30" t="s">
        <v>12</v>
      </c>
    </row>
    <row r="31" spans="1:11" hidden="1" x14ac:dyDescent="0.25">
      <c r="A31" t="s">
        <v>333</v>
      </c>
      <c r="B31" t="s">
        <v>127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416.15699999999998</v>
      </c>
      <c r="J31">
        <v>448.64699999999999</v>
      </c>
      <c r="K31" t="s">
        <v>12</v>
      </c>
    </row>
    <row r="32" spans="1:11" hidden="1" x14ac:dyDescent="0.25">
      <c r="A32" t="s">
        <v>333</v>
      </c>
      <c r="B32" t="s">
        <v>136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420.14699999999999</v>
      </c>
      <c r="J32">
        <v>446.36700000000002</v>
      </c>
      <c r="K32" t="s">
        <v>12</v>
      </c>
    </row>
    <row r="33" spans="1:11" hidden="1" x14ac:dyDescent="0.25">
      <c r="A33" t="s">
        <v>333</v>
      </c>
      <c r="B33" t="s">
        <v>154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293.55</v>
      </c>
      <c r="J33">
        <v>312.36</v>
      </c>
      <c r="K33" t="s">
        <v>12</v>
      </c>
    </row>
    <row r="34" spans="1:11" hidden="1" x14ac:dyDescent="0.25">
      <c r="A34" t="s">
        <v>333</v>
      </c>
      <c r="B34" t="s">
        <v>217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254.79</v>
      </c>
      <c r="J34">
        <v>271.60500000000002</v>
      </c>
      <c r="K34" t="s">
        <v>12</v>
      </c>
    </row>
    <row r="35" spans="1:11" hidden="1" x14ac:dyDescent="0.25">
      <c r="A35" t="s">
        <v>333</v>
      </c>
      <c r="B35" t="s">
        <v>226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354.14100000000002</v>
      </c>
      <c r="J35">
        <v>375.80099999999999</v>
      </c>
      <c r="K35" t="s">
        <v>12</v>
      </c>
    </row>
    <row r="36" spans="1:11" hidden="1" x14ac:dyDescent="0.25">
      <c r="A36" t="s">
        <v>333</v>
      </c>
      <c r="B36" t="s">
        <v>270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294.97500000000002</v>
      </c>
      <c r="J36">
        <v>300.67500000000001</v>
      </c>
      <c r="K36" t="s">
        <v>12</v>
      </c>
    </row>
    <row r="37" spans="1:11" hidden="1" x14ac:dyDescent="0.25">
      <c r="A37" t="s">
        <v>333</v>
      </c>
      <c r="B37" t="s">
        <v>288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436.67700000000002</v>
      </c>
      <c r="J37">
        <v>445.22699999999998</v>
      </c>
      <c r="K37" t="s">
        <v>12</v>
      </c>
    </row>
    <row r="38" spans="1:11" hidden="1" x14ac:dyDescent="0.25">
      <c r="A38" t="s">
        <v>333</v>
      </c>
      <c r="B38" t="s">
        <v>351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520.125</v>
      </c>
      <c r="J38">
        <v>593.94000000000005</v>
      </c>
      <c r="K38" t="s">
        <v>12</v>
      </c>
    </row>
    <row r="39" spans="1:11" hidden="1" x14ac:dyDescent="0.25">
      <c r="A39" t="s">
        <v>333</v>
      </c>
      <c r="B39" t="s">
        <v>360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520.125</v>
      </c>
      <c r="J39">
        <v>549.19500000000005</v>
      </c>
      <c r="K39" t="s">
        <v>12</v>
      </c>
    </row>
    <row r="40" spans="1:11" hidden="1" x14ac:dyDescent="0.25">
      <c r="A40" t="s">
        <v>333</v>
      </c>
      <c r="B40" t="s">
        <v>396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456.05700000000002</v>
      </c>
      <c r="J40">
        <v>485.12700000000001</v>
      </c>
      <c r="K40" t="s">
        <v>12</v>
      </c>
    </row>
    <row r="41" spans="1:11" hidden="1" x14ac:dyDescent="0.25">
      <c r="A41" t="s">
        <v>333</v>
      </c>
      <c r="B41" t="s">
        <v>423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520.125</v>
      </c>
      <c r="J41">
        <v>549.19500000000005</v>
      </c>
      <c r="K41" t="s">
        <v>12</v>
      </c>
    </row>
    <row r="42" spans="1:11" hidden="1" x14ac:dyDescent="0.25">
      <c r="A42" t="s">
        <v>333</v>
      </c>
      <c r="B42" t="s">
        <v>450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419.577</v>
      </c>
      <c r="J42">
        <v>450.92700000000002</v>
      </c>
      <c r="K42" t="s">
        <v>12</v>
      </c>
    </row>
    <row r="43" spans="1:11" hidden="1" x14ac:dyDescent="0.25">
      <c r="A43" t="s">
        <v>333</v>
      </c>
      <c r="B43" t="s">
        <v>522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280.44</v>
      </c>
      <c r="J43">
        <v>311.79000000000002</v>
      </c>
      <c r="K43" t="s">
        <v>12</v>
      </c>
    </row>
    <row r="44" spans="1:11" hidden="1" x14ac:dyDescent="0.25">
      <c r="A44" t="s">
        <v>333</v>
      </c>
      <c r="B44" t="s">
        <v>540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382.49849999999998</v>
      </c>
      <c r="J44">
        <v>401.87849999999997</v>
      </c>
      <c r="K44" t="s">
        <v>12</v>
      </c>
    </row>
    <row r="45" spans="1:11" hidden="1" x14ac:dyDescent="0.25">
      <c r="A45" t="s">
        <v>333</v>
      </c>
      <c r="B45" t="s">
        <v>576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399</v>
      </c>
      <c r="J45">
        <v>410.4</v>
      </c>
      <c r="K45" t="s">
        <v>12</v>
      </c>
    </row>
    <row r="46" spans="1:11" hidden="1" x14ac:dyDescent="0.25">
      <c r="A46" t="s">
        <v>333</v>
      </c>
      <c r="B46" t="s">
        <v>639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481.65</v>
      </c>
      <c r="J46">
        <v>526.11</v>
      </c>
      <c r="K46" t="s">
        <v>12</v>
      </c>
    </row>
    <row r="47" spans="1:11" hidden="1" x14ac:dyDescent="0.25">
      <c r="A47" t="s">
        <v>333</v>
      </c>
      <c r="B47" t="s">
        <v>666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520.125</v>
      </c>
      <c r="J47">
        <v>608.19000000000005</v>
      </c>
      <c r="K47" t="s">
        <v>12</v>
      </c>
    </row>
    <row r="48" spans="1:11" hidden="1" x14ac:dyDescent="0.25">
      <c r="A48" t="s">
        <v>333</v>
      </c>
      <c r="B48" t="s">
        <v>675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282.435</v>
      </c>
      <c r="J48">
        <v>300.67500000000001</v>
      </c>
      <c r="K48" t="s">
        <v>12</v>
      </c>
    </row>
    <row r="49" spans="1:11" hidden="1" x14ac:dyDescent="0.25">
      <c r="A49" t="s">
        <v>333</v>
      </c>
      <c r="B49" t="s">
        <v>684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434.96699999999998</v>
      </c>
      <c r="J49">
        <v>480.56700000000001</v>
      </c>
      <c r="K49" t="s">
        <v>12</v>
      </c>
    </row>
    <row r="50" spans="1:11" hidden="1" x14ac:dyDescent="0.25">
      <c r="A50" t="s">
        <v>333</v>
      </c>
      <c r="B50" t="s">
        <v>702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485.07</v>
      </c>
      <c r="J50">
        <v>532.09500000000003</v>
      </c>
      <c r="K50" t="s">
        <v>12</v>
      </c>
    </row>
    <row r="51" spans="1:11" hidden="1" x14ac:dyDescent="0.25">
      <c r="A51" t="s">
        <v>333</v>
      </c>
      <c r="B51" t="s">
        <v>819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434.96699999999998</v>
      </c>
      <c r="J51">
        <v>485.12700000000001</v>
      </c>
      <c r="K51" t="s">
        <v>12</v>
      </c>
    </row>
    <row r="52" spans="1:11" hidden="1" x14ac:dyDescent="0.25">
      <c r="A52" t="s">
        <v>333</v>
      </c>
      <c r="B52" t="s">
        <v>828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317.77499999999998</v>
      </c>
      <c r="J52">
        <v>323.47500000000002</v>
      </c>
      <c r="K52" t="s">
        <v>12</v>
      </c>
    </row>
    <row r="53" spans="1:11" hidden="1" x14ac:dyDescent="0.25">
      <c r="A53" t="s">
        <v>333</v>
      </c>
      <c r="B53" t="s">
        <v>855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388.76850000000002</v>
      </c>
      <c r="J53">
        <v>419.54849999999999</v>
      </c>
      <c r="K53" t="s">
        <v>12</v>
      </c>
    </row>
    <row r="54" spans="1:11" hidden="1" x14ac:dyDescent="0.25">
      <c r="A54" t="s">
        <v>333</v>
      </c>
      <c r="B54" t="s">
        <v>864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366.5385</v>
      </c>
      <c r="J54">
        <v>392.18849999999998</v>
      </c>
      <c r="K54" t="s">
        <v>12</v>
      </c>
    </row>
    <row r="55" spans="1:11" hidden="1" x14ac:dyDescent="0.25">
      <c r="A55" t="s">
        <v>46</v>
      </c>
      <c r="B55" t="s">
        <v>46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520.69500000000005</v>
      </c>
      <c r="J55">
        <v>532.09500000000003</v>
      </c>
      <c r="K55" t="s">
        <v>12</v>
      </c>
    </row>
    <row r="56" spans="1:11" hidden="1" x14ac:dyDescent="0.25">
      <c r="A56" t="s">
        <v>46</v>
      </c>
      <c r="B56" t="s">
        <v>109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419.00700000000001</v>
      </c>
      <c r="J56">
        <v>450.35700000000003</v>
      </c>
      <c r="K56" t="s">
        <v>12</v>
      </c>
    </row>
    <row r="57" spans="1:11" hidden="1" x14ac:dyDescent="0.25">
      <c r="A57" t="s">
        <v>46</v>
      </c>
      <c r="B57" t="s">
        <v>118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326.61</v>
      </c>
      <c r="J57">
        <v>358.70100000000002</v>
      </c>
      <c r="K57" t="s">
        <v>12</v>
      </c>
    </row>
    <row r="58" spans="1:11" hidden="1" x14ac:dyDescent="0.25">
      <c r="A58" t="s">
        <v>46</v>
      </c>
      <c r="B58" t="s">
        <v>127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416.15699999999998</v>
      </c>
      <c r="J58">
        <v>448.64699999999999</v>
      </c>
      <c r="K58" t="s">
        <v>12</v>
      </c>
    </row>
    <row r="59" spans="1:11" hidden="1" x14ac:dyDescent="0.25">
      <c r="A59" t="s">
        <v>46</v>
      </c>
      <c r="B59" t="s">
        <v>136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420.14699999999999</v>
      </c>
      <c r="J59">
        <v>446.36700000000002</v>
      </c>
      <c r="K59" t="s">
        <v>12</v>
      </c>
    </row>
    <row r="60" spans="1:11" hidden="1" x14ac:dyDescent="0.25">
      <c r="A60" t="s">
        <v>46</v>
      </c>
      <c r="B60" t="s">
        <v>154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293.55</v>
      </c>
      <c r="J60">
        <v>312.36</v>
      </c>
      <c r="K60" t="s">
        <v>12</v>
      </c>
    </row>
    <row r="61" spans="1:11" hidden="1" x14ac:dyDescent="0.25">
      <c r="A61" t="s">
        <v>46</v>
      </c>
      <c r="B61" t="s">
        <v>217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254.79</v>
      </c>
      <c r="J61">
        <v>271.60500000000002</v>
      </c>
      <c r="K61" t="s">
        <v>12</v>
      </c>
    </row>
    <row r="62" spans="1:11" hidden="1" x14ac:dyDescent="0.25">
      <c r="A62" t="s">
        <v>46</v>
      </c>
      <c r="B62" t="s">
        <v>226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354.14100000000002</v>
      </c>
      <c r="J62">
        <v>375.80099999999999</v>
      </c>
      <c r="K62" t="s">
        <v>12</v>
      </c>
    </row>
    <row r="63" spans="1:11" hidden="1" x14ac:dyDescent="0.25">
      <c r="A63" t="s">
        <v>46</v>
      </c>
      <c r="B63" t="s">
        <v>37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532.1</v>
      </c>
      <c r="J63">
        <v>532.1</v>
      </c>
      <c r="K63" t="s">
        <v>12</v>
      </c>
    </row>
    <row r="64" spans="1:11" hidden="1" x14ac:dyDescent="0.25">
      <c r="A64" t="s">
        <v>46</v>
      </c>
      <c r="B64" t="s">
        <v>270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294.97500000000002</v>
      </c>
      <c r="J64">
        <v>300.67500000000001</v>
      </c>
      <c r="K64" t="s">
        <v>12</v>
      </c>
    </row>
    <row r="65" spans="1:11" hidden="1" x14ac:dyDescent="0.25">
      <c r="A65" t="s">
        <v>46</v>
      </c>
      <c r="B65" t="s">
        <v>288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436.67700000000002</v>
      </c>
      <c r="J65">
        <v>445.22699999999998</v>
      </c>
      <c r="K65" t="s">
        <v>12</v>
      </c>
    </row>
    <row r="66" spans="1:11" hidden="1" x14ac:dyDescent="0.25">
      <c r="A66" t="s">
        <v>46</v>
      </c>
      <c r="B66" t="s">
        <v>333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228.57</v>
      </c>
      <c r="J66">
        <v>251.62649999999999</v>
      </c>
      <c r="K66" t="s">
        <v>12</v>
      </c>
    </row>
    <row r="67" spans="1:11" hidden="1" x14ac:dyDescent="0.25">
      <c r="A67" t="s">
        <v>46</v>
      </c>
      <c r="B67" t="s">
        <v>351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520.125</v>
      </c>
      <c r="J67">
        <v>593.94000000000005</v>
      </c>
      <c r="K67" t="s">
        <v>12</v>
      </c>
    </row>
    <row r="68" spans="1:11" hidden="1" x14ac:dyDescent="0.25">
      <c r="A68" t="s">
        <v>46</v>
      </c>
      <c r="B68" t="s">
        <v>360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520.125</v>
      </c>
      <c r="J68">
        <v>549.19500000000005</v>
      </c>
      <c r="K68" t="s">
        <v>12</v>
      </c>
    </row>
    <row r="69" spans="1:11" hidden="1" x14ac:dyDescent="0.25">
      <c r="A69" t="s">
        <v>46</v>
      </c>
      <c r="B69" t="s">
        <v>396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456.05700000000002</v>
      </c>
      <c r="J69">
        <v>485.12700000000001</v>
      </c>
      <c r="K69" t="s">
        <v>12</v>
      </c>
    </row>
    <row r="70" spans="1:11" hidden="1" x14ac:dyDescent="0.25">
      <c r="A70" t="s">
        <v>46</v>
      </c>
      <c r="B70" t="s">
        <v>423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520.125</v>
      </c>
      <c r="J70">
        <v>549.19500000000005</v>
      </c>
      <c r="K70" t="s">
        <v>12</v>
      </c>
    </row>
    <row r="71" spans="1:11" hidden="1" x14ac:dyDescent="0.25">
      <c r="A71" t="s">
        <v>46</v>
      </c>
      <c r="B71" t="s">
        <v>450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419.577</v>
      </c>
      <c r="J71">
        <v>450.92700000000002</v>
      </c>
      <c r="K71" t="s">
        <v>12</v>
      </c>
    </row>
    <row r="72" spans="1:11" hidden="1" x14ac:dyDescent="0.25">
      <c r="A72" t="s">
        <v>46</v>
      </c>
      <c r="B72" t="s">
        <v>522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280.44</v>
      </c>
      <c r="J72">
        <v>311.79000000000002</v>
      </c>
      <c r="K72" t="s">
        <v>12</v>
      </c>
    </row>
    <row r="73" spans="1:11" hidden="1" x14ac:dyDescent="0.25">
      <c r="A73" t="s">
        <v>46</v>
      </c>
      <c r="B73" t="s">
        <v>540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382.49849999999998</v>
      </c>
      <c r="J73">
        <v>401.87849999999997</v>
      </c>
      <c r="K73" t="s">
        <v>12</v>
      </c>
    </row>
    <row r="74" spans="1:11" hidden="1" x14ac:dyDescent="0.25">
      <c r="A74" t="s">
        <v>46</v>
      </c>
      <c r="B74" t="s">
        <v>576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399</v>
      </c>
      <c r="J74">
        <v>410.4</v>
      </c>
      <c r="K74" t="s">
        <v>12</v>
      </c>
    </row>
    <row r="75" spans="1:11" hidden="1" x14ac:dyDescent="0.25">
      <c r="A75" t="s">
        <v>46</v>
      </c>
      <c r="B75" t="s">
        <v>639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481.65</v>
      </c>
      <c r="J75">
        <v>526.11</v>
      </c>
      <c r="K75" t="s">
        <v>12</v>
      </c>
    </row>
    <row r="76" spans="1:11" hidden="1" x14ac:dyDescent="0.25">
      <c r="A76" t="s">
        <v>46</v>
      </c>
      <c r="B76" t="s">
        <v>666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520.125</v>
      </c>
      <c r="J76">
        <v>608.19000000000005</v>
      </c>
      <c r="K76" t="s">
        <v>12</v>
      </c>
    </row>
    <row r="77" spans="1:11" hidden="1" x14ac:dyDescent="0.25">
      <c r="A77" t="s">
        <v>46</v>
      </c>
      <c r="B77" t="s">
        <v>675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282.435</v>
      </c>
      <c r="J77">
        <v>300.67500000000001</v>
      </c>
      <c r="K77" t="s">
        <v>12</v>
      </c>
    </row>
    <row r="78" spans="1:11" hidden="1" x14ac:dyDescent="0.25">
      <c r="A78" t="s">
        <v>46</v>
      </c>
      <c r="B78" t="s">
        <v>684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434.96699999999998</v>
      </c>
      <c r="J78">
        <v>480.56700000000001</v>
      </c>
      <c r="K78" t="s">
        <v>12</v>
      </c>
    </row>
    <row r="79" spans="1:11" hidden="1" x14ac:dyDescent="0.25">
      <c r="A79" t="s">
        <v>46</v>
      </c>
      <c r="B79" t="s">
        <v>702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485.07</v>
      </c>
      <c r="J79">
        <v>532.09500000000003</v>
      </c>
      <c r="K79" t="s">
        <v>12</v>
      </c>
    </row>
    <row r="80" spans="1:11" hidden="1" x14ac:dyDescent="0.25">
      <c r="A80" t="s">
        <v>46</v>
      </c>
      <c r="B80" t="s">
        <v>819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434.96699999999998</v>
      </c>
      <c r="J80">
        <v>485.12700000000001</v>
      </c>
      <c r="K80" t="s">
        <v>12</v>
      </c>
    </row>
    <row r="81" spans="1:11" hidden="1" x14ac:dyDescent="0.25">
      <c r="A81" t="s">
        <v>46</v>
      </c>
      <c r="B81" t="s">
        <v>828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317.77499999999998</v>
      </c>
      <c r="J81">
        <v>323.47500000000002</v>
      </c>
      <c r="K81" t="s">
        <v>12</v>
      </c>
    </row>
    <row r="82" spans="1:11" hidden="1" x14ac:dyDescent="0.25">
      <c r="A82" t="s">
        <v>46</v>
      </c>
      <c r="B82" t="s">
        <v>855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388.76850000000002</v>
      </c>
      <c r="J82">
        <v>419.54849999999999</v>
      </c>
      <c r="K82" t="s">
        <v>12</v>
      </c>
    </row>
    <row r="83" spans="1:11" hidden="1" x14ac:dyDescent="0.25">
      <c r="A83" t="s">
        <v>46</v>
      </c>
      <c r="B83" t="s">
        <v>864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366.5385</v>
      </c>
      <c r="J83">
        <v>392.18849999999998</v>
      </c>
      <c r="K83" t="s">
        <v>12</v>
      </c>
    </row>
    <row r="84" spans="1:11" hidden="1" x14ac:dyDescent="0.25">
      <c r="A84" t="s">
        <v>37</v>
      </c>
      <c r="B84" t="s">
        <v>846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120</v>
      </c>
      <c r="J84">
        <v>120</v>
      </c>
      <c r="K84" t="s">
        <v>12</v>
      </c>
    </row>
    <row r="85" spans="1:11" hidden="1" x14ac:dyDescent="0.25">
      <c r="A85" t="s">
        <v>46</v>
      </c>
      <c r="B85" t="s">
        <v>846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514.17999999999995</v>
      </c>
      <c r="J85">
        <v>526.16</v>
      </c>
      <c r="K85" t="s">
        <v>12</v>
      </c>
    </row>
    <row r="86" spans="1:11" x14ac:dyDescent="0.25">
      <c r="A86" t="s">
        <v>37</v>
      </c>
      <c r="B86" t="s">
        <v>37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114</v>
      </c>
      <c r="K86" t="s">
        <v>12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749DF-ACE4-4651-B86E-8B23EEDB889D}">
  <sheetPr>
    <tabColor theme="8"/>
  </sheetPr>
  <dimension ref="A1:J86"/>
  <sheetViews>
    <sheetView zoomScale="85" zoomScaleNormal="85" workbookViewId="0">
      <selection activeCell="J63" sqref="J63"/>
    </sheetView>
  </sheetViews>
  <sheetFormatPr baseColWidth="10" defaultColWidth="11.42578125" defaultRowHeight="15" x14ac:dyDescent="0.25"/>
  <cols>
    <col min="2" max="2" width="17.140625" bestFit="1" customWidth="1"/>
    <col min="3" max="5" width="12.85546875" style="1" bestFit="1" customWidth="1"/>
    <col min="6" max="6" width="13.85546875" style="1" bestFit="1" customWidth="1"/>
    <col min="7" max="9" width="14.85546875" style="1" bestFit="1" customWidth="1"/>
    <col min="10" max="10" width="14.42578125" style="1" customWidth="1"/>
  </cols>
  <sheetData>
    <row r="1" spans="1:10" x14ac:dyDescent="0.25">
      <c r="A1" t="s">
        <v>1</v>
      </c>
      <c r="B1" t="s">
        <v>2</v>
      </c>
      <c r="C1" s="1" t="s">
        <v>21</v>
      </c>
      <c r="D1" s="1" t="s">
        <v>29</v>
      </c>
      <c r="E1" s="1" t="s">
        <v>31</v>
      </c>
      <c r="F1" s="1" t="s">
        <v>33</v>
      </c>
      <c r="G1" s="1" t="s">
        <v>23</v>
      </c>
      <c r="H1" s="1" t="s">
        <v>25</v>
      </c>
      <c r="I1" s="1" t="s">
        <v>27</v>
      </c>
      <c r="J1" s="1" t="s">
        <v>35</v>
      </c>
    </row>
    <row r="2" spans="1:10" hidden="1" x14ac:dyDescent="0.25">
      <c r="A2" t="s">
        <v>37</v>
      </c>
      <c r="B2" t="s">
        <v>46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585.31000000000006</v>
      </c>
      <c r="J2" s="1">
        <v>585.30450000000008</v>
      </c>
    </row>
    <row r="3" spans="1:10" hidden="1" x14ac:dyDescent="0.25">
      <c r="A3" t="s">
        <v>37</v>
      </c>
      <c r="B3" t="s">
        <v>109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460.90770000000009</v>
      </c>
      <c r="J3" s="1">
        <v>495.39270000000016</v>
      </c>
    </row>
    <row r="4" spans="1:10" hidden="1" x14ac:dyDescent="0.25">
      <c r="A4" t="s">
        <v>37</v>
      </c>
      <c r="B4" t="s">
        <v>118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359.27100000000007</v>
      </c>
      <c r="J4" s="1">
        <v>394.57110000000006</v>
      </c>
    </row>
    <row r="5" spans="1:10" hidden="1" x14ac:dyDescent="0.25">
      <c r="A5" t="s">
        <v>37</v>
      </c>
      <c r="B5" t="s">
        <v>127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457.7727000000001</v>
      </c>
      <c r="J5" s="1">
        <v>493.51170000000008</v>
      </c>
    </row>
    <row r="6" spans="1:10" hidden="1" x14ac:dyDescent="0.25">
      <c r="A6" t="s">
        <v>37</v>
      </c>
      <c r="B6" t="s">
        <v>136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462.16170000000011</v>
      </c>
      <c r="J6" s="1">
        <v>491.00370000000009</v>
      </c>
    </row>
    <row r="7" spans="1:10" hidden="1" x14ac:dyDescent="0.25">
      <c r="A7" t="s">
        <v>37</v>
      </c>
      <c r="B7" t="s">
        <v>154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322.90500000000003</v>
      </c>
      <c r="J7" s="1">
        <v>343.59600000000006</v>
      </c>
    </row>
    <row r="8" spans="1:10" hidden="1" x14ac:dyDescent="0.25">
      <c r="A8" t="s">
        <v>37</v>
      </c>
      <c r="B8" t="s">
        <v>217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280.26900000000006</v>
      </c>
      <c r="J8" s="1">
        <v>298.76550000000003</v>
      </c>
    </row>
    <row r="9" spans="1:10" hidden="1" x14ac:dyDescent="0.25">
      <c r="A9" t="s">
        <v>37</v>
      </c>
      <c r="B9" t="s">
        <v>226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389.55510000000004</v>
      </c>
      <c r="J9" s="1">
        <v>413.3811</v>
      </c>
    </row>
    <row r="10" spans="1:10" hidden="1" x14ac:dyDescent="0.25">
      <c r="A10" t="s">
        <v>37</v>
      </c>
      <c r="B10" t="s">
        <v>270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324.47250000000003</v>
      </c>
      <c r="J10" s="1">
        <v>330.74250000000006</v>
      </c>
    </row>
    <row r="11" spans="1:10" hidden="1" x14ac:dyDescent="0.25">
      <c r="A11" t="s">
        <v>37</v>
      </c>
      <c r="B11" t="s">
        <v>288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480.3447000000001</v>
      </c>
      <c r="J11" s="1">
        <v>489.74970000000013</v>
      </c>
    </row>
    <row r="12" spans="1:10" hidden="1" x14ac:dyDescent="0.25">
      <c r="A12" t="s">
        <v>37</v>
      </c>
      <c r="B12" t="s">
        <v>351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572.13750000000005</v>
      </c>
      <c r="J12" s="1">
        <v>653.33400000000006</v>
      </c>
    </row>
    <row r="13" spans="1:10" hidden="1" x14ac:dyDescent="0.25">
      <c r="A13" t="s">
        <v>37</v>
      </c>
      <c r="B13" t="s">
        <v>360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572.13750000000005</v>
      </c>
      <c r="J13" s="1">
        <v>604.11450000000013</v>
      </c>
    </row>
    <row r="14" spans="1:10" hidden="1" x14ac:dyDescent="0.25">
      <c r="A14" t="s">
        <v>37</v>
      </c>
      <c r="B14" t="s">
        <v>396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501.66270000000014</v>
      </c>
      <c r="J14" s="1">
        <v>533.63970000000006</v>
      </c>
    </row>
    <row r="15" spans="1:10" hidden="1" x14ac:dyDescent="0.25">
      <c r="A15" t="s">
        <v>37</v>
      </c>
      <c r="B15" t="s">
        <v>423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572.13750000000005</v>
      </c>
      <c r="J15" s="1">
        <v>604.11450000000013</v>
      </c>
    </row>
    <row r="16" spans="1:10" hidden="1" x14ac:dyDescent="0.25">
      <c r="A16" t="s">
        <v>37</v>
      </c>
      <c r="B16" t="s">
        <v>450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461.5347000000001</v>
      </c>
      <c r="J16" s="1">
        <v>496.01970000000011</v>
      </c>
    </row>
    <row r="17" spans="1:10" hidden="1" x14ac:dyDescent="0.25">
      <c r="A17" t="s">
        <v>37</v>
      </c>
      <c r="B17" t="s">
        <v>522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308.48400000000009</v>
      </c>
      <c r="J17" s="1">
        <v>342.96900000000005</v>
      </c>
    </row>
    <row r="18" spans="1:10" hidden="1" x14ac:dyDescent="0.25">
      <c r="A18" t="s">
        <v>37</v>
      </c>
      <c r="B18" t="s">
        <v>540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420.74835000000007</v>
      </c>
      <c r="J18" s="1">
        <v>442.06635000000006</v>
      </c>
    </row>
    <row r="19" spans="1:10" hidden="1" x14ac:dyDescent="0.25">
      <c r="A19" t="s">
        <v>37</v>
      </c>
      <c r="B19" t="s">
        <v>576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438.90000000000009</v>
      </c>
      <c r="J19" s="1">
        <v>451.44000000000005</v>
      </c>
    </row>
    <row r="20" spans="1:10" hidden="1" x14ac:dyDescent="0.25">
      <c r="A20" t="s">
        <v>37</v>
      </c>
      <c r="B20" t="s">
        <v>639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529.81500000000005</v>
      </c>
      <c r="J20" s="1">
        <v>578.72100000000012</v>
      </c>
    </row>
    <row r="21" spans="1:10" hidden="1" x14ac:dyDescent="0.25">
      <c r="A21" t="s">
        <v>37</v>
      </c>
      <c r="B21" t="s">
        <v>666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572.13750000000005</v>
      </c>
      <c r="J21" s="1">
        <v>669.00900000000013</v>
      </c>
    </row>
    <row r="22" spans="1:10" hidden="1" x14ac:dyDescent="0.25">
      <c r="A22" t="s">
        <v>37</v>
      </c>
      <c r="B22" t="s">
        <v>675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310.6785000000001</v>
      </c>
      <c r="J22" s="1">
        <v>330.74250000000006</v>
      </c>
    </row>
    <row r="23" spans="1:10" hidden="1" x14ac:dyDescent="0.25">
      <c r="A23" t="s">
        <v>37</v>
      </c>
      <c r="B23" t="s">
        <v>684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478.46370000000007</v>
      </c>
      <c r="J23" s="1">
        <v>528.6237000000001</v>
      </c>
    </row>
    <row r="24" spans="1:10" hidden="1" x14ac:dyDescent="0.25">
      <c r="A24" t="s">
        <v>37</v>
      </c>
      <c r="B24" t="s">
        <v>702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533.57700000000011</v>
      </c>
      <c r="J24" s="1">
        <v>585.30450000000008</v>
      </c>
    </row>
    <row r="25" spans="1:10" hidden="1" x14ac:dyDescent="0.25">
      <c r="A25" t="s">
        <v>37</v>
      </c>
      <c r="B25" t="s">
        <v>819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478.46370000000007</v>
      </c>
      <c r="J25" s="1">
        <v>533.63970000000006</v>
      </c>
    </row>
    <row r="26" spans="1:10" hidden="1" x14ac:dyDescent="0.25">
      <c r="A26" t="s">
        <v>37</v>
      </c>
      <c r="B26" t="s">
        <v>855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427.64535000000006</v>
      </c>
      <c r="J26" s="1">
        <v>461.50335000000007</v>
      </c>
    </row>
    <row r="27" spans="1:10" hidden="1" x14ac:dyDescent="0.25">
      <c r="A27" t="s">
        <v>37</v>
      </c>
      <c r="B27" t="s">
        <v>864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403.19235000000003</v>
      </c>
      <c r="J27" s="1">
        <v>431.40735000000006</v>
      </c>
    </row>
    <row r="28" spans="1:10" hidden="1" x14ac:dyDescent="0.25">
      <c r="A28" t="s">
        <v>333</v>
      </c>
      <c r="B28" t="s">
        <v>46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572.76450000000011</v>
      </c>
      <c r="J28" s="1">
        <v>585.30450000000008</v>
      </c>
    </row>
    <row r="29" spans="1:10" hidden="1" x14ac:dyDescent="0.25">
      <c r="A29" t="s">
        <v>333</v>
      </c>
      <c r="B29" t="s">
        <v>109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460.90770000000009</v>
      </c>
      <c r="J29" s="1">
        <v>495.39270000000016</v>
      </c>
    </row>
    <row r="30" spans="1:10" hidden="1" x14ac:dyDescent="0.25">
      <c r="A30" t="s">
        <v>333</v>
      </c>
      <c r="B30" t="s">
        <v>118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359.27100000000007</v>
      </c>
      <c r="J30" s="1">
        <v>394.57110000000006</v>
      </c>
    </row>
    <row r="31" spans="1:10" hidden="1" x14ac:dyDescent="0.25">
      <c r="A31" t="s">
        <v>333</v>
      </c>
      <c r="B31" t="s">
        <v>127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457.7727000000001</v>
      </c>
      <c r="J31" s="1">
        <v>493.51170000000008</v>
      </c>
    </row>
    <row r="32" spans="1:10" hidden="1" x14ac:dyDescent="0.25">
      <c r="A32" t="s">
        <v>333</v>
      </c>
      <c r="B32" t="s">
        <v>136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462.16170000000011</v>
      </c>
      <c r="J32" s="1">
        <v>491.00370000000009</v>
      </c>
    </row>
    <row r="33" spans="1:10" hidden="1" x14ac:dyDescent="0.25">
      <c r="A33" t="s">
        <v>333</v>
      </c>
      <c r="B33" t="s">
        <v>154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322.90500000000003</v>
      </c>
      <c r="J33" s="1">
        <v>343.59600000000006</v>
      </c>
    </row>
    <row r="34" spans="1:10" hidden="1" x14ac:dyDescent="0.25">
      <c r="A34" t="s">
        <v>333</v>
      </c>
      <c r="B34" t="s">
        <v>217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280.26900000000006</v>
      </c>
      <c r="J34" s="1">
        <v>298.76550000000003</v>
      </c>
    </row>
    <row r="35" spans="1:10" hidden="1" x14ac:dyDescent="0.25">
      <c r="A35" t="s">
        <v>333</v>
      </c>
      <c r="B35" t="s">
        <v>226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389.55510000000004</v>
      </c>
      <c r="J35" s="1">
        <v>413.3811</v>
      </c>
    </row>
    <row r="36" spans="1:10" hidden="1" x14ac:dyDescent="0.25">
      <c r="A36" t="s">
        <v>333</v>
      </c>
      <c r="B36" t="s">
        <v>270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324.47250000000003</v>
      </c>
      <c r="J36" s="1">
        <v>330.74250000000006</v>
      </c>
    </row>
    <row r="37" spans="1:10" hidden="1" x14ac:dyDescent="0.25">
      <c r="A37" t="s">
        <v>333</v>
      </c>
      <c r="B37" t="s">
        <v>288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480.3447000000001</v>
      </c>
      <c r="J37" s="1">
        <v>489.74970000000013</v>
      </c>
    </row>
    <row r="38" spans="1:10" hidden="1" x14ac:dyDescent="0.25">
      <c r="A38" t="s">
        <v>333</v>
      </c>
      <c r="B38" t="s">
        <v>351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572.13750000000005</v>
      </c>
      <c r="J38" s="1">
        <v>653.33400000000006</v>
      </c>
    </row>
    <row r="39" spans="1:10" hidden="1" x14ac:dyDescent="0.25">
      <c r="A39" t="s">
        <v>333</v>
      </c>
      <c r="B39" t="s">
        <v>360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572.13750000000005</v>
      </c>
      <c r="J39" s="1">
        <v>604.11450000000013</v>
      </c>
    </row>
    <row r="40" spans="1:10" hidden="1" x14ac:dyDescent="0.25">
      <c r="A40" t="s">
        <v>333</v>
      </c>
      <c r="B40" t="s">
        <v>396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501.66270000000014</v>
      </c>
      <c r="J40" s="1">
        <v>533.63970000000006</v>
      </c>
    </row>
    <row r="41" spans="1:10" hidden="1" x14ac:dyDescent="0.25">
      <c r="A41" t="s">
        <v>333</v>
      </c>
      <c r="B41" t="s">
        <v>423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572.13750000000005</v>
      </c>
      <c r="J41" s="1">
        <v>604.11450000000013</v>
      </c>
    </row>
    <row r="42" spans="1:10" hidden="1" x14ac:dyDescent="0.25">
      <c r="A42" t="s">
        <v>333</v>
      </c>
      <c r="B42" t="s">
        <v>450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461.5347000000001</v>
      </c>
      <c r="J42" s="1">
        <v>496.01970000000011</v>
      </c>
    </row>
    <row r="43" spans="1:10" hidden="1" x14ac:dyDescent="0.25">
      <c r="A43" t="s">
        <v>333</v>
      </c>
      <c r="B43" t="s">
        <v>522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308.48400000000009</v>
      </c>
      <c r="J43" s="1">
        <v>342.96900000000005</v>
      </c>
    </row>
    <row r="44" spans="1:10" hidden="1" x14ac:dyDescent="0.25">
      <c r="A44" t="s">
        <v>333</v>
      </c>
      <c r="B44" t="s">
        <v>540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420.74835000000007</v>
      </c>
      <c r="J44" s="1">
        <v>442.06635000000006</v>
      </c>
    </row>
    <row r="45" spans="1:10" hidden="1" x14ac:dyDescent="0.25">
      <c r="A45" t="s">
        <v>333</v>
      </c>
      <c r="B45" t="s">
        <v>576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438.90000000000009</v>
      </c>
      <c r="J45" s="1">
        <v>451.44000000000005</v>
      </c>
    </row>
    <row r="46" spans="1:10" hidden="1" x14ac:dyDescent="0.25">
      <c r="A46" t="s">
        <v>333</v>
      </c>
      <c r="B46" t="s">
        <v>639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529.81500000000005</v>
      </c>
      <c r="J46" s="1">
        <v>578.72100000000012</v>
      </c>
    </row>
    <row r="47" spans="1:10" hidden="1" x14ac:dyDescent="0.25">
      <c r="A47" t="s">
        <v>333</v>
      </c>
      <c r="B47" t="s">
        <v>666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572.13750000000005</v>
      </c>
      <c r="J47" s="1">
        <v>669.00900000000013</v>
      </c>
    </row>
    <row r="48" spans="1:10" hidden="1" x14ac:dyDescent="0.25">
      <c r="A48" t="s">
        <v>333</v>
      </c>
      <c r="B48" t="s">
        <v>675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310.6785000000001</v>
      </c>
      <c r="J48" s="1">
        <v>330.74250000000006</v>
      </c>
    </row>
    <row r="49" spans="1:10" hidden="1" x14ac:dyDescent="0.25">
      <c r="A49" t="s">
        <v>333</v>
      </c>
      <c r="B49" t="s">
        <v>684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478.46370000000007</v>
      </c>
      <c r="J49" s="1">
        <v>528.6237000000001</v>
      </c>
    </row>
    <row r="50" spans="1:10" hidden="1" x14ac:dyDescent="0.25">
      <c r="A50" t="s">
        <v>333</v>
      </c>
      <c r="B50" t="s">
        <v>702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533.57700000000011</v>
      </c>
      <c r="J50" s="1">
        <v>585.30450000000008</v>
      </c>
    </row>
    <row r="51" spans="1:10" hidden="1" x14ac:dyDescent="0.25">
      <c r="A51" t="s">
        <v>333</v>
      </c>
      <c r="B51" t="s">
        <v>819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478.46370000000007</v>
      </c>
      <c r="J51" s="1">
        <v>533.63970000000006</v>
      </c>
    </row>
    <row r="52" spans="1:10" hidden="1" x14ac:dyDescent="0.25">
      <c r="A52" t="s">
        <v>333</v>
      </c>
      <c r="B52" t="s">
        <v>828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349.55250000000007</v>
      </c>
      <c r="J52" s="1">
        <v>355.82250000000005</v>
      </c>
    </row>
    <row r="53" spans="1:10" hidden="1" x14ac:dyDescent="0.25">
      <c r="A53" t="s">
        <v>333</v>
      </c>
      <c r="B53" t="s">
        <v>855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427.64535000000006</v>
      </c>
      <c r="J53" s="1">
        <v>461.50335000000007</v>
      </c>
    </row>
    <row r="54" spans="1:10" hidden="1" x14ac:dyDescent="0.25">
      <c r="A54" t="s">
        <v>333</v>
      </c>
      <c r="B54" t="s">
        <v>864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403.19235000000003</v>
      </c>
      <c r="J54" s="1">
        <v>431.40735000000006</v>
      </c>
    </row>
    <row r="55" spans="1:10" hidden="1" x14ac:dyDescent="0.25">
      <c r="A55" t="s">
        <v>46</v>
      </c>
      <c r="B55" t="s">
        <v>46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572.76450000000011</v>
      </c>
      <c r="J55" s="1">
        <v>585.30450000000008</v>
      </c>
    </row>
    <row r="56" spans="1:10" hidden="1" x14ac:dyDescent="0.25">
      <c r="A56" t="s">
        <v>46</v>
      </c>
      <c r="B56" t="s">
        <v>109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460.90770000000009</v>
      </c>
      <c r="J56" s="1">
        <v>495.39270000000016</v>
      </c>
    </row>
    <row r="57" spans="1:10" hidden="1" x14ac:dyDescent="0.25">
      <c r="A57" t="s">
        <v>46</v>
      </c>
      <c r="B57" t="s">
        <v>118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359.27100000000007</v>
      </c>
      <c r="J57" s="1">
        <v>394.57110000000006</v>
      </c>
    </row>
    <row r="58" spans="1:10" hidden="1" x14ac:dyDescent="0.25">
      <c r="A58" t="s">
        <v>46</v>
      </c>
      <c r="B58" t="s">
        <v>127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457.7727000000001</v>
      </c>
      <c r="J58" s="1">
        <v>493.51170000000008</v>
      </c>
    </row>
    <row r="59" spans="1:10" hidden="1" x14ac:dyDescent="0.25">
      <c r="A59" t="s">
        <v>46</v>
      </c>
      <c r="B59" t="s">
        <v>136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462.16170000000011</v>
      </c>
      <c r="J59" s="1">
        <v>491.00370000000009</v>
      </c>
    </row>
    <row r="60" spans="1:10" hidden="1" x14ac:dyDescent="0.25">
      <c r="A60" t="s">
        <v>46</v>
      </c>
      <c r="B60" t="s">
        <v>154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322.90500000000003</v>
      </c>
      <c r="J60" s="1">
        <v>343.59600000000006</v>
      </c>
    </row>
    <row r="61" spans="1:10" hidden="1" x14ac:dyDescent="0.25">
      <c r="A61" t="s">
        <v>46</v>
      </c>
      <c r="B61" t="s">
        <v>217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280.26900000000006</v>
      </c>
      <c r="J61" s="1">
        <v>298.76550000000003</v>
      </c>
    </row>
    <row r="62" spans="1:10" hidden="1" x14ac:dyDescent="0.25">
      <c r="A62" t="s">
        <v>46</v>
      </c>
      <c r="B62" t="s">
        <v>226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389.55510000000004</v>
      </c>
      <c r="J62" s="1">
        <v>413.3811</v>
      </c>
    </row>
    <row r="63" spans="1:10" x14ac:dyDescent="0.25">
      <c r="A63" t="s">
        <v>46</v>
      </c>
      <c r="B63" t="s">
        <v>37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585.31000000000006</v>
      </c>
      <c r="J63" s="1">
        <v>585.30999999999995</v>
      </c>
    </row>
    <row r="64" spans="1:10" hidden="1" x14ac:dyDescent="0.25">
      <c r="A64" t="s">
        <v>46</v>
      </c>
      <c r="B64" t="s">
        <v>270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324.47250000000003</v>
      </c>
      <c r="J64" s="1">
        <v>330.74250000000006</v>
      </c>
    </row>
    <row r="65" spans="1:10" hidden="1" x14ac:dyDescent="0.25">
      <c r="A65" t="s">
        <v>46</v>
      </c>
      <c r="B65" t="s">
        <v>288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480.3447000000001</v>
      </c>
      <c r="J65" s="1">
        <v>489.74970000000013</v>
      </c>
    </row>
    <row r="66" spans="1:10" hidden="1" x14ac:dyDescent="0.25">
      <c r="A66" t="s">
        <v>46</v>
      </c>
      <c r="B66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251.42700000000005</v>
      </c>
      <c r="J66" s="1">
        <v>276.78915000000006</v>
      </c>
    </row>
    <row r="67" spans="1:10" hidden="1" x14ac:dyDescent="0.25">
      <c r="A67" t="s">
        <v>46</v>
      </c>
      <c r="B67" t="s">
        <v>351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572.13750000000005</v>
      </c>
      <c r="J67" s="1">
        <v>653.33400000000006</v>
      </c>
    </row>
    <row r="68" spans="1:10" hidden="1" x14ac:dyDescent="0.25">
      <c r="A68" t="s">
        <v>46</v>
      </c>
      <c r="B68" t="s">
        <v>360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572.13750000000005</v>
      </c>
      <c r="J68" s="1">
        <v>604.11450000000013</v>
      </c>
    </row>
    <row r="69" spans="1:10" hidden="1" x14ac:dyDescent="0.25">
      <c r="A69" t="s">
        <v>46</v>
      </c>
      <c r="B69" t="s">
        <v>396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501.66270000000014</v>
      </c>
      <c r="J69" s="1">
        <v>533.63970000000006</v>
      </c>
    </row>
    <row r="70" spans="1:10" hidden="1" x14ac:dyDescent="0.25">
      <c r="A70" t="s">
        <v>46</v>
      </c>
      <c r="B70" t="s">
        <v>423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572.13750000000005</v>
      </c>
      <c r="J70" s="1">
        <v>604.11450000000013</v>
      </c>
    </row>
    <row r="71" spans="1:10" hidden="1" x14ac:dyDescent="0.25">
      <c r="A71" t="s">
        <v>46</v>
      </c>
      <c r="B71" t="s">
        <v>450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461.5347000000001</v>
      </c>
      <c r="J71" s="1">
        <v>496.01970000000011</v>
      </c>
    </row>
    <row r="72" spans="1:10" hidden="1" x14ac:dyDescent="0.25">
      <c r="A72" t="s">
        <v>46</v>
      </c>
      <c r="B72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308.48400000000009</v>
      </c>
      <c r="J72" s="1">
        <v>342.96900000000005</v>
      </c>
    </row>
    <row r="73" spans="1:10" hidden="1" x14ac:dyDescent="0.25">
      <c r="A73" t="s">
        <v>46</v>
      </c>
      <c r="B73" t="s">
        <v>540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420.74835000000007</v>
      </c>
      <c r="J73" s="1">
        <v>442.06635000000006</v>
      </c>
    </row>
    <row r="74" spans="1:10" hidden="1" x14ac:dyDescent="0.25">
      <c r="A74" t="s">
        <v>46</v>
      </c>
      <c r="B74" t="s">
        <v>576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438.90000000000009</v>
      </c>
      <c r="J74" s="1">
        <v>451.44000000000005</v>
      </c>
    </row>
    <row r="75" spans="1:10" hidden="1" x14ac:dyDescent="0.25">
      <c r="A75" t="s">
        <v>46</v>
      </c>
      <c r="B75" t="s">
        <v>639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529.81500000000005</v>
      </c>
      <c r="J75" s="1">
        <v>578.72100000000012</v>
      </c>
    </row>
    <row r="76" spans="1:10" hidden="1" x14ac:dyDescent="0.25">
      <c r="A76" t="s">
        <v>46</v>
      </c>
      <c r="B76" t="s">
        <v>666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572.13750000000005</v>
      </c>
      <c r="J76" s="1">
        <v>669.00900000000013</v>
      </c>
    </row>
    <row r="77" spans="1:10" hidden="1" x14ac:dyDescent="0.25">
      <c r="A77" t="s">
        <v>46</v>
      </c>
      <c r="B77" t="s">
        <v>675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310.6785000000001</v>
      </c>
      <c r="J77" s="1">
        <v>330.74250000000006</v>
      </c>
    </row>
    <row r="78" spans="1:10" hidden="1" x14ac:dyDescent="0.25">
      <c r="A78" t="s">
        <v>46</v>
      </c>
      <c r="B78" t="s">
        <v>684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478.46370000000007</v>
      </c>
      <c r="J78" s="1">
        <v>528.6237000000001</v>
      </c>
    </row>
    <row r="79" spans="1:10" hidden="1" x14ac:dyDescent="0.25">
      <c r="A79" t="s">
        <v>46</v>
      </c>
      <c r="B79" t="s">
        <v>702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533.57700000000011</v>
      </c>
      <c r="J79" s="1">
        <v>585.30450000000008</v>
      </c>
    </row>
    <row r="80" spans="1:10" hidden="1" x14ac:dyDescent="0.25">
      <c r="A80" t="s">
        <v>46</v>
      </c>
      <c r="B80" t="s">
        <v>819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478.46370000000007</v>
      </c>
      <c r="J80" s="1">
        <v>533.63970000000006</v>
      </c>
    </row>
    <row r="81" spans="1:10" hidden="1" x14ac:dyDescent="0.25">
      <c r="A81" t="s">
        <v>46</v>
      </c>
      <c r="B81" t="s">
        <v>828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349.55250000000007</v>
      </c>
      <c r="J81" s="1">
        <v>355.82250000000005</v>
      </c>
    </row>
    <row r="82" spans="1:10" hidden="1" x14ac:dyDescent="0.25">
      <c r="A82" t="s">
        <v>46</v>
      </c>
      <c r="B82" t="s">
        <v>855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427.64535000000006</v>
      </c>
      <c r="J82" s="1">
        <v>461.50335000000007</v>
      </c>
    </row>
    <row r="83" spans="1:10" hidden="1" x14ac:dyDescent="0.25">
      <c r="A83" t="s">
        <v>46</v>
      </c>
      <c r="B83" t="s">
        <v>864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403.19235000000003</v>
      </c>
      <c r="J83" s="1">
        <v>431.40735000000006</v>
      </c>
    </row>
    <row r="84" spans="1:10" hidden="1" x14ac:dyDescent="0.25">
      <c r="A84" t="s">
        <v>37</v>
      </c>
      <c r="B84" t="s">
        <v>846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132</v>
      </c>
      <c r="J84" s="1">
        <v>132</v>
      </c>
    </row>
    <row r="85" spans="1:10" hidden="1" x14ac:dyDescent="0.25">
      <c r="A85" t="s">
        <v>46</v>
      </c>
      <c r="B85" t="s">
        <v>846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565.59799999999996</v>
      </c>
      <c r="J85" s="1">
        <v>578.77600000000007</v>
      </c>
    </row>
    <row r="86" spans="1:10" hidden="1" x14ac:dyDescent="0.25">
      <c r="A86" t="s">
        <v>37</v>
      </c>
      <c r="B86" t="s">
        <v>37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26">
        <v>125.40000000000002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A0604-6956-4BA7-9E36-38D33C1F872D}">
  <sheetPr>
    <tabColor theme="8"/>
  </sheetPr>
  <dimension ref="A1:K95"/>
  <sheetViews>
    <sheetView workbookViewId="0">
      <selection activeCell="E7" sqref="E7"/>
    </sheetView>
  </sheetViews>
  <sheetFormatPr baseColWidth="10" defaultColWidth="11.42578125" defaultRowHeight="15" x14ac:dyDescent="0.25"/>
  <cols>
    <col min="1" max="1" width="10.5703125" bestFit="1" customWidth="1"/>
    <col min="2" max="2" width="23.85546875" bestFit="1" customWidth="1"/>
    <col min="3" max="5" width="11.5703125" bestFit="1" customWidth="1"/>
    <col min="6" max="6" width="12.5703125" bestFit="1" customWidth="1"/>
    <col min="7" max="9" width="13.5703125" bestFit="1" customWidth="1"/>
    <col min="10" max="10" width="14" bestFit="1" customWidth="1"/>
    <col min="11" max="11" width="13.42578125" bestFit="1" customWidth="1"/>
  </cols>
  <sheetData>
    <row r="1" spans="1:11" x14ac:dyDescent="0.25">
      <c r="A1" t="s">
        <v>1</v>
      </c>
      <c r="B1" t="s">
        <v>2</v>
      </c>
      <c r="C1" t="s">
        <v>21</v>
      </c>
      <c r="D1" t="s">
        <v>29</v>
      </c>
      <c r="E1" t="s">
        <v>31</v>
      </c>
      <c r="F1" t="s">
        <v>33</v>
      </c>
      <c r="G1" t="s">
        <v>23</v>
      </c>
      <c r="H1" t="s">
        <v>25</v>
      </c>
      <c r="I1" t="s">
        <v>27</v>
      </c>
      <c r="J1" t="s">
        <v>35</v>
      </c>
      <c r="K1" t="s">
        <v>2786</v>
      </c>
    </row>
    <row r="2" spans="1:11" x14ac:dyDescent="0.25">
      <c r="A2" t="s">
        <v>46</v>
      </c>
      <c r="B2" t="s">
        <v>450</v>
      </c>
      <c r="C2">
        <v>0</v>
      </c>
      <c r="D2">
        <v>148.80000000000001</v>
      </c>
      <c r="E2">
        <v>162</v>
      </c>
      <c r="F2">
        <v>166</v>
      </c>
      <c r="G2">
        <v>0</v>
      </c>
      <c r="H2">
        <v>0</v>
      </c>
      <c r="I2">
        <v>305.52</v>
      </c>
      <c r="J2">
        <v>294.8571</v>
      </c>
      <c r="K2" t="s">
        <v>6</v>
      </c>
    </row>
    <row r="3" spans="1:11" x14ac:dyDescent="0.25">
      <c r="A3" t="s">
        <v>46</v>
      </c>
      <c r="B3" t="s">
        <v>82</v>
      </c>
      <c r="C3">
        <v>0</v>
      </c>
      <c r="D3">
        <v>0</v>
      </c>
      <c r="E3">
        <v>0</v>
      </c>
      <c r="F3">
        <v>0</v>
      </c>
      <c r="G3">
        <v>0</v>
      </c>
      <c r="H3">
        <v>554.04</v>
      </c>
      <c r="I3">
        <v>747.84</v>
      </c>
      <c r="J3">
        <v>799.14</v>
      </c>
      <c r="K3" t="s">
        <v>6</v>
      </c>
    </row>
    <row r="4" spans="1:11" x14ac:dyDescent="0.25">
      <c r="A4" t="s">
        <v>46</v>
      </c>
      <c r="B4" t="s">
        <v>127</v>
      </c>
      <c r="C4">
        <v>0</v>
      </c>
      <c r="D4">
        <v>0</v>
      </c>
      <c r="E4">
        <v>0</v>
      </c>
      <c r="F4">
        <v>0</v>
      </c>
      <c r="G4">
        <v>0</v>
      </c>
      <c r="H4">
        <v>210.9</v>
      </c>
      <c r="I4">
        <v>311.22000000000003</v>
      </c>
      <c r="J4">
        <v>319.2</v>
      </c>
      <c r="K4" t="s">
        <v>6</v>
      </c>
    </row>
    <row r="5" spans="1:11" x14ac:dyDescent="0.25">
      <c r="A5" t="s">
        <v>46</v>
      </c>
      <c r="B5" t="s">
        <v>136</v>
      </c>
      <c r="C5">
        <v>0</v>
      </c>
      <c r="D5">
        <v>0</v>
      </c>
      <c r="E5">
        <v>0</v>
      </c>
      <c r="F5">
        <v>0</v>
      </c>
      <c r="G5">
        <v>0</v>
      </c>
      <c r="H5">
        <v>228</v>
      </c>
      <c r="I5">
        <v>330.6</v>
      </c>
      <c r="J5">
        <v>342</v>
      </c>
      <c r="K5" t="s">
        <v>6</v>
      </c>
    </row>
    <row r="6" spans="1:11" x14ac:dyDescent="0.25">
      <c r="A6" t="s">
        <v>46</v>
      </c>
      <c r="B6" t="s">
        <v>639</v>
      </c>
      <c r="C6">
        <v>0</v>
      </c>
      <c r="D6">
        <v>0</v>
      </c>
      <c r="E6">
        <v>0</v>
      </c>
      <c r="F6">
        <v>173.5</v>
      </c>
      <c r="G6">
        <v>0</v>
      </c>
      <c r="H6">
        <v>0</v>
      </c>
      <c r="I6">
        <v>0</v>
      </c>
      <c r="J6">
        <v>0</v>
      </c>
      <c r="K6" t="s">
        <v>6</v>
      </c>
    </row>
    <row r="7" spans="1:11" x14ac:dyDescent="0.25">
      <c r="A7" t="s">
        <v>46</v>
      </c>
      <c r="B7" t="s">
        <v>702</v>
      </c>
      <c r="C7">
        <v>0</v>
      </c>
      <c r="D7">
        <v>0</v>
      </c>
      <c r="E7">
        <v>0</v>
      </c>
      <c r="F7">
        <v>0</v>
      </c>
      <c r="G7">
        <v>0</v>
      </c>
      <c r="H7">
        <v>181.26</v>
      </c>
      <c r="I7">
        <v>271.32</v>
      </c>
      <c r="J7">
        <v>275.88</v>
      </c>
      <c r="K7" t="s">
        <v>6</v>
      </c>
    </row>
    <row r="8" spans="1:11" x14ac:dyDescent="0.25">
      <c r="A8" t="s">
        <v>37</v>
      </c>
      <c r="B8" t="s">
        <v>82</v>
      </c>
      <c r="C8">
        <v>199.73330000000001</v>
      </c>
      <c r="D8">
        <v>205.73330000000001</v>
      </c>
      <c r="E8">
        <v>235.66669999999999</v>
      </c>
      <c r="F8">
        <v>245.66669999999999</v>
      </c>
      <c r="G8">
        <v>262.66669999999999</v>
      </c>
      <c r="H8">
        <v>0</v>
      </c>
      <c r="I8">
        <v>0</v>
      </c>
      <c r="J8">
        <v>0</v>
      </c>
      <c r="K8" t="s">
        <v>6</v>
      </c>
    </row>
    <row r="9" spans="1:11" x14ac:dyDescent="0.25">
      <c r="A9" t="s">
        <v>37</v>
      </c>
      <c r="B9" t="s">
        <v>109</v>
      </c>
      <c r="C9">
        <v>0</v>
      </c>
      <c r="D9">
        <v>0</v>
      </c>
      <c r="E9">
        <v>249.83330000000001</v>
      </c>
      <c r="F9">
        <v>0</v>
      </c>
      <c r="G9">
        <v>0</v>
      </c>
      <c r="H9">
        <v>0</v>
      </c>
      <c r="I9">
        <v>0</v>
      </c>
      <c r="J9">
        <v>0</v>
      </c>
      <c r="K9" t="s">
        <v>6</v>
      </c>
    </row>
    <row r="10" spans="1:11" x14ac:dyDescent="0.25">
      <c r="A10" t="s">
        <v>37</v>
      </c>
      <c r="B10" t="s">
        <v>118</v>
      </c>
      <c r="C10">
        <v>188.2</v>
      </c>
      <c r="D10">
        <v>194.2</v>
      </c>
      <c r="E10">
        <v>205</v>
      </c>
      <c r="F10">
        <v>201</v>
      </c>
      <c r="G10">
        <v>226</v>
      </c>
      <c r="H10">
        <v>244.8</v>
      </c>
      <c r="I10">
        <v>377.8</v>
      </c>
      <c r="J10">
        <v>0</v>
      </c>
      <c r="K10" t="s">
        <v>6</v>
      </c>
    </row>
    <row r="11" spans="1:11" x14ac:dyDescent="0.25">
      <c r="A11" t="s">
        <v>37</v>
      </c>
      <c r="B11" t="s">
        <v>127</v>
      </c>
      <c r="C11">
        <v>241.4667</v>
      </c>
      <c r="D11">
        <v>248.4667</v>
      </c>
      <c r="E11">
        <v>268.83330000000001</v>
      </c>
      <c r="F11">
        <v>273.83330000000001</v>
      </c>
      <c r="G11">
        <v>287.83330000000001</v>
      </c>
      <c r="H11">
        <v>0</v>
      </c>
      <c r="I11">
        <v>482.72</v>
      </c>
      <c r="J11">
        <v>508.57139999999998</v>
      </c>
      <c r="K11" t="s">
        <v>6</v>
      </c>
    </row>
    <row r="12" spans="1:11" x14ac:dyDescent="0.25">
      <c r="A12" t="s">
        <v>37</v>
      </c>
      <c r="B12" t="s">
        <v>136</v>
      </c>
      <c r="C12">
        <v>0</v>
      </c>
      <c r="D12">
        <v>229.73330000000001</v>
      </c>
      <c r="E12">
        <v>0</v>
      </c>
      <c r="F12">
        <v>261.16669999999999</v>
      </c>
      <c r="G12">
        <v>0</v>
      </c>
      <c r="H12">
        <v>0</v>
      </c>
      <c r="I12">
        <v>0</v>
      </c>
      <c r="J12">
        <v>0</v>
      </c>
      <c r="K12" t="s">
        <v>6</v>
      </c>
    </row>
    <row r="13" spans="1:11" x14ac:dyDescent="0.25">
      <c r="A13" t="s">
        <v>37</v>
      </c>
      <c r="B13" t="s">
        <v>190</v>
      </c>
      <c r="C13">
        <v>230.26669999999999</v>
      </c>
      <c r="D13">
        <v>237.26669999999999</v>
      </c>
      <c r="E13">
        <v>260.83330000000001</v>
      </c>
      <c r="F13">
        <v>272.83330000000001</v>
      </c>
      <c r="G13">
        <v>0</v>
      </c>
      <c r="H13">
        <v>0</v>
      </c>
      <c r="I13">
        <v>445.4</v>
      </c>
      <c r="J13">
        <v>481.71429999999998</v>
      </c>
      <c r="K13" t="s">
        <v>6</v>
      </c>
    </row>
    <row r="14" spans="1:11" x14ac:dyDescent="0.25">
      <c r="A14" t="s">
        <v>37</v>
      </c>
      <c r="B14" t="s">
        <v>199</v>
      </c>
      <c r="C14">
        <v>0</v>
      </c>
      <c r="D14">
        <v>0</v>
      </c>
      <c r="E14">
        <v>0</v>
      </c>
      <c r="F14">
        <v>390.16669999999999</v>
      </c>
      <c r="G14">
        <v>0</v>
      </c>
      <c r="H14">
        <v>0</v>
      </c>
      <c r="I14">
        <v>0</v>
      </c>
      <c r="J14">
        <v>0</v>
      </c>
      <c r="K14" t="s">
        <v>6</v>
      </c>
    </row>
    <row r="15" spans="1:11" x14ac:dyDescent="0.25">
      <c r="A15" t="s">
        <v>37</v>
      </c>
      <c r="B15" t="s">
        <v>208</v>
      </c>
      <c r="C15">
        <v>150.26669999999999</v>
      </c>
      <c r="D15">
        <v>154.26669999999999</v>
      </c>
      <c r="E15">
        <v>173.83330000000001</v>
      </c>
      <c r="F15">
        <v>165.83330000000001</v>
      </c>
      <c r="G15">
        <v>187.83330000000001</v>
      </c>
      <c r="H15">
        <v>196.4</v>
      </c>
      <c r="I15">
        <v>312.39999999999998</v>
      </c>
      <c r="J15">
        <v>329</v>
      </c>
      <c r="K15" t="s">
        <v>6</v>
      </c>
    </row>
    <row r="16" spans="1:11" x14ac:dyDescent="0.25">
      <c r="A16" t="s">
        <v>37</v>
      </c>
      <c r="B16" t="s">
        <v>217</v>
      </c>
      <c r="C16">
        <v>0</v>
      </c>
      <c r="D16">
        <v>0</v>
      </c>
      <c r="E16">
        <v>173.66669999999999</v>
      </c>
      <c r="F16">
        <v>178.66669999999999</v>
      </c>
      <c r="G16">
        <v>194.66669999999999</v>
      </c>
      <c r="H16">
        <v>212.6</v>
      </c>
      <c r="I16">
        <v>308.60000000000002</v>
      </c>
      <c r="J16">
        <v>0</v>
      </c>
      <c r="K16" t="s">
        <v>6</v>
      </c>
    </row>
    <row r="17" spans="1:11" x14ac:dyDescent="0.25">
      <c r="A17" t="s">
        <v>37</v>
      </c>
      <c r="B17" t="s">
        <v>235</v>
      </c>
      <c r="C17">
        <v>0</v>
      </c>
      <c r="D17">
        <v>0</v>
      </c>
      <c r="E17">
        <v>579</v>
      </c>
      <c r="F17">
        <v>0</v>
      </c>
      <c r="G17">
        <v>0</v>
      </c>
      <c r="H17">
        <v>0</v>
      </c>
      <c r="I17">
        <v>0</v>
      </c>
      <c r="J17">
        <v>0</v>
      </c>
      <c r="K17" t="s">
        <v>6</v>
      </c>
    </row>
    <row r="18" spans="1:11" x14ac:dyDescent="0.25">
      <c r="A18" t="s">
        <v>37</v>
      </c>
      <c r="B18" t="s">
        <v>244</v>
      </c>
      <c r="C18">
        <v>165.2</v>
      </c>
      <c r="D18">
        <v>170.2</v>
      </c>
      <c r="E18">
        <v>186.5</v>
      </c>
      <c r="F18">
        <v>192.5</v>
      </c>
      <c r="G18">
        <v>208.5</v>
      </c>
      <c r="H18">
        <v>228.8</v>
      </c>
      <c r="I18">
        <v>326.8</v>
      </c>
      <c r="J18">
        <v>346.28570000000002</v>
      </c>
      <c r="K18" t="s">
        <v>6</v>
      </c>
    </row>
    <row r="19" spans="1:11" x14ac:dyDescent="0.25">
      <c r="A19" t="s">
        <v>37</v>
      </c>
      <c r="B19" t="s">
        <v>253</v>
      </c>
      <c r="C19">
        <v>0</v>
      </c>
      <c r="D19">
        <v>156.13329999999999</v>
      </c>
      <c r="E19">
        <v>168.16669999999999</v>
      </c>
      <c r="F19">
        <v>173.16669999999999</v>
      </c>
      <c r="G19">
        <v>0</v>
      </c>
      <c r="H19">
        <v>0</v>
      </c>
      <c r="I19">
        <v>0</v>
      </c>
      <c r="J19">
        <v>0</v>
      </c>
      <c r="K19" t="s">
        <v>6</v>
      </c>
    </row>
    <row r="20" spans="1:11" x14ac:dyDescent="0.25">
      <c r="A20" t="s">
        <v>37</v>
      </c>
      <c r="B20" t="s">
        <v>37</v>
      </c>
      <c r="C20">
        <v>88.8</v>
      </c>
      <c r="D20">
        <v>93.8</v>
      </c>
      <c r="E20">
        <v>99.5</v>
      </c>
      <c r="F20">
        <v>102.5</v>
      </c>
      <c r="G20">
        <v>97.5</v>
      </c>
      <c r="H20">
        <v>103.2</v>
      </c>
      <c r="I20">
        <v>154.19999999999999</v>
      </c>
      <c r="J20">
        <v>156</v>
      </c>
      <c r="K20" t="s">
        <v>6</v>
      </c>
    </row>
    <row r="21" spans="1:11" x14ac:dyDescent="0.25">
      <c r="A21" t="s">
        <v>37</v>
      </c>
      <c r="B21" t="s">
        <v>279</v>
      </c>
      <c r="C21">
        <v>0</v>
      </c>
      <c r="D21">
        <v>210.86670000000001</v>
      </c>
      <c r="E21">
        <v>241.83330000000001</v>
      </c>
      <c r="F21">
        <v>251.83330000000001</v>
      </c>
      <c r="G21">
        <v>267.83330000000001</v>
      </c>
      <c r="H21">
        <v>0</v>
      </c>
      <c r="I21">
        <v>418.8</v>
      </c>
      <c r="J21">
        <v>402.57139999999998</v>
      </c>
      <c r="K21" t="s">
        <v>6</v>
      </c>
    </row>
    <row r="22" spans="1:11" x14ac:dyDescent="0.25">
      <c r="A22" t="s">
        <v>37</v>
      </c>
      <c r="B22" t="s">
        <v>315</v>
      </c>
      <c r="C22">
        <v>604.86670000000004</v>
      </c>
      <c r="D22">
        <v>622.86670000000004</v>
      </c>
      <c r="E22">
        <v>684.83330000000001</v>
      </c>
      <c r="F22">
        <v>0</v>
      </c>
      <c r="G22">
        <v>764.83330000000001</v>
      </c>
      <c r="H22">
        <v>0</v>
      </c>
      <c r="I22">
        <v>1157.8</v>
      </c>
      <c r="K22" t="s">
        <v>6</v>
      </c>
    </row>
    <row r="23" spans="1:11" x14ac:dyDescent="0.25">
      <c r="A23" t="s">
        <v>37</v>
      </c>
      <c r="B23" t="s">
        <v>333</v>
      </c>
      <c r="C23">
        <v>140.4</v>
      </c>
      <c r="D23">
        <v>145.4</v>
      </c>
      <c r="E23">
        <v>158</v>
      </c>
      <c r="F23">
        <v>163</v>
      </c>
      <c r="G23">
        <v>195</v>
      </c>
      <c r="H23">
        <v>0</v>
      </c>
      <c r="I23">
        <v>279.60000000000002</v>
      </c>
      <c r="J23">
        <v>262.28570000000002</v>
      </c>
      <c r="K23" t="s">
        <v>6</v>
      </c>
    </row>
    <row r="24" spans="1:11" x14ac:dyDescent="0.25">
      <c r="A24" t="s">
        <v>37</v>
      </c>
      <c r="B24" t="s">
        <v>351</v>
      </c>
      <c r="C24">
        <v>277</v>
      </c>
      <c r="D24">
        <v>284</v>
      </c>
      <c r="E24">
        <v>314</v>
      </c>
      <c r="F24">
        <v>329</v>
      </c>
      <c r="G24">
        <v>0</v>
      </c>
      <c r="H24">
        <v>0</v>
      </c>
      <c r="I24">
        <v>0</v>
      </c>
      <c r="J24">
        <v>0</v>
      </c>
      <c r="K24" t="s">
        <v>6</v>
      </c>
    </row>
    <row r="25" spans="1:11" x14ac:dyDescent="0.25">
      <c r="A25" t="s">
        <v>37</v>
      </c>
      <c r="B25" t="s">
        <v>360</v>
      </c>
      <c r="C25">
        <v>0</v>
      </c>
      <c r="D25">
        <v>304.33330000000001</v>
      </c>
      <c r="E25">
        <v>329.16669999999999</v>
      </c>
      <c r="F25">
        <v>339.16669999999999</v>
      </c>
      <c r="G25">
        <v>0</v>
      </c>
      <c r="H25">
        <v>0</v>
      </c>
      <c r="I25">
        <v>0</v>
      </c>
      <c r="J25">
        <v>0</v>
      </c>
      <c r="K25" t="s">
        <v>6</v>
      </c>
    </row>
    <row r="26" spans="1:11" x14ac:dyDescent="0.25">
      <c r="A26" t="s">
        <v>37</v>
      </c>
      <c r="B26" t="s">
        <v>369</v>
      </c>
      <c r="C26">
        <v>0</v>
      </c>
      <c r="D26">
        <v>466.26670000000001</v>
      </c>
      <c r="E26">
        <v>515.33330000000001</v>
      </c>
      <c r="F26">
        <v>0</v>
      </c>
      <c r="G26">
        <v>0</v>
      </c>
      <c r="H26">
        <v>0</v>
      </c>
      <c r="I26">
        <v>0</v>
      </c>
      <c r="J26">
        <v>0</v>
      </c>
      <c r="K26" t="s">
        <v>6</v>
      </c>
    </row>
    <row r="27" spans="1:11" x14ac:dyDescent="0.25">
      <c r="A27" t="s">
        <v>37</v>
      </c>
      <c r="B27" t="s">
        <v>387</v>
      </c>
      <c r="C27">
        <v>0</v>
      </c>
      <c r="D27">
        <v>143.9333</v>
      </c>
      <c r="E27">
        <v>155.66669999999999</v>
      </c>
      <c r="F27">
        <v>158.66669999999999</v>
      </c>
      <c r="G27">
        <v>0</v>
      </c>
      <c r="H27">
        <v>0</v>
      </c>
      <c r="I27">
        <v>0</v>
      </c>
      <c r="J27">
        <v>0</v>
      </c>
      <c r="K27" t="s">
        <v>6</v>
      </c>
    </row>
    <row r="28" spans="1:11" x14ac:dyDescent="0.25">
      <c r="A28" t="s">
        <v>37</v>
      </c>
      <c r="B28" t="s">
        <v>405</v>
      </c>
      <c r="C28">
        <v>113.86669999999999</v>
      </c>
      <c r="D28">
        <v>117.86669999999999</v>
      </c>
      <c r="E28">
        <v>126.83329999999999</v>
      </c>
      <c r="F28">
        <v>127.83329999999999</v>
      </c>
      <c r="G28">
        <v>143.83330000000001</v>
      </c>
      <c r="H28">
        <v>153.80000000000001</v>
      </c>
      <c r="I28">
        <v>175.8</v>
      </c>
      <c r="J28">
        <v>188.28569999999999</v>
      </c>
      <c r="K28" t="s">
        <v>6</v>
      </c>
    </row>
    <row r="29" spans="1:11" x14ac:dyDescent="0.25">
      <c r="A29" t="s">
        <v>37</v>
      </c>
      <c r="B29" t="s">
        <v>432</v>
      </c>
      <c r="C29">
        <v>148.4</v>
      </c>
      <c r="D29">
        <v>153.4</v>
      </c>
      <c r="E29">
        <v>0</v>
      </c>
      <c r="F29">
        <v>179</v>
      </c>
      <c r="G29">
        <v>0</v>
      </c>
      <c r="H29">
        <v>0</v>
      </c>
      <c r="I29">
        <v>0</v>
      </c>
      <c r="J29">
        <v>0</v>
      </c>
      <c r="K29" t="s">
        <v>6</v>
      </c>
    </row>
    <row r="30" spans="1:11" x14ac:dyDescent="0.25">
      <c r="A30" t="s">
        <v>37</v>
      </c>
      <c r="B30" t="s">
        <v>441</v>
      </c>
      <c r="C30">
        <v>235.26669999999999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 t="s">
        <v>6</v>
      </c>
    </row>
    <row r="31" spans="1:11" x14ac:dyDescent="0.25">
      <c r="A31" t="s">
        <v>37</v>
      </c>
      <c r="B31" t="s">
        <v>450</v>
      </c>
      <c r="C31">
        <v>231.9333</v>
      </c>
      <c r="D31">
        <v>237.9333</v>
      </c>
      <c r="E31">
        <v>261.66669999999999</v>
      </c>
      <c r="F31">
        <v>272.66669999999999</v>
      </c>
      <c r="G31">
        <v>289.66669999999999</v>
      </c>
      <c r="H31">
        <v>326.39999999999998</v>
      </c>
      <c r="I31">
        <v>454.4</v>
      </c>
      <c r="J31">
        <v>490.1429</v>
      </c>
      <c r="K31" t="s">
        <v>6</v>
      </c>
    </row>
    <row r="32" spans="1:11" x14ac:dyDescent="0.25">
      <c r="A32" t="s">
        <v>37</v>
      </c>
      <c r="B32" t="s">
        <v>522</v>
      </c>
      <c r="C32">
        <v>165.4667</v>
      </c>
      <c r="D32">
        <v>170.4667</v>
      </c>
      <c r="E32">
        <v>185.83330000000001</v>
      </c>
      <c r="F32">
        <v>190.83330000000001</v>
      </c>
      <c r="G32">
        <v>206.83330000000001</v>
      </c>
      <c r="H32">
        <v>229.2</v>
      </c>
      <c r="I32">
        <v>333.2</v>
      </c>
      <c r="J32">
        <v>351.8571</v>
      </c>
      <c r="K32" t="s">
        <v>6</v>
      </c>
    </row>
    <row r="33" spans="1:11" x14ac:dyDescent="0.25">
      <c r="A33" t="s">
        <v>37</v>
      </c>
      <c r="B33" t="s">
        <v>594</v>
      </c>
      <c r="C33">
        <v>0</v>
      </c>
      <c r="D33">
        <v>499.66669999999999</v>
      </c>
      <c r="E33">
        <v>552.33330000000001</v>
      </c>
      <c r="F33">
        <v>578.33330000000001</v>
      </c>
      <c r="J33">
        <v>996.14290000000005</v>
      </c>
      <c r="K33" t="s">
        <v>6</v>
      </c>
    </row>
    <row r="34" spans="1:11" x14ac:dyDescent="0.25">
      <c r="A34" t="s">
        <v>37</v>
      </c>
      <c r="B34" t="s">
        <v>639</v>
      </c>
      <c r="C34">
        <v>0</v>
      </c>
      <c r="D34">
        <v>241.6</v>
      </c>
      <c r="E34">
        <v>265.5</v>
      </c>
      <c r="F34">
        <v>277.5</v>
      </c>
      <c r="G34">
        <v>294.5</v>
      </c>
      <c r="H34">
        <v>331.4</v>
      </c>
      <c r="I34">
        <v>459.4</v>
      </c>
      <c r="J34">
        <v>494.57139999999998</v>
      </c>
      <c r="K34" t="s">
        <v>6</v>
      </c>
    </row>
    <row r="35" spans="1:11" x14ac:dyDescent="0.25">
      <c r="A35" t="s">
        <v>37</v>
      </c>
      <c r="B35" t="s">
        <v>648</v>
      </c>
      <c r="C35">
        <v>265.86669999999998</v>
      </c>
      <c r="D35">
        <v>273.86669999999998</v>
      </c>
      <c r="E35">
        <v>301.83330000000001</v>
      </c>
      <c r="F35">
        <v>313.83330000000001</v>
      </c>
      <c r="G35">
        <v>0</v>
      </c>
      <c r="H35">
        <v>0</v>
      </c>
      <c r="I35">
        <v>0</v>
      </c>
      <c r="J35">
        <v>0</v>
      </c>
      <c r="K35" t="s">
        <v>6</v>
      </c>
    </row>
    <row r="36" spans="1:11" x14ac:dyDescent="0.25">
      <c r="A36" t="s">
        <v>37</v>
      </c>
      <c r="B36" t="s">
        <v>675</v>
      </c>
      <c r="C36">
        <v>0</v>
      </c>
      <c r="D36">
        <v>157.33330000000001</v>
      </c>
      <c r="E36">
        <v>170.66669999999999</v>
      </c>
      <c r="F36">
        <v>175.66669999999999</v>
      </c>
      <c r="G36">
        <v>191.66669999999999</v>
      </c>
      <c r="H36">
        <v>211</v>
      </c>
      <c r="I36">
        <v>313</v>
      </c>
      <c r="J36">
        <v>327</v>
      </c>
      <c r="K36" t="s">
        <v>6</v>
      </c>
    </row>
    <row r="37" spans="1:11" x14ac:dyDescent="0.25">
      <c r="A37" t="s">
        <v>37</v>
      </c>
      <c r="B37" t="s">
        <v>702</v>
      </c>
      <c r="C37">
        <v>0</v>
      </c>
      <c r="D37">
        <v>270.2</v>
      </c>
      <c r="E37">
        <v>291.5</v>
      </c>
      <c r="F37">
        <v>298.5</v>
      </c>
      <c r="G37">
        <v>306.5</v>
      </c>
      <c r="H37">
        <v>322.8</v>
      </c>
      <c r="I37">
        <v>510.8</v>
      </c>
      <c r="J37">
        <v>512.57140000000004</v>
      </c>
      <c r="K37" t="s">
        <v>6</v>
      </c>
    </row>
    <row r="38" spans="1:11" x14ac:dyDescent="0.25">
      <c r="A38" t="s">
        <v>37</v>
      </c>
      <c r="B38" t="s">
        <v>729</v>
      </c>
      <c r="C38">
        <v>191.4</v>
      </c>
      <c r="D38">
        <v>197.4</v>
      </c>
      <c r="E38">
        <v>216.5</v>
      </c>
      <c r="F38">
        <v>224.5</v>
      </c>
      <c r="G38">
        <v>241.5</v>
      </c>
      <c r="H38">
        <v>267.60000000000002</v>
      </c>
      <c r="I38">
        <v>374.6</v>
      </c>
      <c r="J38">
        <v>401.1429</v>
      </c>
      <c r="K38" t="s">
        <v>6</v>
      </c>
    </row>
    <row r="39" spans="1:11" x14ac:dyDescent="0.25">
      <c r="A39" t="s">
        <v>37</v>
      </c>
      <c r="B39" t="s">
        <v>738</v>
      </c>
      <c r="C39">
        <v>174.8</v>
      </c>
      <c r="D39">
        <v>181.8</v>
      </c>
      <c r="E39">
        <v>206.5</v>
      </c>
      <c r="F39">
        <v>214.5</v>
      </c>
      <c r="G39">
        <v>230.5</v>
      </c>
      <c r="H39">
        <v>256.2</v>
      </c>
      <c r="I39">
        <v>363.2</v>
      </c>
      <c r="J39">
        <v>386.71429999999998</v>
      </c>
      <c r="K39" t="s">
        <v>6</v>
      </c>
    </row>
    <row r="40" spans="1:11" x14ac:dyDescent="0.25">
      <c r="A40" t="s">
        <v>37</v>
      </c>
      <c r="B40" t="s">
        <v>747</v>
      </c>
      <c r="C40">
        <v>241.26669999999999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 t="s">
        <v>6</v>
      </c>
    </row>
    <row r="41" spans="1:11" x14ac:dyDescent="0.25">
      <c r="A41" t="s">
        <v>37</v>
      </c>
      <c r="B41" t="s">
        <v>765</v>
      </c>
      <c r="C41">
        <v>0</v>
      </c>
      <c r="D41">
        <v>729.8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 t="s">
        <v>6</v>
      </c>
    </row>
    <row r="42" spans="1:11" x14ac:dyDescent="0.25">
      <c r="A42" t="s">
        <v>37</v>
      </c>
      <c r="B42" t="s">
        <v>783</v>
      </c>
      <c r="C42">
        <v>224.9333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 t="s">
        <v>6</v>
      </c>
    </row>
    <row r="43" spans="1:11" x14ac:dyDescent="0.25">
      <c r="A43" t="s">
        <v>37</v>
      </c>
      <c r="B43" t="s">
        <v>792</v>
      </c>
      <c r="C43">
        <v>0</v>
      </c>
      <c r="D43">
        <v>343.5333</v>
      </c>
      <c r="E43">
        <v>0</v>
      </c>
      <c r="F43">
        <v>0</v>
      </c>
      <c r="G43">
        <v>0</v>
      </c>
      <c r="H43">
        <v>0</v>
      </c>
      <c r="I43">
        <v>0</v>
      </c>
      <c r="J43">
        <v>685.85709999999995</v>
      </c>
      <c r="K43" t="s">
        <v>6</v>
      </c>
    </row>
    <row r="44" spans="1:11" x14ac:dyDescent="0.25">
      <c r="A44" t="s">
        <v>37</v>
      </c>
      <c r="B44" t="s">
        <v>819</v>
      </c>
      <c r="C44">
        <v>242.0667</v>
      </c>
      <c r="D44">
        <v>249.0667</v>
      </c>
      <c r="E44">
        <v>274.33330000000001</v>
      </c>
      <c r="F44">
        <v>286.33330000000001</v>
      </c>
      <c r="G44">
        <v>303.33330000000001</v>
      </c>
      <c r="H44">
        <v>341.6</v>
      </c>
      <c r="I44">
        <v>470.6</v>
      </c>
      <c r="J44">
        <v>510.71429999999998</v>
      </c>
      <c r="K44" t="s">
        <v>6</v>
      </c>
    </row>
    <row r="45" spans="1:11" x14ac:dyDescent="0.25">
      <c r="A45" t="s">
        <v>37</v>
      </c>
      <c r="B45" t="s">
        <v>828</v>
      </c>
      <c r="C45">
        <v>0</v>
      </c>
      <c r="D45">
        <v>169.8</v>
      </c>
      <c r="E45">
        <v>193</v>
      </c>
      <c r="F45">
        <v>0</v>
      </c>
      <c r="G45">
        <v>0</v>
      </c>
      <c r="H45">
        <v>0</v>
      </c>
      <c r="I45">
        <v>0</v>
      </c>
      <c r="J45">
        <v>0</v>
      </c>
      <c r="K45" t="s">
        <v>6</v>
      </c>
    </row>
    <row r="46" spans="1:11" x14ac:dyDescent="0.25">
      <c r="A46" t="s">
        <v>37</v>
      </c>
      <c r="B46" t="s">
        <v>846</v>
      </c>
      <c r="C46">
        <v>121</v>
      </c>
      <c r="D46">
        <v>126</v>
      </c>
      <c r="E46">
        <v>131</v>
      </c>
      <c r="F46">
        <v>132</v>
      </c>
      <c r="G46">
        <v>152</v>
      </c>
      <c r="H46">
        <v>151</v>
      </c>
      <c r="I46">
        <v>265</v>
      </c>
      <c r="J46">
        <v>271.57139999999998</v>
      </c>
      <c r="K46" t="s">
        <v>6</v>
      </c>
    </row>
    <row r="47" spans="1:11" x14ac:dyDescent="0.25">
      <c r="A47" t="s">
        <v>37</v>
      </c>
      <c r="B47" t="s">
        <v>855</v>
      </c>
      <c r="C47">
        <v>215.86670000000001</v>
      </c>
      <c r="D47">
        <v>222.86670000000001</v>
      </c>
      <c r="E47">
        <v>243.83330000000001</v>
      </c>
      <c r="F47">
        <v>252.83330000000001</v>
      </c>
      <c r="G47">
        <v>0</v>
      </c>
      <c r="H47">
        <v>303.8</v>
      </c>
      <c r="I47">
        <v>0</v>
      </c>
      <c r="J47">
        <v>0</v>
      </c>
      <c r="K47" t="s">
        <v>6</v>
      </c>
    </row>
    <row r="48" spans="1:11" x14ac:dyDescent="0.25">
      <c r="A48" t="s">
        <v>37</v>
      </c>
      <c r="B48" t="s">
        <v>864</v>
      </c>
      <c r="C48">
        <v>200.6</v>
      </c>
      <c r="D48">
        <v>206.6</v>
      </c>
      <c r="E48">
        <v>220</v>
      </c>
      <c r="F48">
        <v>225</v>
      </c>
      <c r="G48">
        <v>238</v>
      </c>
      <c r="I48">
        <v>415.52</v>
      </c>
      <c r="J48">
        <v>433.44</v>
      </c>
      <c r="K48" t="s">
        <v>6</v>
      </c>
    </row>
    <row r="49" spans="1:11" x14ac:dyDescent="0.25">
      <c r="A49" t="s">
        <v>37</v>
      </c>
      <c r="B49" t="s">
        <v>882</v>
      </c>
      <c r="C49">
        <v>0</v>
      </c>
      <c r="D49">
        <v>322.39999999999998</v>
      </c>
      <c r="E49">
        <v>356.5</v>
      </c>
      <c r="F49">
        <v>0</v>
      </c>
      <c r="G49">
        <v>0</v>
      </c>
      <c r="H49">
        <v>0</v>
      </c>
      <c r="I49">
        <v>0</v>
      </c>
      <c r="J49">
        <v>0</v>
      </c>
      <c r="K49" t="s">
        <v>6</v>
      </c>
    </row>
    <row r="50" spans="1:11" x14ac:dyDescent="0.25">
      <c r="A50" t="s">
        <v>37</v>
      </c>
      <c r="B50" t="s">
        <v>909</v>
      </c>
      <c r="C50">
        <v>119.9333</v>
      </c>
      <c r="D50">
        <v>123.9333</v>
      </c>
      <c r="E50">
        <v>123.66670000000001</v>
      </c>
      <c r="F50">
        <v>129.66669999999999</v>
      </c>
      <c r="G50">
        <v>140.66669999999999</v>
      </c>
      <c r="H50">
        <v>0</v>
      </c>
      <c r="I50">
        <v>0</v>
      </c>
      <c r="J50">
        <v>0</v>
      </c>
      <c r="K50" t="s">
        <v>6</v>
      </c>
    </row>
    <row r="51" spans="1:11" x14ac:dyDescent="0.25">
      <c r="A51" t="s">
        <v>333</v>
      </c>
      <c r="B51" t="s">
        <v>118</v>
      </c>
      <c r="C51">
        <v>0</v>
      </c>
      <c r="D51">
        <v>0</v>
      </c>
      <c r="E51">
        <v>267.66669999999999</v>
      </c>
      <c r="F51">
        <v>277.66669999999999</v>
      </c>
      <c r="G51">
        <v>0</v>
      </c>
      <c r="H51">
        <v>0</v>
      </c>
      <c r="I51">
        <v>454.6</v>
      </c>
      <c r="J51">
        <v>0</v>
      </c>
      <c r="K51" t="s">
        <v>6</v>
      </c>
    </row>
    <row r="52" spans="1:11" x14ac:dyDescent="0.25">
      <c r="A52" t="s">
        <v>333</v>
      </c>
      <c r="B52" t="s">
        <v>190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358.4</v>
      </c>
      <c r="J52">
        <v>380.71429999999998</v>
      </c>
      <c r="K52" t="s">
        <v>6</v>
      </c>
    </row>
    <row r="53" spans="1:11" x14ac:dyDescent="0.25">
      <c r="A53" t="s">
        <v>333</v>
      </c>
      <c r="B53" t="s">
        <v>208</v>
      </c>
      <c r="C53">
        <v>0</v>
      </c>
      <c r="D53">
        <v>0</v>
      </c>
      <c r="E53">
        <v>0</v>
      </c>
      <c r="F53">
        <v>0</v>
      </c>
      <c r="G53">
        <v>0</v>
      </c>
      <c r="H53">
        <v>159.5</v>
      </c>
      <c r="I53">
        <v>247.5</v>
      </c>
      <c r="J53">
        <v>248.6</v>
      </c>
      <c r="K53" t="s">
        <v>6</v>
      </c>
    </row>
    <row r="54" spans="1:11" x14ac:dyDescent="0.25">
      <c r="A54" t="s">
        <v>333</v>
      </c>
      <c r="B54" t="s">
        <v>217</v>
      </c>
      <c r="C54">
        <v>0</v>
      </c>
      <c r="D54">
        <v>0</v>
      </c>
      <c r="E54">
        <v>226.66669999999999</v>
      </c>
      <c r="F54">
        <v>0</v>
      </c>
      <c r="G54">
        <v>0</v>
      </c>
      <c r="H54">
        <v>0</v>
      </c>
      <c r="I54">
        <v>0</v>
      </c>
      <c r="J54">
        <v>0</v>
      </c>
      <c r="K54" t="s">
        <v>6</v>
      </c>
    </row>
    <row r="55" spans="1:11" x14ac:dyDescent="0.25">
      <c r="A55" t="s">
        <v>333</v>
      </c>
      <c r="B55" t="s">
        <v>244</v>
      </c>
      <c r="C55">
        <v>0</v>
      </c>
      <c r="D55">
        <v>123.0667</v>
      </c>
      <c r="E55">
        <v>133.33330000000001</v>
      </c>
      <c r="F55">
        <v>134.33330000000001</v>
      </c>
      <c r="G55">
        <v>150.33330000000001</v>
      </c>
      <c r="H55">
        <v>0</v>
      </c>
      <c r="I55">
        <v>241.6</v>
      </c>
      <c r="J55">
        <v>247.8571</v>
      </c>
      <c r="K55" t="s">
        <v>6</v>
      </c>
    </row>
    <row r="56" spans="1:11" x14ac:dyDescent="0.25">
      <c r="A56" t="s">
        <v>333</v>
      </c>
      <c r="B56" t="s">
        <v>37</v>
      </c>
      <c r="C56">
        <v>0</v>
      </c>
      <c r="D56">
        <v>0</v>
      </c>
      <c r="E56">
        <v>153.16669999999999</v>
      </c>
      <c r="G56">
        <v>163.16669999999999</v>
      </c>
      <c r="H56">
        <v>171.8</v>
      </c>
      <c r="I56">
        <v>255.8</v>
      </c>
      <c r="J56">
        <v>278.57139999999998</v>
      </c>
      <c r="K56" t="s">
        <v>6</v>
      </c>
    </row>
    <row r="57" spans="1:11" x14ac:dyDescent="0.25">
      <c r="A57" t="s">
        <v>333</v>
      </c>
      <c r="B57" t="s">
        <v>279</v>
      </c>
      <c r="C57">
        <v>0</v>
      </c>
      <c r="D57">
        <v>0</v>
      </c>
      <c r="E57">
        <v>0</v>
      </c>
      <c r="F57">
        <v>194</v>
      </c>
      <c r="G57">
        <v>0</v>
      </c>
      <c r="H57">
        <v>233.8</v>
      </c>
      <c r="I57">
        <v>301.8</v>
      </c>
      <c r="J57">
        <v>334</v>
      </c>
      <c r="K57" t="s">
        <v>6</v>
      </c>
    </row>
    <row r="58" spans="1:11" x14ac:dyDescent="0.25">
      <c r="A58" t="s">
        <v>333</v>
      </c>
      <c r="B58" t="s">
        <v>333</v>
      </c>
      <c r="C58">
        <v>0</v>
      </c>
      <c r="D58">
        <v>0</v>
      </c>
      <c r="E58">
        <v>121.66670000000001</v>
      </c>
      <c r="F58">
        <v>0</v>
      </c>
      <c r="G58">
        <v>0</v>
      </c>
      <c r="H58">
        <v>0</v>
      </c>
      <c r="I58">
        <v>221.6</v>
      </c>
      <c r="J58">
        <v>208</v>
      </c>
      <c r="K58" t="s">
        <v>6</v>
      </c>
    </row>
    <row r="59" spans="1:11" x14ac:dyDescent="0.25">
      <c r="A59" t="s">
        <v>333</v>
      </c>
      <c r="B59" t="s">
        <v>432</v>
      </c>
      <c r="C59">
        <v>0</v>
      </c>
      <c r="D59">
        <v>0</v>
      </c>
      <c r="E59">
        <v>0</v>
      </c>
      <c r="F59">
        <v>138.16669999999999</v>
      </c>
      <c r="G59">
        <v>0</v>
      </c>
      <c r="H59">
        <v>0</v>
      </c>
      <c r="I59">
        <v>0</v>
      </c>
      <c r="J59">
        <v>0</v>
      </c>
      <c r="K59" t="s">
        <v>6</v>
      </c>
    </row>
    <row r="60" spans="1:11" x14ac:dyDescent="0.25">
      <c r="A60" t="s">
        <v>333</v>
      </c>
      <c r="B60" t="s">
        <v>441</v>
      </c>
      <c r="C60">
        <v>190.73330000000001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 t="s">
        <v>6</v>
      </c>
    </row>
    <row r="61" spans="1:11" x14ac:dyDescent="0.25">
      <c r="A61" t="s">
        <v>333</v>
      </c>
      <c r="B61" t="s">
        <v>468</v>
      </c>
      <c r="C61">
        <v>270.33330000000001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 t="s">
        <v>6</v>
      </c>
    </row>
    <row r="62" spans="1:11" x14ac:dyDescent="0.25">
      <c r="A62" t="s">
        <v>333</v>
      </c>
      <c r="B62" t="s">
        <v>522</v>
      </c>
      <c r="C62">
        <v>210.5333</v>
      </c>
      <c r="D62">
        <v>0</v>
      </c>
      <c r="E62">
        <v>237.16669999999999</v>
      </c>
      <c r="F62">
        <v>0</v>
      </c>
      <c r="G62">
        <v>0</v>
      </c>
      <c r="H62">
        <v>294.8</v>
      </c>
      <c r="I62">
        <v>405.8</v>
      </c>
      <c r="J62">
        <v>434.71429999999998</v>
      </c>
      <c r="K62" t="s">
        <v>6</v>
      </c>
    </row>
    <row r="63" spans="1:11" x14ac:dyDescent="0.25">
      <c r="A63" t="s">
        <v>333</v>
      </c>
      <c r="B63" t="s">
        <v>594</v>
      </c>
      <c r="C63">
        <v>392.4667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 t="s">
        <v>6</v>
      </c>
    </row>
    <row r="64" spans="1:11" x14ac:dyDescent="0.25">
      <c r="A64" t="s">
        <v>333</v>
      </c>
      <c r="B64" t="s">
        <v>639</v>
      </c>
      <c r="C64">
        <v>0</v>
      </c>
      <c r="D64">
        <v>0</v>
      </c>
      <c r="E64">
        <v>321.16669999999999</v>
      </c>
      <c r="F64">
        <v>0</v>
      </c>
      <c r="G64">
        <v>0</v>
      </c>
      <c r="H64">
        <v>0</v>
      </c>
      <c r="I64">
        <v>0</v>
      </c>
      <c r="J64">
        <v>0</v>
      </c>
      <c r="K64" t="s">
        <v>6</v>
      </c>
    </row>
    <row r="65" spans="1:11" x14ac:dyDescent="0.25">
      <c r="A65" t="s">
        <v>333</v>
      </c>
      <c r="B65" t="s">
        <v>675</v>
      </c>
      <c r="C65">
        <v>0</v>
      </c>
      <c r="D65">
        <v>0</v>
      </c>
      <c r="E65">
        <v>217.66669999999999</v>
      </c>
      <c r="F65">
        <v>0</v>
      </c>
      <c r="G65">
        <v>0</v>
      </c>
      <c r="H65">
        <v>270.8</v>
      </c>
      <c r="I65">
        <v>379.8</v>
      </c>
      <c r="J65">
        <v>402.8571</v>
      </c>
      <c r="K65" t="s">
        <v>6</v>
      </c>
    </row>
    <row r="66" spans="1:11" x14ac:dyDescent="0.25">
      <c r="A66" t="s">
        <v>333</v>
      </c>
      <c r="B66" t="s">
        <v>729</v>
      </c>
      <c r="C66">
        <v>147.33330000000001</v>
      </c>
      <c r="D66">
        <v>152.33330000000001</v>
      </c>
      <c r="E66">
        <v>151.66669999999999</v>
      </c>
      <c r="F66">
        <v>161.66669999999999</v>
      </c>
      <c r="G66">
        <v>185.66669999999999</v>
      </c>
      <c r="H66">
        <v>207.9</v>
      </c>
      <c r="I66">
        <v>306.89999999999998</v>
      </c>
      <c r="J66">
        <v>314.60000000000002</v>
      </c>
      <c r="K66" t="s">
        <v>6</v>
      </c>
    </row>
    <row r="67" spans="1:11" x14ac:dyDescent="0.25">
      <c r="A67" t="s">
        <v>333</v>
      </c>
      <c r="B67" t="s">
        <v>738</v>
      </c>
      <c r="C67">
        <v>0</v>
      </c>
      <c r="D67">
        <v>135.4667</v>
      </c>
      <c r="E67">
        <v>0</v>
      </c>
      <c r="F67">
        <v>0</v>
      </c>
      <c r="G67">
        <v>0</v>
      </c>
      <c r="H67">
        <v>0</v>
      </c>
      <c r="I67">
        <v>301.27999999999997</v>
      </c>
      <c r="J67">
        <v>285.71429999999998</v>
      </c>
      <c r="K67" t="s">
        <v>6</v>
      </c>
    </row>
    <row r="68" spans="1:11" x14ac:dyDescent="0.25">
      <c r="A68" t="s">
        <v>333</v>
      </c>
      <c r="B68" t="s">
        <v>747</v>
      </c>
      <c r="C68">
        <v>195.66669999999999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 t="s">
        <v>6</v>
      </c>
    </row>
    <row r="69" spans="1:11" x14ac:dyDescent="0.25">
      <c r="A69" t="s">
        <v>333</v>
      </c>
      <c r="B69" t="s">
        <v>783</v>
      </c>
      <c r="C69">
        <v>183.0667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 t="s">
        <v>6</v>
      </c>
    </row>
    <row r="70" spans="1:11" x14ac:dyDescent="0.25">
      <c r="A70" t="s">
        <v>333</v>
      </c>
      <c r="B70" t="s">
        <v>819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556.64</v>
      </c>
      <c r="J70">
        <v>587.28570000000002</v>
      </c>
      <c r="K70" t="s">
        <v>6</v>
      </c>
    </row>
    <row r="71" spans="1:11" x14ac:dyDescent="0.25">
      <c r="A71" t="s">
        <v>333</v>
      </c>
      <c r="B71" t="s">
        <v>846</v>
      </c>
      <c r="C71">
        <v>0</v>
      </c>
      <c r="D71">
        <v>0</v>
      </c>
      <c r="E71">
        <v>185</v>
      </c>
      <c r="F71">
        <v>0</v>
      </c>
      <c r="G71">
        <v>0</v>
      </c>
      <c r="H71">
        <v>235</v>
      </c>
      <c r="I71">
        <v>337</v>
      </c>
      <c r="J71">
        <v>355.71429999999998</v>
      </c>
      <c r="K71" t="s">
        <v>6</v>
      </c>
    </row>
    <row r="72" spans="1:11" x14ac:dyDescent="0.25">
      <c r="A72" t="s">
        <v>333</v>
      </c>
      <c r="B72" t="s">
        <v>864</v>
      </c>
      <c r="C72">
        <v>0</v>
      </c>
      <c r="D72">
        <v>0</v>
      </c>
      <c r="E72">
        <v>280.5</v>
      </c>
      <c r="F72">
        <v>292.5</v>
      </c>
      <c r="G72">
        <v>0</v>
      </c>
      <c r="H72">
        <v>0</v>
      </c>
      <c r="I72">
        <v>487.2</v>
      </c>
      <c r="J72">
        <v>512.96</v>
      </c>
      <c r="K72" t="s">
        <v>6</v>
      </c>
    </row>
    <row r="73" spans="1:11" x14ac:dyDescent="0.25">
      <c r="A73" t="s">
        <v>333</v>
      </c>
      <c r="B73" t="s">
        <v>909</v>
      </c>
      <c r="C73">
        <v>0</v>
      </c>
      <c r="D73">
        <v>158.9333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 t="s">
        <v>6</v>
      </c>
    </row>
    <row r="74" spans="1:11" x14ac:dyDescent="0.25">
      <c r="A74" t="s">
        <v>46</v>
      </c>
      <c r="B74" t="s">
        <v>208</v>
      </c>
      <c r="C74">
        <v>0</v>
      </c>
      <c r="D74">
        <v>0</v>
      </c>
      <c r="E74">
        <v>0</v>
      </c>
      <c r="F74">
        <v>0</v>
      </c>
      <c r="G74">
        <v>0</v>
      </c>
      <c r="H74">
        <v>483.36</v>
      </c>
      <c r="I74">
        <v>662.34</v>
      </c>
      <c r="J74">
        <v>703.38</v>
      </c>
      <c r="K74" t="s">
        <v>6</v>
      </c>
    </row>
    <row r="75" spans="1:11" x14ac:dyDescent="0.25">
      <c r="A75" t="s">
        <v>46</v>
      </c>
      <c r="B75" t="s">
        <v>253</v>
      </c>
      <c r="C75">
        <v>0</v>
      </c>
      <c r="D75">
        <v>0</v>
      </c>
      <c r="E75">
        <v>0</v>
      </c>
      <c r="F75">
        <v>0</v>
      </c>
      <c r="G75">
        <v>0</v>
      </c>
      <c r="H75">
        <v>477.66</v>
      </c>
      <c r="I75">
        <v>663.48</v>
      </c>
      <c r="J75">
        <v>702.24</v>
      </c>
      <c r="K75" t="s">
        <v>6</v>
      </c>
    </row>
    <row r="76" spans="1:11" x14ac:dyDescent="0.25">
      <c r="A76" t="s">
        <v>46</v>
      </c>
      <c r="B76" t="s">
        <v>315</v>
      </c>
      <c r="C76">
        <v>0</v>
      </c>
      <c r="D76">
        <v>0</v>
      </c>
      <c r="E76">
        <v>0</v>
      </c>
      <c r="F76">
        <v>0</v>
      </c>
      <c r="G76">
        <v>0</v>
      </c>
      <c r="H76">
        <v>1083</v>
      </c>
      <c r="I76">
        <v>1463.76</v>
      </c>
      <c r="J76">
        <v>1554.96</v>
      </c>
      <c r="K76" t="s">
        <v>6</v>
      </c>
    </row>
    <row r="77" spans="1:11" x14ac:dyDescent="0.25">
      <c r="A77" t="s">
        <v>46</v>
      </c>
      <c r="B77" t="s">
        <v>351</v>
      </c>
      <c r="C77">
        <v>0</v>
      </c>
      <c r="D77">
        <v>0</v>
      </c>
      <c r="E77">
        <v>0</v>
      </c>
      <c r="F77">
        <v>0</v>
      </c>
      <c r="G77">
        <v>0</v>
      </c>
      <c r="H77">
        <v>165.3</v>
      </c>
      <c r="I77">
        <v>255.36</v>
      </c>
      <c r="J77">
        <v>256.5</v>
      </c>
      <c r="K77" t="s">
        <v>6</v>
      </c>
    </row>
    <row r="78" spans="1:11" x14ac:dyDescent="0.25">
      <c r="A78" t="s">
        <v>46</v>
      </c>
      <c r="B78" t="s">
        <v>360</v>
      </c>
      <c r="C78">
        <v>0</v>
      </c>
      <c r="D78">
        <v>0</v>
      </c>
      <c r="E78">
        <v>0</v>
      </c>
      <c r="F78">
        <v>0</v>
      </c>
      <c r="G78">
        <v>0</v>
      </c>
      <c r="H78">
        <v>571.14</v>
      </c>
      <c r="I78">
        <v>705.66</v>
      </c>
      <c r="J78">
        <v>772.92</v>
      </c>
      <c r="K78" t="s">
        <v>6</v>
      </c>
    </row>
    <row r="79" spans="1:11" x14ac:dyDescent="0.25">
      <c r="A79" t="s">
        <v>46</v>
      </c>
      <c r="B79" t="s">
        <v>405</v>
      </c>
      <c r="C79">
        <v>0</v>
      </c>
      <c r="D79">
        <v>0</v>
      </c>
      <c r="E79">
        <v>0</v>
      </c>
      <c r="F79">
        <v>0</v>
      </c>
      <c r="G79">
        <v>0</v>
      </c>
      <c r="H79">
        <v>429.78</v>
      </c>
      <c r="I79">
        <v>596.22</v>
      </c>
      <c r="J79">
        <v>629.28</v>
      </c>
      <c r="K79" t="s">
        <v>6</v>
      </c>
    </row>
    <row r="80" spans="1:11" x14ac:dyDescent="0.25">
      <c r="A80" t="s">
        <v>46</v>
      </c>
      <c r="B80" t="s">
        <v>648</v>
      </c>
      <c r="C80">
        <v>0</v>
      </c>
      <c r="D80">
        <v>0</v>
      </c>
      <c r="E80">
        <v>0</v>
      </c>
      <c r="F80">
        <v>0</v>
      </c>
      <c r="G80">
        <v>0</v>
      </c>
      <c r="H80">
        <v>725.04</v>
      </c>
      <c r="I80">
        <v>1002.06</v>
      </c>
      <c r="J80">
        <v>1060.2</v>
      </c>
      <c r="K80" t="s">
        <v>6</v>
      </c>
    </row>
    <row r="81" spans="1:11" x14ac:dyDescent="0.25">
      <c r="A81" t="s">
        <v>46</v>
      </c>
      <c r="B81" t="s">
        <v>729</v>
      </c>
      <c r="C81">
        <v>0</v>
      </c>
      <c r="D81">
        <v>0</v>
      </c>
      <c r="E81">
        <v>0</v>
      </c>
      <c r="F81">
        <v>0</v>
      </c>
      <c r="G81">
        <v>0</v>
      </c>
      <c r="H81">
        <v>531.24</v>
      </c>
      <c r="I81">
        <v>723.9</v>
      </c>
      <c r="J81">
        <v>770.64</v>
      </c>
      <c r="K81" t="s">
        <v>6</v>
      </c>
    </row>
    <row r="82" spans="1:11" x14ac:dyDescent="0.25">
      <c r="A82" t="s">
        <v>46</v>
      </c>
      <c r="B82" t="s">
        <v>882</v>
      </c>
      <c r="C82">
        <v>0</v>
      </c>
      <c r="D82">
        <v>0</v>
      </c>
      <c r="E82">
        <v>0</v>
      </c>
      <c r="F82">
        <v>0</v>
      </c>
      <c r="G82">
        <v>0</v>
      </c>
      <c r="H82">
        <v>779.76</v>
      </c>
      <c r="I82">
        <v>1062.48</v>
      </c>
      <c r="J82">
        <v>1128.5999999999999</v>
      </c>
      <c r="K82" t="s">
        <v>6</v>
      </c>
    </row>
    <row r="83" spans="1:11" x14ac:dyDescent="0.25">
      <c r="A83" t="s">
        <v>333</v>
      </c>
      <c r="B83" t="s">
        <v>82</v>
      </c>
      <c r="C83">
        <v>0</v>
      </c>
      <c r="D83">
        <v>0</v>
      </c>
      <c r="E83">
        <v>0</v>
      </c>
      <c r="F83">
        <v>0</v>
      </c>
      <c r="G83">
        <v>0</v>
      </c>
      <c r="H83">
        <v>229.9</v>
      </c>
      <c r="I83">
        <v>331.1</v>
      </c>
      <c r="J83">
        <v>343.2</v>
      </c>
      <c r="K83" t="s">
        <v>6</v>
      </c>
    </row>
    <row r="84" spans="1:11" x14ac:dyDescent="0.25">
      <c r="A84" t="s">
        <v>333</v>
      </c>
      <c r="B84" t="s">
        <v>127</v>
      </c>
      <c r="C84">
        <v>0</v>
      </c>
      <c r="D84">
        <v>0</v>
      </c>
      <c r="E84">
        <v>0</v>
      </c>
      <c r="F84">
        <v>0</v>
      </c>
      <c r="G84">
        <v>0</v>
      </c>
      <c r="H84">
        <v>397.1</v>
      </c>
      <c r="I84">
        <v>544.5</v>
      </c>
      <c r="J84">
        <v>577.5</v>
      </c>
      <c r="K84" t="s">
        <v>6</v>
      </c>
    </row>
    <row r="85" spans="1:11" x14ac:dyDescent="0.25">
      <c r="A85" t="s">
        <v>333</v>
      </c>
      <c r="B85" t="s">
        <v>136</v>
      </c>
      <c r="C85">
        <v>0</v>
      </c>
      <c r="D85">
        <v>0</v>
      </c>
      <c r="E85">
        <v>0</v>
      </c>
      <c r="F85">
        <v>0</v>
      </c>
      <c r="G85">
        <v>0</v>
      </c>
      <c r="H85">
        <v>374</v>
      </c>
      <c r="I85">
        <v>518.1</v>
      </c>
      <c r="J85">
        <v>547.79999999999995</v>
      </c>
      <c r="K85" t="s">
        <v>6</v>
      </c>
    </row>
    <row r="86" spans="1:11" x14ac:dyDescent="0.25">
      <c r="A86" t="s">
        <v>333</v>
      </c>
      <c r="B86" t="s">
        <v>253</v>
      </c>
      <c r="C86">
        <v>0</v>
      </c>
      <c r="D86">
        <v>0</v>
      </c>
      <c r="E86">
        <v>0</v>
      </c>
      <c r="F86">
        <v>0</v>
      </c>
      <c r="G86">
        <v>0</v>
      </c>
      <c r="H86">
        <v>209</v>
      </c>
      <c r="I86">
        <v>309.10000000000002</v>
      </c>
      <c r="J86">
        <v>316.8</v>
      </c>
      <c r="K86" t="s">
        <v>6</v>
      </c>
    </row>
    <row r="87" spans="1:11" x14ac:dyDescent="0.25">
      <c r="A87" t="s">
        <v>333</v>
      </c>
      <c r="B87" t="s">
        <v>315</v>
      </c>
      <c r="C87">
        <v>0</v>
      </c>
      <c r="D87">
        <v>0</v>
      </c>
      <c r="E87">
        <v>0</v>
      </c>
      <c r="F87">
        <v>0</v>
      </c>
      <c r="G87">
        <v>0</v>
      </c>
      <c r="H87">
        <v>751.3</v>
      </c>
      <c r="I87">
        <v>1007.6</v>
      </c>
      <c r="J87">
        <v>1073.5999999999999</v>
      </c>
      <c r="K87" t="s">
        <v>6</v>
      </c>
    </row>
    <row r="88" spans="1:11" x14ac:dyDescent="0.25">
      <c r="A88" t="s">
        <v>333</v>
      </c>
      <c r="B88" t="s">
        <v>351</v>
      </c>
      <c r="C88">
        <v>0</v>
      </c>
      <c r="D88">
        <v>0</v>
      </c>
      <c r="E88">
        <v>0</v>
      </c>
      <c r="F88">
        <v>0</v>
      </c>
      <c r="G88">
        <v>0</v>
      </c>
      <c r="H88">
        <v>444.4</v>
      </c>
      <c r="I88">
        <v>603.9</v>
      </c>
      <c r="J88">
        <v>643.5</v>
      </c>
      <c r="K88" t="s">
        <v>6</v>
      </c>
    </row>
    <row r="89" spans="1:11" x14ac:dyDescent="0.25">
      <c r="A89" t="s">
        <v>333</v>
      </c>
      <c r="B89" t="s">
        <v>360</v>
      </c>
      <c r="C89">
        <v>0</v>
      </c>
      <c r="D89">
        <v>0</v>
      </c>
      <c r="E89">
        <v>0</v>
      </c>
      <c r="F89">
        <v>0</v>
      </c>
      <c r="G89">
        <v>0</v>
      </c>
      <c r="H89">
        <v>418</v>
      </c>
      <c r="I89">
        <v>574.20000000000005</v>
      </c>
      <c r="J89">
        <v>610.5</v>
      </c>
      <c r="K89" t="s">
        <v>6</v>
      </c>
    </row>
    <row r="90" spans="1:11" x14ac:dyDescent="0.25">
      <c r="A90" t="s">
        <v>333</v>
      </c>
      <c r="B90" t="s">
        <v>405</v>
      </c>
      <c r="C90">
        <v>0</v>
      </c>
      <c r="D90">
        <v>0</v>
      </c>
      <c r="E90">
        <v>0</v>
      </c>
      <c r="F90">
        <v>0</v>
      </c>
      <c r="G90">
        <v>0</v>
      </c>
      <c r="H90">
        <v>226.6</v>
      </c>
      <c r="I90">
        <v>327.8</v>
      </c>
      <c r="J90">
        <v>338.8</v>
      </c>
      <c r="K90" t="s">
        <v>6</v>
      </c>
    </row>
    <row r="91" spans="1:11" x14ac:dyDescent="0.25">
      <c r="A91" t="s">
        <v>333</v>
      </c>
      <c r="B91" t="s">
        <v>648</v>
      </c>
      <c r="C91">
        <v>0</v>
      </c>
      <c r="D91">
        <v>0</v>
      </c>
      <c r="E91">
        <v>0</v>
      </c>
      <c r="F91">
        <v>0</v>
      </c>
      <c r="G91">
        <v>0</v>
      </c>
      <c r="H91">
        <v>348.7</v>
      </c>
      <c r="I91">
        <v>484</v>
      </c>
      <c r="J91">
        <v>508.2</v>
      </c>
      <c r="K91" t="s">
        <v>6</v>
      </c>
    </row>
    <row r="92" spans="1:11" x14ac:dyDescent="0.25">
      <c r="A92" t="s">
        <v>333</v>
      </c>
      <c r="B92" t="s">
        <v>702</v>
      </c>
      <c r="C92">
        <v>0</v>
      </c>
      <c r="D92">
        <v>0</v>
      </c>
      <c r="E92">
        <v>0</v>
      </c>
      <c r="F92">
        <v>0</v>
      </c>
      <c r="G92">
        <v>0</v>
      </c>
      <c r="H92">
        <v>426.8</v>
      </c>
      <c r="I92">
        <v>584.1</v>
      </c>
      <c r="J92">
        <v>572</v>
      </c>
      <c r="K92" t="s">
        <v>6</v>
      </c>
    </row>
    <row r="93" spans="1:11" x14ac:dyDescent="0.25">
      <c r="A93" t="s">
        <v>333</v>
      </c>
      <c r="B93" t="s">
        <v>882</v>
      </c>
      <c r="C93">
        <v>0</v>
      </c>
      <c r="D93">
        <v>0</v>
      </c>
      <c r="E93">
        <v>0</v>
      </c>
      <c r="F93">
        <v>0</v>
      </c>
      <c r="G93">
        <v>0</v>
      </c>
      <c r="H93">
        <v>410.3</v>
      </c>
      <c r="I93">
        <v>553.29999999999995</v>
      </c>
      <c r="J93">
        <v>587.4</v>
      </c>
      <c r="K93" t="s">
        <v>6</v>
      </c>
    </row>
    <row r="94" spans="1:11" x14ac:dyDescent="0.25">
      <c r="A94" t="s">
        <v>37</v>
      </c>
      <c r="B94" t="s">
        <v>46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532.1</v>
      </c>
      <c r="K94" t="s">
        <v>6</v>
      </c>
    </row>
    <row r="95" spans="1:11" x14ac:dyDescent="0.25">
      <c r="A95" t="s">
        <v>46</v>
      </c>
      <c r="B95" t="s">
        <v>37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266.05</v>
      </c>
      <c r="K95" t="s">
        <v>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997DA-7FDD-4357-970A-4FACB1904C9E}">
  <sheetPr>
    <tabColor theme="8"/>
  </sheetPr>
  <dimension ref="A1:J107"/>
  <sheetViews>
    <sheetView zoomScale="80" zoomScaleNormal="80" workbookViewId="0">
      <selection activeCell="J56" sqref="J56"/>
    </sheetView>
  </sheetViews>
  <sheetFormatPr baseColWidth="10" defaultColWidth="11.42578125" defaultRowHeight="15" x14ac:dyDescent="0.25"/>
  <cols>
    <col min="1" max="1" width="11.28515625" bestFit="1" customWidth="1"/>
    <col min="2" max="2" width="24" bestFit="1" customWidth="1"/>
    <col min="3" max="5" width="14.42578125" style="1" bestFit="1" customWidth="1"/>
    <col min="6" max="6" width="15.5703125" style="1" bestFit="1" customWidth="1"/>
    <col min="7" max="9" width="16.5703125" style="1" bestFit="1" customWidth="1"/>
    <col min="10" max="10" width="16.7109375" style="1" bestFit="1" customWidth="1"/>
  </cols>
  <sheetData>
    <row r="1" spans="1:10" x14ac:dyDescent="0.25">
      <c r="A1" t="s">
        <v>1</v>
      </c>
      <c r="B1" t="s">
        <v>2</v>
      </c>
      <c r="C1" s="1" t="s">
        <v>21</v>
      </c>
      <c r="D1" s="1" t="s">
        <v>29</v>
      </c>
      <c r="E1" s="1" t="s">
        <v>31</v>
      </c>
      <c r="F1" s="1" t="s">
        <v>33</v>
      </c>
      <c r="G1" s="1" t="s">
        <v>23</v>
      </c>
      <c r="H1" s="1" t="s">
        <v>25</v>
      </c>
      <c r="I1" s="1" t="s">
        <v>27</v>
      </c>
      <c r="J1" s="1" t="s">
        <v>35</v>
      </c>
    </row>
    <row r="2" spans="1:10" hidden="1" x14ac:dyDescent="0.25">
      <c r="A2" s="32" t="s">
        <v>46</v>
      </c>
      <c r="B2" s="33" t="s">
        <v>450</v>
      </c>
      <c r="C2" s="34">
        <v>0</v>
      </c>
      <c r="D2" s="34">
        <v>163.68000000000004</v>
      </c>
      <c r="E2" s="34">
        <v>178.20000000000002</v>
      </c>
      <c r="F2" s="34">
        <v>182.60000000000002</v>
      </c>
      <c r="G2" s="34">
        <v>0</v>
      </c>
      <c r="H2" s="34">
        <v>0</v>
      </c>
      <c r="I2" s="34">
        <v>336.072</v>
      </c>
      <c r="J2" s="34">
        <v>324.34285714285716</v>
      </c>
    </row>
    <row r="3" spans="1:10" hidden="1" x14ac:dyDescent="0.25">
      <c r="A3" s="35" t="s">
        <v>46</v>
      </c>
      <c r="B3" s="36" t="s">
        <v>82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609.44400000000019</v>
      </c>
      <c r="I3" s="34">
        <v>822.62400000000014</v>
      </c>
      <c r="J3" s="34">
        <v>879.0540000000002</v>
      </c>
    </row>
    <row r="4" spans="1:10" hidden="1" x14ac:dyDescent="0.25">
      <c r="A4" s="35" t="s">
        <v>46</v>
      </c>
      <c r="B4" s="36" t="s">
        <v>127</v>
      </c>
      <c r="C4" s="34">
        <v>0</v>
      </c>
      <c r="D4" s="34">
        <v>0</v>
      </c>
      <c r="E4" s="34">
        <v>0</v>
      </c>
      <c r="F4" s="34">
        <v>0</v>
      </c>
      <c r="G4" s="34">
        <v>0</v>
      </c>
      <c r="H4" s="34">
        <v>231.99000000000007</v>
      </c>
      <c r="I4" s="34">
        <v>342.34200000000004</v>
      </c>
      <c r="J4" s="34">
        <v>351.12000000000006</v>
      </c>
    </row>
    <row r="5" spans="1:10" hidden="1" x14ac:dyDescent="0.25">
      <c r="A5" s="35" t="s">
        <v>46</v>
      </c>
      <c r="B5" s="36" t="s">
        <v>136</v>
      </c>
      <c r="C5" s="34">
        <v>0</v>
      </c>
      <c r="D5" s="34">
        <v>0</v>
      </c>
      <c r="E5" s="34">
        <v>0</v>
      </c>
      <c r="F5" s="34">
        <v>0</v>
      </c>
      <c r="G5" s="34">
        <v>0</v>
      </c>
      <c r="H5" s="34">
        <v>250.80000000000004</v>
      </c>
      <c r="I5" s="34">
        <v>363.66000000000008</v>
      </c>
      <c r="J5" s="37">
        <v>376.2000000000001</v>
      </c>
    </row>
    <row r="6" spans="1:10" hidden="1" x14ac:dyDescent="0.25">
      <c r="A6" s="32" t="s">
        <v>46</v>
      </c>
      <c r="B6" s="33" t="s">
        <v>639</v>
      </c>
      <c r="C6" s="34">
        <v>0</v>
      </c>
      <c r="D6" s="34">
        <v>0</v>
      </c>
      <c r="E6" s="34">
        <v>0</v>
      </c>
      <c r="F6" s="34">
        <v>190.85000000000002</v>
      </c>
      <c r="G6" s="34">
        <v>0</v>
      </c>
      <c r="H6" s="34">
        <v>0</v>
      </c>
      <c r="I6" s="34">
        <v>0</v>
      </c>
      <c r="J6" s="34">
        <v>0</v>
      </c>
    </row>
    <row r="7" spans="1:10" hidden="1" x14ac:dyDescent="0.25">
      <c r="A7" s="32" t="s">
        <v>46</v>
      </c>
      <c r="B7" s="33" t="s">
        <v>702</v>
      </c>
      <c r="C7" s="34">
        <v>0</v>
      </c>
      <c r="D7" s="34">
        <v>0</v>
      </c>
      <c r="E7" s="34">
        <v>0</v>
      </c>
      <c r="F7" s="34">
        <v>0</v>
      </c>
      <c r="G7" s="34">
        <v>0</v>
      </c>
      <c r="H7" s="34">
        <v>199.38600000000002</v>
      </c>
      <c r="I7" s="34">
        <v>298.45200000000006</v>
      </c>
      <c r="J7" s="34">
        <v>303.46800000000007</v>
      </c>
    </row>
    <row r="8" spans="1:10" hidden="1" x14ac:dyDescent="0.25">
      <c r="A8" s="32" t="s">
        <v>37</v>
      </c>
      <c r="B8" s="33" t="s">
        <v>82</v>
      </c>
      <c r="C8" s="34">
        <v>219.70666666666668</v>
      </c>
      <c r="D8" s="34">
        <v>226.30666666666667</v>
      </c>
      <c r="E8" s="34">
        <v>259.23333333333335</v>
      </c>
      <c r="F8" s="34">
        <v>270.23333333333335</v>
      </c>
      <c r="G8" s="34">
        <v>288.93333333333334</v>
      </c>
      <c r="H8" s="34">
        <v>0</v>
      </c>
      <c r="I8" s="34">
        <v>0</v>
      </c>
      <c r="J8" s="34">
        <v>0</v>
      </c>
    </row>
    <row r="9" spans="1:10" hidden="1" x14ac:dyDescent="0.25">
      <c r="A9" s="32" t="s">
        <v>37</v>
      </c>
      <c r="B9" s="33" t="s">
        <v>109</v>
      </c>
      <c r="C9" s="34">
        <v>0</v>
      </c>
      <c r="D9" s="34">
        <v>0</v>
      </c>
      <c r="E9" s="34">
        <v>274.81666666666666</v>
      </c>
      <c r="F9" s="34">
        <v>0</v>
      </c>
      <c r="G9" s="34">
        <v>0</v>
      </c>
      <c r="H9" s="34">
        <v>0</v>
      </c>
      <c r="I9" s="34">
        <v>0</v>
      </c>
      <c r="J9" s="34">
        <v>0</v>
      </c>
    </row>
    <row r="10" spans="1:10" hidden="1" x14ac:dyDescent="0.25">
      <c r="A10" s="32" t="s">
        <v>37</v>
      </c>
      <c r="B10" s="33" t="s">
        <v>118</v>
      </c>
      <c r="C10" s="34">
        <v>207.02</v>
      </c>
      <c r="D10" s="34">
        <v>213.62</v>
      </c>
      <c r="E10" s="34">
        <v>225.50000000000003</v>
      </c>
      <c r="F10" s="34">
        <v>221.10000000000002</v>
      </c>
      <c r="G10" s="34">
        <v>248.60000000000002</v>
      </c>
      <c r="H10" s="34">
        <v>269.28000000000003</v>
      </c>
      <c r="I10" s="34">
        <v>415.58000000000004</v>
      </c>
      <c r="J10" s="34">
        <v>0</v>
      </c>
    </row>
    <row r="11" spans="1:10" hidden="1" x14ac:dyDescent="0.25">
      <c r="A11" s="32" t="s">
        <v>37</v>
      </c>
      <c r="B11" s="33" t="s">
        <v>127</v>
      </c>
      <c r="C11" s="34">
        <v>265.61333333333334</v>
      </c>
      <c r="D11" s="34">
        <v>273.31333333333333</v>
      </c>
      <c r="E11" s="34">
        <v>295.7166666666667</v>
      </c>
      <c r="F11" s="34">
        <v>301.2166666666667</v>
      </c>
      <c r="G11" s="34">
        <v>316.61666666666667</v>
      </c>
      <c r="H11" s="34">
        <v>0</v>
      </c>
      <c r="I11" s="34">
        <v>530.99200000000008</v>
      </c>
      <c r="J11" s="34">
        <v>559.42857142857144</v>
      </c>
    </row>
    <row r="12" spans="1:10" hidden="1" x14ac:dyDescent="0.25">
      <c r="A12" s="32" t="s">
        <v>37</v>
      </c>
      <c r="B12" s="33" t="s">
        <v>136</v>
      </c>
      <c r="C12" s="34">
        <v>0</v>
      </c>
      <c r="D12" s="34">
        <v>252.70666666666668</v>
      </c>
      <c r="E12" s="34">
        <v>0</v>
      </c>
      <c r="F12" s="34">
        <v>287.2833333333333</v>
      </c>
      <c r="G12" s="34">
        <v>0</v>
      </c>
      <c r="H12" s="34">
        <v>0</v>
      </c>
      <c r="I12" s="34">
        <v>0</v>
      </c>
      <c r="J12" s="34">
        <v>0</v>
      </c>
    </row>
    <row r="13" spans="1:10" hidden="1" x14ac:dyDescent="0.25">
      <c r="A13" s="32" t="s">
        <v>37</v>
      </c>
      <c r="B13" s="33" t="s">
        <v>190</v>
      </c>
      <c r="C13" s="34">
        <v>253.29333333333335</v>
      </c>
      <c r="D13" s="34">
        <v>260.99333333333334</v>
      </c>
      <c r="E13" s="34">
        <v>286.91666666666669</v>
      </c>
      <c r="F13" s="34">
        <v>300.11666666666667</v>
      </c>
      <c r="G13" s="34">
        <v>0</v>
      </c>
      <c r="H13" s="34">
        <v>0</v>
      </c>
      <c r="I13" s="34">
        <v>489.94</v>
      </c>
      <c r="J13" s="34">
        <v>529.88571428571436</v>
      </c>
    </row>
    <row r="14" spans="1:10" hidden="1" x14ac:dyDescent="0.25">
      <c r="A14" s="32" t="s">
        <v>37</v>
      </c>
      <c r="B14" s="33" t="s">
        <v>199</v>
      </c>
      <c r="C14" s="34">
        <v>0</v>
      </c>
      <c r="D14" s="34">
        <v>0</v>
      </c>
      <c r="E14" s="34">
        <v>0</v>
      </c>
      <c r="F14" s="34">
        <v>429.18333333333334</v>
      </c>
      <c r="G14" s="34">
        <v>0</v>
      </c>
      <c r="H14" s="34">
        <v>0</v>
      </c>
      <c r="I14" s="34">
        <v>0</v>
      </c>
      <c r="J14" s="34">
        <v>0</v>
      </c>
    </row>
    <row r="15" spans="1:10" hidden="1" x14ac:dyDescent="0.25">
      <c r="A15" s="32" t="s">
        <v>37</v>
      </c>
      <c r="B15" s="33" t="s">
        <v>208</v>
      </c>
      <c r="C15" s="34">
        <v>165.29333333333332</v>
      </c>
      <c r="D15" s="34">
        <v>169.69333333333333</v>
      </c>
      <c r="E15" s="34">
        <v>191.21666666666667</v>
      </c>
      <c r="F15" s="34">
        <v>182.41666666666666</v>
      </c>
      <c r="G15" s="34">
        <v>206.61666666666667</v>
      </c>
      <c r="H15" s="34">
        <v>216.04000000000002</v>
      </c>
      <c r="I15" s="34">
        <v>343.64</v>
      </c>
      <c r="J15" s="34">
        <v>361.90000000000003</v>
      </c>
    </row>
    <row r="16" spans="1:10" hidden="1" x14ac:dyDescent="0.25">
      <c r="A16" s="32" t="s">
        <v>37</v>
      </c>
      <c r="B16" s="33" t="s">
        <v>217</v>
      </c>
      <c r="C16" s="34">
        <v>0</v>
      </c>
      <c r="D16" s="34">
        <v>0</v>
      </c>
      <c r="E16" s="34">
        <v>191.03333333333333</v>
      </c>
      <c r="F16" s="34">
        <v>196.53333333333333</v>
      </c>
      <c r="G16" s="34">
        <v>214.13333333333335</v>
      </c>
      <c r="H16" s="34">
        <v>233.86</v>
      </c>
      <c r="I16" s="34">
        <v>339.46000000000004</v>
      </c>
      <c r="J16" s="34">
        <v>0</v>
      </c>
    </row>
    <row r="17" spans="1:10" hidden="1" x14ac:dyDescent="0.25">
      <c r="A17" s="32" t="s">
        <v>37</v>
      </c>
      <c r="B17" s="33" t="s">
        <v>235</v>
      </c>
      <c r="C17" s="34">
        <v>0</v>
      </c>
      <c r="D17" s="34">
        <v>0</v>
      </c>
      <c r="E17" s="34">
        <v>636.90000000000009</v>
      </c>
      <c r="F17" s="34">
        <v>0</v>
      </c>
      <c r="G17" s="34">
        <v>0</v>
      </c>
      <c r="H17" s="34">
        <v>0</v>
      </c>
      <c r="I17" s="34">
        <v>0</v>
      </c>
      <c r="J17" s="34">
        <v>0</v>
      </c>
    </row>
    <row r="18" spans="1:10" hidden="1" x14ac:dyDescent="0.25">
      <c r="A18" s="32" t="s">
        <v>37</v>
      </c>
      <c r="B18" s="33" t="s">
        <v>244</v>
      </c>
      <c r="C18" s="34">
        <v>181.72</v>
      </c>
      <c r="D18" s="34">
        <v>187.22</v>
      </c>
      <c r="E18" s="34">
        <v>205.15</v>
      </c>
      <c r="F18" s="34">
        <v>211.75000000000003</v>
      </c>
      <c r="G18" s="34">
        <v>229.35000000000002</v>
      </c>
      <c r="H18" s="34">
        <v>251.68000000000004</v>
      </c>
      <c r="I18" s="34">
        <v>359.48</v>
      </c>
      <c r="J18" s="34">
        <v>380.91428571428571</v>
      </c>
    </row>
    <row r="19" spans="1:10" hidden="1" x14ac:dyDescent="0.25">
      <c r="A19" s="32" t="s">
        <v>37</v>
      </c>
      <c r="B19" s="33" t="s">
        <v>253</v>
      </c>
      <c r="C19" s="34">
        <v>0</v>
      </c>
      <c r="D19" s="34">
        <v>171.74666666666667</v>
      </c>
      <c r="E19" s="34">
        <v>184.98333333333335</v>
      </c>
      <c r="F19" s="34">
        <v>190.48333333333335</v>
      </c>
      <c r="G19" s="34">
        <v>0</v>
      </c>
      <c r="H19" s="34">
        <v>0</v>
      </c>
      <c r="I19" s="34">
        <v>0</v>
      </c>
      <c r="J19" s="34">
        <v>0</v>
      </c>
    </row>
    <row r="20" spans="1:10" hidden="1" x14ac:dyDescent="0.25">
      <c r="A20" s="32" t="s">
        <v>37</v>
      </c>
      <c r="B20" s="33" t="s">
        <v>37</v>
      </c>
      <c r="C20" s="34">
        <v>97.68</v>
      </c>
      <c r="D20" s="34">
        <v>103.18</v>
      </c>
      <c r="E20" s="34">
        <v>109.45</v>
      </c>
      <c r="F20" s="34">
        <v>112.75000000000001</v>
      </c>
      <c r="G20" s="34">
        <v>107.25000000000001</v>
      </c>
      <c r="H20" s="34">
        <v>113.52000000000001</v>
      </c>
      <c r="I20" s="34">
        <v>169.62</v>
      </c>
      <c r="J20" s="34">
        <v>171.60000000000002</v>
      </c>
    </row>
    <row r="21" spans="1:10" hidden="1" x14ac:dyDescent="0.25">
      <c r="A21" s="32" t="s">
        <v>37</v>
      </c>
      <c r="B21" s="33" t="s">
        <v>279</v>
      </c>
      <c r="C21" s="34">
        <v>0</v>
      </c>
      <c r="D21" s="34">
        <v>231.95333333333335</v>
      </c>
      <c r="E21" s="34">
        <v>266.01666666666671</v>
      </c>
      <c r="F21" s="34">
        <v>277.01666666666671</v>
      </c>
      <c r="G21" s="34">
        <v>294.61666666666667</v>
      </c>
      <c r="H21" s="34">
        <v>0</v>
      </c>
      <c r="I21" s="34">
        <v>460.68000000000006</v>
      </c>
      <c r="J21" s="34">
        <v>442.82857142857142</v>
      </c>
    </row>
    <row r="22" spans="1:10" hidden="1" x14ac:dyDescent="0.25">
      <c r="A22" s="32" t="s">
        <v>37</v>
      </c>
      <c r="B22" s="33" t="s">
        <v>315</v>
      </c>
      <c r="C22" s="34">
        <v>665.35333333333335</v>
      </c>
      <c r="D22" s="34">
        <v>685.15333333333342</v>
      </c>
      <c r="E22" s="34">
        <v>753.31666666666672</v>
      </c>
      <c r="F22" s="34">
        <v>0</v>
      </c>
      <c r="G22" s="34">
        <v>841.31666666666672</v>
      </c>
      <c r="H22" s="34">
        <v>0</v>
      </c>
      <c r="I22" s="34">
        <v>1273.5800000000002</v>
      </c>
      <c r="J22" s="34">
        <v>0</v>
      </c>
    </row>
    <row r="23" spans="1:10" hidden="1" x14ac:dyDescent="0.25">
      <c r="A23" s="32" t="s">
        <v>37</v>
      </c>
      <c r="B23" s="33" t="s">
        <v>333</v>
      </c>
      <c r="C23" s="34">
        <v>154.44000000000003</v>
      </c>
      <c r="D23" s="34">
        <v>159.94000000000003</v>
      </c>
      <c r="E23" s="34">
        <v>173.8</v>
      </c>
      <c r="F23" s="34">
        <v>179.3</v>
      </c>
      <c r="G23" s="34">
        <v>214.50000000000003</v>
      </c>
      <c r="H23" s="34">
        <v>0</v>
      </c>
      <c r="I23" s="34">
        <v>307.56000000000006</v>
      </c>
      <c r="J23" s="34">
        <v>288.51428571428573</v>
      </c>
    </row>
    <row r="24" spans="1:10" hidden="1" x14ac:dyDescent="0.25">
      <c r="A24" s="32" t="s">
        <v>37</v>
      </c>
      <c r="B24" s="33" t="s">
        <v>351</v>
      </c>
      <c r="C24" s="34">
        <v>304.70000000000005</v>
      </c>
      <c r="D24" s="34">
        <v>312.40000000000003</v>
      </c>
      <c r="E24" s="34">
        <v>345.40000000000003</v>
      </c>
      <c r="F24" s="34">
        <v>361.90000000000003</v>
      </c>
      <c r="G24" s="34">
        <v>0</v>
      </c>
      <c r="H24" s="34">
        <v>0</v>
      </c>
      <c r="I24" s="34">
        <v>0</v>
      </c>
      <c r="J24" s="34">
        <v>0</v>
      </c>
    </row>
    <row r="25" spans="1:10" hidden="1" x14ac:dyDescent="0.25">
      <c r="A25" s="32" t="s">
        <v>37</v>
      </c>
      <c r="B25" s="33" t="s">
        <v>360</v>
      </c>
      <c r="C25" s="34">
        <v>0</v>
      </c>
      <c r="D25" s="34">
        <v>334.76666666666665</v>
      </c>
      <c r="E25" s="34">
        <v>362.08333333333331</v>
      </c>
      <c r="F25" s="34">
        <v>373.08333333333331</v>
      </c>
      <c r="G25" s="34">
        <v>0</v>
      </c>
      <c r="H25" s="34">
        <v>0</v>
      </c>
      <c r="I25" s="34">
        <v>0</v>
      </c>
      <c r="J25" s="34">
        <v>0</v>
      </c>
    </row>
    <row r="26" spans="1:10" hidden="1" x14ac:dyDescent="0.25">
      <c r="A26" s="32" t="s">
        <v>37</v>
      </c>
      <c r="B26" s="33" t="s">
        <v>369</v>
      </c>
      <c r="C26" s="34">
        <v>0</v>
      </c>
      <c r="D26" s="34">
        <v>512.89333333333332</v>
      </c>
      <c r="E26" s="34">
        <v>566.86666666666679</v>
      </c>
      <c r="F26" s="34">
        <v>0</v>
      </c>
      <c r="G26" s="34">
        <v>0</v>
      </c>
      <c r="H26" s="34">
        <v>0</v>
      </c>
      <c r="I26" s="34">
        <v>0</v>
      </c>
      <c r="J26" s="34">
        <v>0</v>
      </c>
    </row>
    <row r="27" spans="1:10" hidden="1" x14ac:dyDescent="0.25">
      <c r="A27" s="32" t="s">
        <v>37</v>
      </c>
      <c r="B27" s="33" t="s">
        <v>387</v>
      </c>
      <c r="C27" s="34">
        <v>0</v>
      </c>
      <c r="D27" s="34">
        <v>158.32666666666668</v>
      </c>
      <c r="E27" s="34">
        <v>171.23333333333335</v>
      </c>
      <c r="F27" s="34">
        <v>174.53333333333333</v>
      </c>
      <c r="G27" s="34">
        <v>0</v>
      </c>
      <c r="H27" s="34">
        <v>0</v>
      </c>
      <c r="I27" s="34">
        <v>0</v>
      </c>
      <c r="J27" s="34">
        <v>0</v>
      </c>
    </row>
    <row r="28" spans="1:10" hidden="1" x14ac:dyDescent="0.25">
      <c r="A28" s="32" t="s">
        <v>37</v>
      </c>
      <c r="B28" s="33" t="s">
        <v>405</v>
      </c>
      <c r="C28" s="34">
        <v>125.25333333333333</v>
      </c>
      <c r="D28" s="34">
        <v>129.65333333333334</v>
      </c>
      <c r="E28" s="34">
        <v>139.51666666666668</v>
      </c>
      <c r="F28" s="34">
        <v>140.61666666666667</v>
      </c>
      <c r="G28" s="34">
        <v>158.2166666666667</v>
      </c>
      <c r="H28" s="34">
        <v>169.18000000000004</v>
      </c>
      <c r="I28" s="34">
        <v>193.38000000000002</v>
      </c>
      <c r="J28" s="34">
        <v>207.11428571428573</v>
      </c>
    </row>
    <row r="29" spans="1:10" hidden="1" x14ac:dyDescent="0.25">
      <c r="A29" s="32" t="s">
        <v>37</v>
      </c>
      <c r="B29" s="33" t="s">
        <v>432</v>
      </c>
      <c r="C29" s="34">
        <v>163.24</v>
      </c>
      <c r="D29" s="34">
        <v>168.74</v>
      </c>
      <c r="E29" s="34">
        <v>0</v>
      </c>
      <c r="F29" s="34">
        <v>196.9</v>
      </c>
      <c r="G29" s="34">
        <v>0</v>
      </c>
      <c r="H29" s="34">
        <v>0</v>
      </c>
      <c r="I29" s="34">
        <v>0</v>
      </c>
      <c r="J29" s="34">
        <v>0</v>
      </c>
    </row>
    <row r="30" spans="1:10" hidden="1" x14ac:dyDescent="0.25">
      <c r="A30" s="32" t="s">
        <v>37</v>
      </c>
      <c r="B30" s="33" t="s">
        <v>441</v>
      </c>
      <c r="C30" s="34">
        <v>258.79333333333335</v>
      </c>
      <c r="D30" s="34">
        <v>0</v>
      </c>
      <c r="E30" s="34">
        <v>0</v>
      </c>
      <c r="F30" s="34">
        <v>0</v>
      </c>
      <c r="G30" s="34">
        <v>0</v>
      </c>
      <c r="H30" s="34">
        <v>0</v>
      </c>
      <c r="I30" s="34">
        <v>0</v>
      </c>
      <c r="J30" s="34">
        <v>0</v>
      </c>
    </row>
    <row r="31" spans="1:10" hidden="1" x14ac:dyDescent="0.25">
      <c r="A31" s="32" t="s">
        <v>37</v>
      </c>
      <c r="B31" s="33" t="s">
        <v>450</v>
      </c>
      <c r="C31" s="34">
        <v>255.12666666666669</v>
      </c>
      <c r="D31" s="34">
        <v>261.72666666666669</v>
      </c>
      <c r="E31" s="34">
        <v>287.83333333333337</v>
      </c>
      <c r="F31" s="34">
        <v>299.93333333333339</v>
      </c>
      <c r="G31" s="34">
        <v>318.63333333333338</v>
      </c>
      <c r="H31" s="34">
        <v>359.04</v>
      </c>
      <c r="I31" s="34">
        <v>499.84000000000003</v>
      </c>
      <c r="J31" s="34">
        <v>539.15714285714284</v>
      </c>
    </row>
    <row r="32" spans="1:10" hidden="1" x14ac:dyDescent="0.25">
      <c r="A32" s="32" t="s">
        <v>37</v>
      </c>
      <c r="B32" s="33" t="s">
        <v>522</v>
      </c>
      <c r="C32" s="34">
        <v>182.01333333333335</v>
      </c>
      <c r="D32" s="34">
        <v>187.51333333333335</v>
      </c>
      <c r="E32" s="34">
        <v>204.41666666666666</v>
      </c>
      <c r="F32" s="34">
        <v>209.91666666666666</v>
      </c>
      <c r="G32" s="34">
        <v>227.51666666666665</v>
      </c>
      <c r="H32" s="34">
        <v>252.12</v>
      </c>
      <c r="I32" s="34">
        <v>366.52000000000004</v>
      </c>
      <c r="J32" s="34">
        <v>387.04285714285714</v>
      </c>
    </row>
    <row r="33" spans="1:10" hidden="1" x14ac:dyDescent="0.25">
      <c r="A33" s="32" t="s">
        <v>37</v>
      </c>
      <c r="B33" s="33" t="s">
        <v>594</v>
      </c>
      <c r="C33" s="34">
        <v>0</v>
      </c>
      <c r="D33" s="34">
        <v>549.63333333333344</v>
      </c>
      <c r="E33" s="34">
        <v>607.56666666666661</v>
      </c>
      <c r="F33" s="34">
        <v>636.16666666666663</v>
      </c>
      <c r="G33" s="34">
        <v>0</v>
      </c>
      <c r="H33" s="34">
        <v>0</v>
      </c>
      <c r="I33" s="34">
        <v>0</v>
      </c>
      <c r="J33" s="34">
        <v>1095.757142857143</v>
      </c>
    </row>
    <row r="34" spans="1:10" hidden="1" x14ac:dyDescent="0.25">
      <c r="A34" s="32" t="s">
        <v>37</v>
      </c>
      <c r="B34" s="33" t="s">
        <v>639</v>
      </c>
      <c r="C34" s="34">
        <v>0</v>
      </c>
      <c r="D34" s="34">
        <v>265.76</v>
      </c>
      <c r="E34" s="34">
        <v>292.05</v>
      </c>
      <c r="F34" s="34">
        <v>305.25</v>
      </c>
      <c r="G34" s="34">
        <v>323.95000000000005</v>
      </c>
      <c r="H34" s="34">
        <v>364.54</v>
      </c>
      <c r="I34" s="34">
        <v>505.34000000000003</v>
      </c>
      <c r="J34" s="34">
        <v>544.02857142857147</v>
      </c>
    </row>
    <row r="35" spans="1:10" hidden="1" x14ac:dyDescent="0.25">
      <c r="A35" s="32" t="s">
        <v>37</v>
      </c>
      <c r="B35" s="33" t="s">
        <v>648</v>
      </c>
      <c r="C35" s="34">
        <v>292.45333333333338</v>
      </c>
      <c r="D35" s="34">
        <v>301.25333333333339</v>
      </c>
      <c r="E35" s="34">
        <v>332.01666666666665</v>
      </c>
      <c r="F35" s="34">
        <v>345.2166666666667</v>
      </c>
      <c r="G35" s="34">
        <v>0</v>
      </c>
      <c r="H35" s="34">
        <v>0</v>
      </c>
      <c r="I35" s="34">
        <v>0</v>
      </c>
      <c r="J35" s="34">
        <v>0</v>
      </c>
    </row>
    <row r="36" spans="1:10" hidden="1" x14ac:dyDescent="0.25">
      <c r="A36" s="32" t="s">
        <v>37</v>
      </c>
      <c r="B36" s="33" t="s">
        <v>675</v>
      </c>
      <c r="C36" s="34">
        <v>0</v>
      </c>
      <c r="D36" s="34">
        <v>173.06666666666669</v>
      </c>
      <c r="E36" s="34">
        <v>187.73333333333335</v>
      </c>
      <c r="F36" s="34">
        <v>193.23333333333335</v>
      </c>
      <c r="G36" s="34">
        <v>210.83333333333334</v>
      </c>
      <c r="H36" s="34">
        <v>232.10000000000002</v>
      </c>
      <c r="I36" s="34">
        <v>344.3</v>
      </c>
      <c r="J36" s="34">
        <v>359.70000000000005</v>
      </c>
    </row>
    <row r="37" spans="1:10" hidden="1" x14ac:dyDescent="0.25">
      <c r="A37" s="32" t="s">
        <v>37</v>
      </c>
      <c r="B37" s="33" t="s">
        <v>702</v>
      </c>
      <c r="C37" s="34">
        <v>0</v>
      </c>
      <c r="D37" s="34">
        <v>297.22000000000003</v>
      </c>
      <c r="E37" s="34">
        <v>320.65000000000003</v>
      </c>
      <c r="F37" s="34">
        <v>328.35</v>
      </c>
      <c r="G37" s="34">
        <v>337.15000000000003</v>
      </c>
      <c r="H37" s="34">
        <v>355.08</v>
      </c>
      <c r="I37" s="34">
        <v>561.88</v>
      </c>
      <c r="J37" s="34">
        <v>563.82857142857142</v>
      </c>
    </row>
    <row r="38" spans="1:10" hidden="1" x14ac:dyDescent="0.25">
      <c r="A38" s="32" t="s">
        <v>37</v>
      </c>
      <c r="B38" s="33" t="s">
        <v>729</v>
      </c>
      <c r="C38" s="34">
        <v>210.54000000000002</v>
      </c>
      <c r="D38" s="34">
        <v>217.14000000000001</v>
      </c>
      <c r="E38" s="34">
        <v>238.15</v>
      </c>
      <c r="F38" s="34">
        <v>246.95000000000002</v>
      </c>
      <c r="G38" s="34">
        <v>265.65000000000003</v>
      </c>
      <c r="H38" s="34">
        <v>294.36000000000007</v>
      </c>
      <c r="I38" s="34">
        <v>412.06000000000006</v>
      </c>
      <c r="J38" s="34">
        <v>441.25714285714287</v>
      </c>
    </row>
    <row r="39" spans="1:10" hidden="1" x14ac:dyDescent="0.25">
      <c r="A39" s="32" t="s">
        <v>37</v>
      </c>
      <c r="B39" s="33" t="s">
        <v>738</v>
      </c>
      <c r="C39" s="34">
        <v>192.28000000000003</v>
      </c>
      <c r="D39" s="34">
        <v>199.98000000000002</v>
      </c>
      <c r="E39" s="34">
        <v>227.15</v>
      </c>
      <c r="F39" s="34">
        <v>235.95000000000002</v>
      </c>
      <c r="G39" s="34">
        <v>253.55</v>
      </c>
      <c r="H39" s="34">
        <v>281.82</v>
      </c>
      <c r="I39" s="34">
        <v>399.52000000000004</v>
      </c>
      <c r="J39" s="34">
        <v>425.38571428571436</v>
      </c>
    </row>
    <row r="40" spans="1:10" hidden="1" x14ac:dyDescent="0.25">
      <c r="A40" s="32" t="s">
        <v>37</v>
      </c>
      <c r="B40" s="33" t="s">
        <v>747</v>
      </c>
      <c r="C40" s="34">
        <v>265.39333333333332</v>
      </c>
      <c r="D40" s="34">
        <v>0</v>
      </c>
      <c r="E40" s="34">
        <v>0</v>
      </c>
      <c r="F40" s="34">
        <v>0</v>
      </c>
      <c r="G40" s="34">
        <v>0</v>
      </c>
      <c r="H40" s="34">
        <v>0</v>
      </c>
      <c r="I40" s="34">
        <v>0</v>
      </c>
      <c r="J40" s="34">
        <v>0</v>
      </c>
    </row>
    <row r="41" spans="1:10" hidden="1" x14ac:dyDescent="0.25">
      <c r="A41" s="32" t="s">
        <v>37</v>
      </c>
      <c r="B41" s="33" t="s">
        <v>765</v>
      </c>
      <c r="C41" s="34">
        <v>0</v>
      </c>
      <c r="D41" s="34">
        <v>802.78</v>
      </c>
      <c r="E41" s="34">
        <v>0</v>
      </c>
      <c r="F41" s="34">
        <v>0</v>
      </c>
      <c r="G41" s="34">
        <v>0</v>
      </c>
      <c r="H41" s="34">
        <v>0</v>
      </c>
      <c r="I41" s="34">
        <v>0</v>
      </c>
      <c r="J41" s="34">
        <v>0</v>
      </c>
    </row>
    <row r="42" spans="1:10" hidden="1" x14ac:dyDescent="0.25">
      <c r="A42" s="32" t="s">
        <v>37</v>
      </c>
      <c r="B42" s="33" t="s">
        <v>783</v>
      </c>
      <c r="C42" s="34">
        <v>247.4266666666667</v>
      </c>
      <c r="D42" s="34">
        <v>0</v>
      </c>
      <c r="E42" s="34">
        <v>0</v>
      </c>
      <c r="F42" s="34">
        <v>0</v>
      </c>
      <c r="G42" s="34">
        <v>0</v>
      </c>
      <c r="H42" s="34">
        <v>0</v>
      </c>
      <c r="I42" s="34">
        <v>0</v>
      </c>
      <c r="J42" s="34">
        <v>0</v>
      </c>
    </row>
    <row r="43" spans="1:10" hidden="1" x14ac:dyDescent="0.25">
      <c r="A43" s="32" t="s">
        <v>37</v>
      </c>
      <c r="B43" s="33" t="s">
        <v>792</v>
      </c>
      <c r="C43" s="34">
        <v>0</v>
      </c>
      <c r="D43" s="34">
        <v>377.88666666666666</v>
      </c>
      <c r="E43" s="34">
        <v>0</v>
      </c>
      <c r="F43" s="34">
        <v>0</v>
      </c>
      <c r="G43" s="34">
        <v>0</v>
      </c>
      <c r="H43" s="34">
        <v>0</v>
      </c>
      <c r="I43" s="34">
        <v>0</v>
      </c>
      <c r="J43" s="34">
        <v>754.44285714285729</v>
      </c>
    </row>
    <row r="44" spans="1:10" hidden="1" x14ac:dyDescent="0.25">
      <c r="A44" s="32" t="s">
        <v>37</v>
      </c>
      <c r="B44" s="33" t="s">
        <v>819</v>
      </c>
      <c r="C44" s="34">
        <v>266.27333333333337</v>
      </c>
      <c r="D44" s="34">
        <v>273.97333333333336</v>
      </c>
      <c r="E44" s="34">
        <v>301.76666666666665</v>
      </c>
      <c r="F44" s="34">
        <v>314.9666666666667</v>
      </c>
      <c r="G44" s="34">
        <v>333.66666666666669</v>
      </c>
      <c r="H44" s="34">
        <v>375.76000000000005</v>
      </c>
      <c r="I44" s="34">
        <v>517.66000000000008</v>
      </c>
      <c r="J44" s="34">
        <v>561.78571428571433</v>
      </c>
    </row>
    <row r="45" spans="1:10" hidden="1" x14ac:dyDescent="0.25">
      <c r="A45" s="32" t="s">
        <v>37</v>
      </c>
      <c r="B45" s="33" t="s">
        <v>828</v>
      </c>
      <c r="C45" s="34">
        <v>0</v>
      </c>
      <c r="D45" s="34">
        <v>186.78</v>
      </c>
      <c r="E45" s="34">
        <v>212.3</v>
      </c>
      <c r="F45" s="34">
        <v>0</v>
      </c>
      <c r="G45" s="34">
        <v>0</v>
      </c>
      <c r="H45" s="34">
        <v>0</v>
      </c>
      <c r="I45" s="34">
        <v>0</v>
      </c>
      <c r="J45" s="34">
        <v>0</v>
      </c>
    </row>
    <row r="46" spans="1:10" hidden="1" x14ac:dyDescent="0.25">
      <c r="A46" s="32" t="s">
        <v>37</v>
      </c>
      <c r="B46" s="33" t="s">
        <v>846</v>
      </c>
      <c r="C46" s="34">
        <v>133.10000000000002</v>
      </c>
      <c r="D46" s="34">
        <v>138.60000000000002</v>
      </c>
      <c r="E46" s="34">
        <v>144.10000000000002</v>
      </c>
      <c r="F46" s="34">
        <v>145.20000000000002</v>
      </c>
      <c r="G46" s="34">
        <v>167.20000000000002</v>
      </c>
      <c r="H46" s="34">
        <v>166.10000000000002</v>
      </c>
      <c r="I46" s="34">
        <v>291.5</v>
      </c>
      <c r="J46" s="34">
        <v>298.72857142857146</v>
      </c>
    </row>
    <row r="47" spans="1:10" hidden="1" x14ac:dyDescent="0.25">
      <c r="A47" s="32" t="s">
        <v>37</v>
      </c>
      <c r="B47" s="33" t="s">
        <v>855</v>
      </c>
      <c r="C47" s="34">
        <v>237.45333333333335</v>
      </c>
      <c r="D47" s="34">
        <v>245.15333333333336</v>
      </c>
      <c r="E47" s="34">
        <v>268.2166666666667</v>
      </c>
      <c r="F47" s="34">
        <v>278.11666666666667</v>
      </c>
      <c r="G47" s="34">
        <v>0</v>
      </c>
      <c r="H47" s="34">
        <v>334.18000000000006</v>
      </c>
      <c r="I47" s="34">
        <v>0</v>
      </c>
      <c r="J47" s="34">
        <v>0</v>
      </c>
    </row>
    <row r="48" spans="1:10" hidden="1" x14ac:dyDescent="0.25">
      <c r="A48" s="32" t="s">
        <v>37</v>
      </c>
      <c r="B48" s="33" t="s">
        <v>864</v>
      </c>
      <c r="C48" s="34">
        <v>220.66000000000003</v>
      </c>
      <c r="D48" s="34">
        <v>227.26000000000002</v>
      </c>
      <c r="E48" s="34">
        <v>242.00000000000003</v>
      </c>
      <c r="F48" s="34">
        <v>247.50000000000003</v>
      </c>
      <c r="G48" s="34">
        <v>261.8</v>
      </c>
      <c r="H48" s="34">
        <v>0</v>
      </c>
      <c r="I48" s="34">
        <v>457.072</v>
      </c>
      <c r="J48" s="34">
        <v>476.78400000000005</v>
      </c>
    </row>
    <row r="49" spans="1:10" hidden="1" x14ac:dyDescent="0.25">
      <c r="A49" s="32" t="s">
        <v>37</v>
      </c>
      <c r="B49" s="33" t="s">
        <v>882</v>
      </c>
      <c r="C49" s="34">
        <v>0</v>
      </c>
      <c r="D49" s="34">
        <v>354.64</v>
      </c>
      <c r="E49" s="34">
        <v>392.15000000000003</v>
      </c>
      <c r="F49" s="34">
        <v>0</v>
      </c>
      <c r="G49" s="34">
        <v>0</v>
      </c>
      <c r="H49" s="34">
        <v>0</v>
      </c>
      <c r="I49" s="34">
        <v>0</v>
      </c>
      <c r="J49" s="34">
        <v>0</v>
      </c>
    </row>
    <row r="50" spans="1:10" hidden="1" x14ac:dyDescent="0.25">
      <c r="A50" s="32" t="s">
        <v>37</v>
      </c>
      <c r="B50" s="33" t="s">
        <v>909</v>
      </c>
      <c r="C50" s="34">
        <v>131.92666666666668</v>
      </c>
      <c r="D50" s="34">
        <v>136.32666666666668</v>
      </c>
      <c r="E50" s="34">
        <v>136.03333333333336</v>
      </c>
      <c r="F50" s="34">
        <v>142.63333333333333</v>
      </c>
      <c r="G50" s="34">
        <v>154.73333333333335</v>
      </c>
      <c r="H50" s="34">
        <v>0</v>
      </c>
      <c r="I50" s="34">
        <v>0</v>
      </c>
      <c r="J50" s="34">
        <v>0</v>
      </c>
    </row>
    <row r="51" spans="1:10" hidden="1" x14ac:dyDescent="0.25">
      <c r="A51" s="32" t="s">
        <v>333</v>
      </c>
      <c r="B51" s="33" t="s">
        <v>118</v>
      </c>
      <c r="C51" s="34">
        <v>0</v>
      </c>
      <c r="D51" s="34">
        <v>0</v>
      </c>
      <c r="E51" s="34">
        <v>294.43333333333334</v>
      </c>
      <c r="F51" s="34">
        <v>305.43333333333334</v>
      </c>
      <c r="G51" s="34">
        <v>0</v>
      </c>
      <c r="H51" s="34">
        <v>0</v>
      </c>
      <c r="I51" s="34">
        <v>500.06000000000006</v>
      </c>
      <c r="J51" s="34">
        <v>0</v>
      </c>
    </row>
    <row r="52" spans="1:10" hidden="1" x14ac:dyDescent="0.25">
      <c r="A52" s="32" t="s">
        <v>333</v>
      </c>
      <c r="B52" s="33" t="s">
        <v>190</v>
      </c>
      <c r="C52" s="34">
        <v>0</v>
      </c>
      <c r="D52" s="34">
        <v>0</v>
      </c>
      <c r="E52" s="34">
        <v>0</v>
      </c>
      <c r="F52" s="34">
        <v>0</v>
      </c>
      <c r="G52" s="34">
        <v>0</v>
      </c>
      <c r="H52" s="34">
        <v>0</v>
      </c>
      <c r="I52" s="34">
        <v>394.24</v>
      </c>
      <c r="J52" s="34">
        <v>418.78571428571433</v>
      </c>
    </row>
    <row r="53" spans="1:10" hidden="1" x14ac:dyDescent="0.25">
      <c r="A53" s="32" t="s">
        <v>333</v>
      </c>
      <c r="B53" s="33" t="s">
        <v>208</v>
      </c>
      <c r="C53" s="34">
        <v>0</v>
      </c>
      <c r="D53" s="34">
        <v>0</v>
      </c>
      <c r="E53" s="34">
        <v>0</v>
      </c>
      <c r="F53" s="34">
        <v>0</v>
      </c>
      <c r="G53" s="34">
        <v>0</v>
      </c>
      <c r="H53" s="34">
        <v>175.45000000000002</v>
      </c>
      <c r="I53" s="34">
        <v>272.25000000000006</v>
      </c>
      <c r="J53" s="34">
        <v>273.46000000000004</v>
      </c>
    </row>
    <row r="54" spans="1:10" hidden="1" x14ac:dyDescent="0.25">
      <c r="A54" s="32" t="s">
        <v>333</v>
      </c>
      <c r="B54" s="33" t="s">
        <v>217</v>
      </c>
      <c r="C54" s="34">
        <v>0</v>
      </c>
      <c r="D54" s="34">
        <v>0</v>
      </c>
      <c r="E54" s="34">
        <v>249.33333333333334</v>
      </c>
      <c r="F54" s="34">
        <v>0</v>
      </c>
      <c r="G54" s="34">
        <v>0</v>
      </c>
      <c r="H54" s="34">
        <v>0</v>
      </c>
      <c r="I54" s="34">
        <v>0</v>
      </c>
      <c r="J54" s="34">
        <v>0</v>
      </c>
    </row>
    <row r="55" spans="1:10" hidden="1" x14ac:dyDescent="0.25">
      <c r="A55" s="32" t="s">
        <v>333</v>
      </c>
      <c r="B55" s="33" t="s">
        <v>244</v>
      </c>
      <c r="C55" s="34">
        <v>0</v>
      </c>
      <c r="D55" s="34">
        <v>135.37333333333333</v>
      </c>
      <c r="E55" s="34">
        <v>146.66666666666669</v>
      </c>
      <c r="F55" s="34">
        <v>147.76666666666668</v>
      </c>
      <c r="G55" s="34">
        <v>165.3666666666667</v>
      </c>
      <c r="H55" s="34">
        <v>0</v>
      </c>
      <c r="I55" s="34">
        <v>265.76</v>
      </c>
      <c r="J55" s="34">
        <v>272.64285714285717</v>
      </c>
    </row>
    <row r="56" spans="1:10" x14ac:dyDescent="0.25">
      <c r="A56" s="32" t="s">
        <v>333</v>
      </c>
      <c r="B56" s="33" t="s">
        <v>37</v>
      </c>
      <c r="C56" s="34">
        <v>0</v>
      </c>
      <c r="D56" s="34">
        <v>0</v>
      </c>
      <c r="E56" s="34">
        <v>168.48333333333335</v>
      </c>
      <c r="F56" s="34">
        <v>0</v>
      </c>
      <c r="G56" s="34">
        <v>179.48333333333335</v>
      </c>
      <c r="H56" s="34">
        <v>188.98000000000002</v>
      </c>
      <c r="I56" s="34">
        <v>281.38000000000005</v>
      </c>
      <c r="J56" s="34">
        <v>306.42857142857144</v>
      </c>
    </row>
    <row r="57" spans="1:10" hidden="1" x14ac:dyDescent="0.25">
      <c r="A57" s="32" t="s">
        <v>333</v>
      </c>
      <c r="B57" s="33" t="s">
        <v>279</v>
      </c>
      <c r="C57" s="34">
        <v>0</v>
      </c>
      <c r="D57" s="34">
        <v>0</v>
      </c>
      <c r="E57" s="34">
        <v>0</v>
      </c>
      <c r="F57" s="34">
        <v>213.4</v>
      </c>
      <c r="G57" s="34">
        <v>0</v>
      </c>
      <c r="H57" s="34">
        <v>257.18</v>
      </c>
      <c r="I57" s="34">
        <v>331.98</v>
      </c>
      <c r="J57" s="34">
        <v>367.40000000000003</v>
      </c>
    </row>
    <row r="58" spans="1:10" hidden="1" x14ac:dyDescent="0.25">
      <c r="A58" s="32" t="s">
        <v>333</v>
      </c>
      <c r="B58" s="33" t="s">
        <v>333</v>
      </c>
      <c r="C58" s="34">
        <v>0</v>
      </c>
      <c r="D58" s="34">
        <v>0</v>
      </c>
      <c r="E58" s="34">
        <v>133.83333333333334</v>
      </c>
      <c r="F58" s="34">
        <v>0</v>
      </c>
      <c r="G58" s="34">
        <v>0</v>
      </c>
      <c r="H58" s="34">
        <v>0</v>
      </c>
      <c r="I58" s="34">
        <v>243.76000000000002</v>
      </c>
      <c r="J58" s="34">
        <v>228.8</v>
      </c>
    </row>
    <row r="59" spans="1:10" hidden="1" x14ac:dyDescent="0.25">
      <c r="A59" s="32" t="s">
        <v>333</v>
      </c>
      <c r="B59" s="33" t="s">
        <v>432</v>
      </c>
      <c r="C59" s="34">
        <v>0</v>
      </c>
      <c r="D59" s="34">
        <v>0</v>
      </c>
      <c r="E59" s="34">
        <v>0</v>
      </c>
      <c r="F59" s="34">
        <v>151.98333333333335</v>
      </c>
      <c r="G59" s="34">
        <v>0</v>
      </c>
      <c r="H59" s="34">
        <v>0</v>
      </c>
      <c r="I59" s="34">
        <v>0</v>
      </c>
      <c r="J59" s="34">
        <v>0</v>
      </c>
    </row>
    <row r="60" spans="1:10" hidden="1" x14ac:dyDescent="0.25">
      <c r="A60" s="32" t="s">
        <v>333</v>
      </c>
      <c r="B60" s="33" t="s">
        <v>441</v>
      </c>
      <c r="C60" s="34">
        <v>209.80666666666667</v>
      </c>
      <c r="D60" s="34">
        <v>0</v>
      </c>
      <c r="E60" s="34">
        <v>0</v>
      </c>
      <c r="F60" s="34">
        <v>0</v>
      </c>
      <c r="G60" s="34">
        <v>0</v>
      </c>
      <c r="H60" s="34">
        <v>0</v>
      </c>
      <c r="I60" s="34">
        <v>0</v>
      </c>
      <c r="J60" s="34">
        <v>0</v>
      </c>
    </row>
    <row r="61" spans="1:10" hidden="1" x14ac:dyDescent="0.25">
      <c r="A61" s="32" t="s">
        <v>333</v>
      </c>
      <c r="B61" s="33" t="s">
        <v>468</v>
      </c>
      <c r="C61" s="34">
        <v>297.36666666666667</v>
      </c>
      <c r="D61" s="34">
        <v>0</v>
      </c>
      <c r="E61" s="34">
        <v>0</v>
      </c>
      <c r="F61" s="34">
        <v>0</v>
      </c>
      <c r="G61" s="34">
        <v>0</v>
      </c>
      <c r="H61" s="34">
        <v>0</v>
      </c>
      <c r="I61" s="34">
        <v>0</v>
      </c>
      <c r="J61" s="34">
        <v>0</v>
      </c>
    </row>
    <row r="62" spans="1:10" hidden="1" x14ac:dyDescent="0.25">
      <c r="A62" s="32" t="s">
        <v>333</v>
      </c>
      <c r="B62" s="33" t="s">
        <v>522</v>
      </c>
      <c r="C62" s="34">
        <v>231.58666666666667</v>
      </c>
      <c r="D62" s="34">
        <v>0</v>
      </c>
      <c r="E62" s="34">
        <v>260.88333333333333</v>
      </c>
      <c r="F62" s="34">
        <v>0</v>
      </c>
      <c r="G62" s="34">
        <v>0</v>
      </c>
      <c r="H62" s="34">
        <v>324.28000000000003</v>
      </c>
      <c r="I62" s="34">
        <v>446.38000000000005</v>
      </c>
      <c r="J62" s="34">
        <v>478.18571428571431</v>
      </c>
    </row>
    <row r="63" spans="1:10" hidden="1" x14ac:dyDescent="0.25">
      <c r="A63" s="32" t="s">
        <v>333</v>
      </c>
      <c r="B63" s="33" t="s">
        <v>594</v>
      </c>
      <c r="C63" s="34">
        <v>431.71333333333337</v>
      </c>
      <c r="D63" s="34">
        <v>0</v>
      </c>
      <c r="E63" s="34">
        <v>0</v>
      </c>
      <c r="F63" s="34">
        <v>0</v>
      </c>
      <c r="G63" s="34">
        <v>0</v>
      </c>
      <c r="H63" s="34">
        <v>0</v>
      </c>
      <c r="I63" s="34">
        <v>0</v>
      </c>
      <c r="J63" s="34">
        <v>0</v>
      </c>
    </row>
    <row r="64" spans="1:10" hidden="1" x14ac:dyDescent="0.25">
      <c r="A64" s="32" t="s">
        <v>333</v>
      </c>
      <c r="B64" s="33" t="s">
        <v>639</v>
      </c>
      <c r="C64" s="34">
        <v>0</v>
      </c>
      <c r="D64" s="34">
        <v>0</v>
      </c>
      <c r="E64" s="34">
        <v>353.2833333333333</v>
      </c>
      <c r="F64" s="34">
        <v>0</v>
      </c>
      <c r="G64" s="34">
        <v>0</v>
      </c>
      <c r="H64" s="34">
        <v>0</v>
      </c>
      <c r="I64" s="34">
        <v>0</v>
      </c>
      <c r="J64" s="34">
        <v>0</v>
      </c>
    </row>
    <row r="65" spans="1:10" hidden="1" x14ac:dyDescent="0.25">
      <c r="A65" s="32" t="s">
        <v>333</v>
      </c>
      <c r="B65" s="33" t="s">
        <v>675</v>
      </c>
      <c r="C65" s="34">
        <v>0</v>
      </c>
      <c r="D65" s="34">
        <v>0</v>
      </c>
      <c r="E65" s="34">
        <v>239.43333333333334</v>
      </c>
      <c r="F65" s="34">
        <v>0</v>
      </c>
      <c r="G65" s="34">
        <v>0</v>
      </c>
      <c r="H65" s="34">
        <v>297.88000000000005</v>
      </c>
      <c r="I65" s="34">
        <v>417.78000000000003</v>
      </c>
      <c r="J65" s="34">
        <v>443.14285714285722</v>
      </c>
    </row>
    <row r="66" spans="1:10" hidden="1" x14ac:dyDescent="0.25">
      <c r="A66" s="32" t="s">
        <v>333</v>
      </c>
      <c r="B66" s="33" t="s">
        <v>729</v>
      </c>
      <c r="C66" s="34">
        <v>162.06666666666669</v>
      </c>
      <c r="D66" s="34">
        <v>167.56666666666669</v>
      </c>
      <c r="E66" s="34">
        <v>166.83333333333334</v>
      </c>
      <c r="F66" s="34">
        <v>177.83333333333334</v>
      </c>
      <c r="G66" s="34">
        <v>204.23333333333335</v>
      </c>
      <c r="H66" s="34">
        <v>228.69000000000003</v>
      </c>
      <c r="I66" s="34">
        <v>337.59000000000009</v>
      </c>
      <c r="J66" s="34">
        <v>346.06000000000006</v>
      </c>
    </row>
    <row r="67" spans="1:10" hidden="1" x14ac:dyDescent="0.25">
      <c r="A67" s="32" t="s">
        <v>333</v>
      </c>
      <c r="B67" s="33" t="s">
        <v>738</v>
      </c>
      <c r="C67" s="34">
        <v>0</v>
      </c>
      <c r="D67" s="34">
        <v>149.01333333333335</v>
      </c>
      <c r="E67" s="34">
        <v>0</v>
      </c>
      <c r="F67" s="34">
        <v>0</v>
      </c>
      <c r="G67" s="34">
        <v>0</v>
      </c>
      <c r="H67" s="34">
        <v>0</v>
      </c>
      <c r="I67" s="34">
        <v>331.40800000000002</v>
      </c>
      <c r="J67" s="34">
        <v>314.28571428571433</v>
      </c>
    </row>
    <row r="68" spans="1:10" hidden="1" x14ac:dyDescent="0.25">
      <c r="A68" s="32" t="s">
        <v>333</v>
      </c>
      <c r="B68" s="33" t="s">
        <v>747</v>
      </c>
      <c r="C68" s="34">
        <v>215.23333333333335</v>
      </c>
      <c r="D68" s="34">
        <v>0</v>
      </c>
      <c r="E68" s="34">
        <v>0</v>
      </c>
      <c r="F68" s="34">
        <v>0</v>
      </c>
      <c r="G68" s="34">
        <v>0</v>
      </c>
      <c r="H68" s="34">
        <v>0</v>
      </c>
      <c r="I68" s="34">
        <v>0</v>
      </c>
      <c r="J68" s="34">
        <v>0</v>
      </c>
    </row>
    <row r="69" spans="1:10" hidden="1" x14ac:dyDescent="0.25">
      <c r="A69" s="32" t="s">
        <v>333</v>
      </c>
      <c r="B69" s="33" t="s">
        <v>783</v>
      </c>
      <c r="C69" s="34">
        <v>201.37333333333333</v>
      </c>
      <c r="D69" s="34">
        <v>0</v>
      </c>
      <c r="E69" s="34">
        <v>0</v>
      </c>
      <c r="F69" s="34">
        <v>0</v>
      </c>
      <c r="G69" s="34">
        <v>0</v>
      </c>
      <c r="H69" s="34">
        <v>0</v>
      </c>
      <c r="I69" s="34">
        <v>0</v>
      </c>
      <c r="J69" s="34">
        <v>0</v>
      </c>
    </row>
    <row r="70" spans="1:10" hidden="1" x14ac:dyDescent="0.25">
      <c r="A70" s="32" t="s">
        <v>333</v>
      </c>
      <c r="B70" s="33" t="s">
        <v>819</v>
      </c>
      <c r="C70" s="34">
        <v>0</v>
      </c>
      <c r="D70" s="34">
        <v>0</v>
      </c>
      <c r="E70" s="34">
        <v>0</v>
      </c>
      <c r="F70" s="34">
        <v>0</v>
      </c>
      <c r="G70" s="34">
        <v>0</v>
      </c>
      <c r="H70" s="34">
        <v>0</v>
      </c>
      <c r="I70" s="34">
        <v>612.30400000000009</v>
      </c>
      <c r="J70" s="34">
        <v>646.01428571428573</v>
      </c>
    </row>
    <row r="71" spans="1:10" hidden="1" x14ac:dyDescent="0.25">
      <c r="A71" s="32" t="s">
        <v>333</v>
      </c>
      <c r="B71" s="33" t="s">
        <v>846</v>
      </c>
      <c r="C71" s="34">
        <v>0</v>
      </c>
      <c r="D71" s="34">
        <v>0</v>
      </c>
      <c r="E71" s="34">
        <v>203.50000000000003</v>
      </c>
      <c r="F71" s="34">
        <v>0</v>
      </c>
      <c r="G71" s="34">
        <v>0</v>
      </c>
      <c r="H71" s="34">
        <v>258.5</v>
      </c>
      <c r="I71" s="34">
        <v>370.70000000000005</v>
      </c>
      <c r="J71" s="34">
        <v>391.28571428571433</v>
      </c>
    </row>
    <row r="72" spans="1:10" hidden="1" x14ac:dyDescent="0.25">
      <c r="A72" s="32" t="s">
        <v>333</v>
      </c>
      <c r="B72" s="33" t="s">
        <v>864</v>
      </c>
      <c r="C72" s="34">
        <v>0</v>
      </c>
      <c r="D72" s="34">
        <v>0</v>
      </c>
      <c r="E72" s="34">
        <v>308.55</v>
      </c>
      <c r="F72" s="34">
        <v>321.75</v>
      </c>
      <c r="G72" s="34">
        <v>0</v>
      </c>
      <c r="H72" s="34">
        <v>0</v>
      </c>
      <c r="I72" s="34">
        <v>535.92000000000007</v>
      </c>
      <c r="J72" s="34">
        <v>564.25600000000009</v>
      </c>
    </row>
    <row r="73" spans="1:10" hidden="1" x14ac:dyDescent="0.25">
      <c r="A73" s="32" t="s">
        <v>333</v>
      </c>
      <c r="B73" s="33" t="s">
        <v>909</v>
      </c>
      <c r="C73" s="34">
        <v>0</v>
      </c>
      <c r="D73" s="34">
        <v>174.82666666666668</v>
      </c>
      <c r="E73" s="34">
        <v>0</v>
      </c>
      <c r="F73" s="34">
        <v>0</v>
      </c>
      <c r="G73" s="34">
        <v>0</v>
      </c>
      <c r="H73" s="34">
        <v>0</v>
      </c>
      <c r="I73" s="34">
        <v>0</v>
      </c>
      <c r="J73" s="34">
        <v>0</v>
      </c>
    </row>
    <row r="74" spans="1:10" hidden="1" x14ac:dyDescent="0.25">
      <c r="A74" s="32" t="s">
        <v>46</v>
      </c>
      <c r="B74" s="33" t="s">
        <v>208</v>
      </c>
      <c r="C74" s="34">
        <v>0</v>
      </c>
      <c r="D74" s="34">
        <v>0</v>
      </c>
      <c r="E74" s="34">
        <v>0</v>
      </c>
      <c r="F74" s="34">
        <v>0</v>
      </c>
      <c r="G74" s="34">
        <v>0</v>
      </c>
      <c r="H74" s="34">
        <v>531.69600000000014</v>
      </c>
      <c r="I74" s="34">
        <v>728.57400000000007</v>
      </c>
      <c r="J74" s="34">
        <v>773.71800000000019</v>
      </c>
    </row>
    <row r="75" spans="1:10" hidden="1" x14ac:dyDescent="0.25">
      <c r="A75" s="32" t="s">
        <v>46</v>
      </c>
      <c r="B75" s="33" t="s">
        <v>253</v>
      </c>
      <c r="C75" s="34">
        <v>0</v>
      </c>
      <c r="D75" s="34">
        <v>0</v>
      </c>
      <c r="E75" s="34">
        <v>0</v>
      </c>
      <c r="F75" s="34">
        <v>0</v>
      </c>
      <c r="G75" s="34">
        <v>0</v>
      </c>
      <c r="H75" s="34">
        <v>525.42600000000004</v>
      </c>
      <c r="I75" s="34">
        <v>729.82800000000009</v>
      </c>
      <c r="J75" s="34">
        <v>772.46400000000017</v>
      </c>
    </row>
    <row r="76" spans="1:10" hidden="1" x14ac:dyDescent="0.25">
      <c r="A76" s="32" t="s">
        <v>46</v>
      </c>
      <c r="B76" s="33" t="s">
        <v>315</v>
      </c>
      <c r="C76" s="34">
        <v>0</v>
      </c>
      <c r="D76" s="34">
        <v>0</v>
      </c>
      <c r="E76" s="34">
        <v>0</v>
      </c>
      <c r="F76" s="34">
        <v>0</v>
      </c>
      <c r="G76" s="34">
        <v>0</v>
      </c>
      <c r="H76" s="34">
        <v>1191.3000000000004</v>
      </c>
      <c r="I76" s="34">
        <v>1610.1360000000004</v>
      </c>
      <c r="J76" s="34">
        <v>1710.4560000000004</v>
      </c>
    </row>
    <row r="77" spans="1:10" hidden="1" x14ac:dyDescent="0.25">
      <c r="A77" s="32" t="s">
        <v>46</v>
      </c>
      <c r="B77" s="33" t="s">
        <v>351</v>
      </c>
      <c r="C77" s="34">
        <v>0</v>
      </c>
      <c r="D77" s="34">
        <v>0</v>
      </c>
      <c r="E77" s="34">
        <v>0</v>
      </c>
      <c r="F77" s="34">
        <v>0</v>
      </c>
      <c r="G77" s="34">
        <v>0</v>
      </c>
      <c r="H77" s="34">
        <v>181.83000000000004</v>
      </c>
      <c r="I77" s="34">
        <v>280.89600000000002</v>
      </c>
      <c r="J77" s="34">
        <v>282.15000000000003</v>
      </c>
    </row>
    <row r="78" spans="1:10" hidden="1" x14ac:dyDescent="0.25">
      <c r="A78" s="32" t="s">
        <v>46</v>
      </c>
      <c r="B78" s="33" t="s">
        <v>360</v>
      </c>
      <c r="C78" s="34">
        <v>0</v>
      </c>
      <c r="D78" s="34">
        <v>0</v>
      </c>
      <c r="E78" s="34">
        <v>0</v>
      </c>
      <c r="F78" s="34">
        <v>0</v>
      </c>
      <c r="G78" s="34">
        <v>0</v>
      </c>
      <c r="H78" s="34">
        <v>628.25400000000013</v>
      </c>
      <c r="I78" s="34">
        <v>776.22600000000011</v>
      </c>
      <c r="J78" s="34">
        <v>850.2120000000001</v>
      </c>
    </row>
    <row r="79" spans="1:10" hidden="1" x14ac:dyDescent="0.25">
      <c r="A79" s="32" t="s">
        <v>46</v>
      </c>
      <c r="B79" s="33" t="s">
        <v>405</v>
      </c>
      <c r="C79" s="34">
        <v>0</v>
      </c>
      <c r="D79" s="34">
        <v>0</v>
      </c>
      <c r="E79" s="34">
        <v>0</v>
      </c>
      <c r="F79" s="34">
        <v>0</v>
      </c>
      <c r="G79" s="34">
        <v>0</v>
      </c>
      <c r="H79" s="34">
        <v>472.7580000000001</v>
      </c>
      <c r="I79" s="34">
        <v>655.8420000000001</v>
      </c>
      <c r="J79" s="34">
        <v>692.2080000000002</v>
      </c>
    </row>
    <row r="80" spans="1:10" hidden="1" x14ac:dyDescent="0.25">
      <c r="A80" s="32" t="s">
        <v>46</v>
      </c>
      <c r="B80" s="33" t="s">
        <v>648</v>
      </c>
      <c r="C80" s="34">
        <v>0</v>
      </c>
      <c r="D80" s="34">
        <v>0</v>
      </c>
      <c r="E80" s="34">
        <v>0</v>
      </c>
      <c r="F80" s="34">
        <v>0</v>
      </c>
      <c r="G80" s="34">
        <v>0</v>
      </c>
      <c r="H80" s="34">
        <v>797.5440000000001</v>
      </c>
      <c r="I80" s="34">
        <v>1102.2660000000001</v>
      </c>
      <c r="J80" s="34">
        <v>1166.2200000000003</v>
      </c>
    </row>
    <row r="81" spans="1:10" hidden="1" x14ac:dyDescent="0.25">
      <c r="A81" s="32" t="s">
        <v>46</v>
      </c>
      <c r="B81" s="33" t="s">
        <v>729</v>
      </c>
      <c r="C81" s="34">
        <v>0</v>
      </c>
      <c r="D81" s="34">
        <v>0</v>
      </c>
      <c r="E81" s="34">
        <v>0</v>
      </c>
      <c r="F81" s="34">
        <v>0</v>
      </c>
      <c r="G81" s="34">
        <v>0</v>
      </c>
      <c r="H81" s="34">
        <v>584.36400000000003</v>
      </c>
      <c r="I81" s="34">
        <v>796.29000000000019</v>
      </c>
      <c r="J81" s="34">
        <v>847.70400000000018</v>
      </c>
    </row>
    <row r="82" spans="1:10" hidden="1" x14ac:dyDescent="0.25">
      <c r="A82" s="32" t="s">
        <v>46</v>
      </c>
      <c r="B82" s="33" t="s">
        <v>882</v>
      </c>
      <c r="C82" s="34">
        <v>0</v>
      </c>
      <c r="D82" s="34">
        <v>0</v>
      </c>
      <c r="E82" s="34">
        <v>0</v>
      </c>
      <c r="F82" s="34">
        <v>0</v>
      </c>
      <c r="G82" s="34">
        <v>0</v>
      </c>
      <c r="H82" s="34">
        <v>857.73600000000022</v>
      </c>
      <c r="I82" s="34">
        <v>1168.7280000000001</v>
      </c>
      <c r="J82" s="34">
        <v>1241.4600000000003</v>
      </c>
    </row>
    <row r="83" spans="1:10" hidden="1" x14ac:dyDescent="0.25">
      <c r="A83" s="32" t="s">
        <v>333</v>
      </c>
      <c r="B83" s="33" t="s">
        <v>82</v>
      </c>
      <c r="C83" s="34">
        <v>0</v>
      </c>
      <c r="D83" s="34">
        <v>0</v>
      </c>
      <c r="E83" s="34">
        <v>0</v>
      </c>
      <c r="F83" s="34">
        <v>0</v>
      </c>
      <c r="G83" s="34">
        <v>0</v>
      </c>
      <c r="H83" s="34">
        <v>252.89000000000001</v>
      </c>
      <c r="I83" s="34">
        <v>364.21000000000004</v>
      </c>
      <c r="J83" s="34">
        <v>377.5200000000001</v>
      </c>
    </row>
    <row r="84" spans="1:10" hidden="1" x14ac:dyDescent="0.25">
      <c r="A84" s="32" t="s">
        <v>333</v>
      </c>
      <c r="B84" s="33" t="s">
        <v>127</v>
      </c>
      <c r="C84" s="34">
        <v>0</v>
      </c>
      <c r="D84" s="34">
        <v>0</v>
      </c>
      <c r="E84" s="34">
        <v>0</v>
      </c>
      <c r="F84" s="34">
        <v>0</v>
      </c>
      <c r="G84" s="34">
        <v>0</v>
      </c>
      <c r="H84" s="34">
        <v>436.81000000000006</v>
      </c>
      <c r="I84" s="34">
        <v>598.95000000000005</v>
      </c>
      <c r="J84" s="34">
        <v>635.25</v>
      </c>
    </row>
    <row r="85" spans="1:10" hidden="1" x14ac:dyDescent="0.25">
      <c r="A85" s="32" t="s">
        <v>333</v>
      </c>
      <c r="B85" s="33" t="s">
        <v>136</v>
      </c>
      <c r="C85" s="34">
        <v>0</v>
      </c>
      <c r="D85" s="34">
        <v>0</v>
      </c>
      <c r="E85" s="34">
        <v>0</v>
      </c>
      <c r="F85" s="34">
        <v>0</v>
      </c>
      <c r="G85" s="34">
        <v>0</v>
      </c>
      <c r="H85" s="34">
        <v>411.40000000000009</v>
      </c>
      <c r="I85" s="34">
        <v>569.91000000000008</v>
      </c>
      <c r="J85" s="34">
        <v>602.58000000000015</v>
      </c>
    </row>
    <row r="86" spans="1:10" hidden="1" x14ac:dyDescent="0.25">
      <c r="A86" s="32" t="s">
        <v>333</v>
      </c>
      <c r="B86" s="33" t="s">
        <v>253</v>
      </c>
      <c r="C86" s="34">
        <v>0</v>
      </c>
      <c r="D86" s="34">
        <v>0</v>
      </c>
      <c r="E86" s="34">
        <v>0</v>
      </c>
      <c r="F86" s="34">
        <v>0</v>
      </c>
      <c r="G86" s="34">
        <v>0</v>
      </c>
      <c r="H86" s="34">
        <v>229.90000000000006</v>
      </c>
      <c r="I86" s="34">
        <v>340.01000000000005</v>
      </c>
      <c r="J86" s="34">
        <v>348.48</v>
      </c>
    </row>
    <row r="87" spans="1:10" hidden="1" x14ac:dyDescent="0.25">
      <c r="A87" s="32" t="s">
        <v>333</v>
      </c>
      <c r="B87" s="33" t="s">
        <v>315</v>
      </c>
      <c r="C87" s="34">
        <v>0</v>
      </c>
      <c r="D87" s="34">
        <v>0</v>
      </c>
      <c r="E87" s="34">
        <v>0</v>
      </c>
      <c r="F87" s="34">
        <v>0</v>
      </c>
      <c r="G87" s="34">
        <v>0</v>
      </c>
      <c r="H87" s="34">
        <v>826.43000000000018</v>
      </c>
      <c r="I87" s="34">
        <v>1108.3600000000001</v>
      </c>
      <c r="J87" s="34">
        <v>1180.9600000000003</v>
      </c>
    </row>
    <row r="88" spans="1:10" hidden="1" x14ac:dyDescent="0.25">
      <c r="A88" s="32" t="s">
        <v>333</v>
      </c>
      <c r="B88" s="33" t="s">
        <v>351</v>
      </c>
      <c r="C88" s="34">
        <v>0</v>
      </c>
      <c r="D88" s="34">
        <v>0</v>
      </c>
      <c r="E88" s="34">
        <v>0</v>
      </c>
      <c r="F88" s="34">
        <v>0</v>
      </c>
      <c r="G88" s="34">
        <v>0</v>
      </c>
      <c r="H88" s="34">
        <v>488.84000000000009</v>
      </c>
      <c r="I88" s="34">
        <v>664.29000000000019</v>
      </c>
      <c r="J88" s="34">
        <v>707.85</v>
      </c>
    </row>
    <row r="89" spans="1:10" hidden="1" x14ac:dyDescent="0.25">
      <c r="A89" s="32" t="s">
        <v>333</v>
      </c>
      <c r="B89" s="33" t="s">
        <v>360</v>
      </c>
      <c r="C89" s="34">
        <v>0</v>
      </c>
      <c r="D89" s="34">
        <v>0</v>
      </c>
      <c r="E89" s="34">
        <v>0</v>
      </c>
      <c r="F89" s="34">
        <v>0</v>
      </c>
      <c r="G89" s="34">
        <v>0</v>
      </c>
      <c r="H89" s="34">
        <v>459.80000000000013</v>
      </c>
      <c r="I89" s="34">
        <v>631.62000000000012</v>
      </c>
      <c r="J89" s="34">
        <v>671.55000000000007</v>
      </c>
    </row>
    <row r="90" spans="1:10" hidden="1" x14ac:dyDescent="0.25">
      <c r="A90" s="32" t="s">
        <v>333</v>
      </c>
      <c r="B90" s="33" t="s">
        <v>405</v>
      </c>
      <c r="C90" s="34">
        <v>0</v>
      </c>
      <c r="D90" s="34">
        <v>0</v>
      </c>
      <c r="E90" s="34">
        <v>0</v>
      </c>
      <c r="F90" s="34">
        <v>0</v>
      </c>
      <c r="G90" s="34">
        <v>0</v>
      </c>
      <c r="H90" s="34">
        <v>249.26000000000005</v>
      </c>
      <c r="I90" s="34">
        <v>360.58000000000004</v>
      </c>
      <c r="J90" s="34">
        <v>372.68000000000006</v>
      </c>
    </row>
    <row r="91" spans="1:10" hidden="1" x14ac:dyDescent="0.25">
      <c r="A91" s="32" t="s">
        <v>333</v>
      </c>
      <c r="B91" s="33" t="s">
        <v>648</v>
      </c>
      <c r="C91" s="34">
        <v>0</v>
      </c>
      <c r="D91" s="34">
        <v>0</v>
      </c>
      <c r="E91" s="34">
        <v>0</v>
      </c>
      <c r="F91" s="34">
        <v>0</v>
      </c>
      <c r="G91" s="34">
        <v>0</v>
      </c>
      <c r="H91" s="34">
        <v>383.57000000000011</v>
      </c>
      <c r="I91" s="34">
        <v>532.40000000000009</v>
      </c>
      <c r="J91" s="34">
        <v>559.0200000000001</v>
      </c>
    </row>
    <row r="92" spans="1:10" hidden="1" x14ac:dyDescent="0.25">
      <c r="A92" s="32" t="s">
        <v>333</v>
      </c>
      <c r="B92" s="33" t="s">
        <v>702</v>
      </c>
      <c r="C92" s="34">
        <v>0</v>
      </c>
      <c r="D92" s="34">
        <v>0</v>
      </c>
      <c r="E92" s="34">
        <v>0</v>
      </c>
      <c r="F92" s="34">
        <v>0</v>
      </c>
      <c r="G92" s="34">
        <v>0</v>
      </c>
      <c r="H92" s="34">
        <v>469.48000000000008</v>
      </c>
      <c r="I92" s="34">
        <v>642.5100000000001</v>
      </c>
      <c r="J92" s="34">
        <v>629.20000000000005</v>
      </c>
    </row>
    <row r="93" spans="1:10" hidden="1" x14ac:dyDescent="0.25">
      <c r="A93" s="32" t="s">
        <v>333</v>
      </c>
      <c r="B93" s="33" t="s">
        <v>882</v>
      </c>
      <c r="C93" s="34">
        <v>0</v>
      </c>
      <c r="D93" s="34">
        <v>0</v>
      </c>
      <c r="E93" s="34">
        <v>0</v>
      </c>
      <c r="F93" s="34">
        <v>0</v>
      </c>
      <c r="G93" s="34">
        <v>0</v>
      </c>
      <c r="H93" s="34">
        <v>451.33000000000004</v>
      </c>
      <c r="I93" s="34">
        <v>608.63000000000011</v>
      </c>
      <c r="J93" s="34">
        <v>646.1400000000001</v>
      </c>
    </row>
    <row r="94" spans="1:10" hidden="1" x14ac:dyDescent="0.25">
      <c r="A94" s="32" t="s">
        <v>37</v>
      </c>
      <c r="B94" s="33" t="s">
        <v>46</v>
      </c>
      <c r="C94" s="34">
        <v>0</v>
      </c>
      <c r="D94" s="34">
        <v>0</v>
      </c>
      <c r="E94" s="34">
        <v>0</v>
      </c>
      <c r="F94" s="34">
        <v>0</v>
      </c>
      <c r="G94" s="34">
        <v>0</v>
      </c>
      <c r="H94" s="34">
        <v>0</v>
      </c>
      <c r="I94" s="34">
        <v>0</v>
      </c>
      <c r="J94" s="34">
        <v>585.31000000000006</v>
      </c>
    </row>
    <row r="95" spans="1:10" hidden="1" x14ac:dyDescent="0.25">
      <c r="A95" s="32" t="s">
        <v>46</v>
      </c>
      <c r="B95" s="33" t="s">
        <v>37</v>
      </c>
      <c r="C95" s="34">
        <v>0</v>
      </c>
      <c r="D95" s="34">
        <v>0</v>
      </c>
      <c r="E95" s="34">
        <v>0</v>
      </c>
      <c r="F95" s="34">
        <v>0</v>
      </c>
      <c r="G95" s="34">
        <v>0</v>
      </c>
      <c r="H95" s="34">
        <v>0</v>
      </c>
      <c r="I95" s="34">
        <v>0</v>
      </c>
      <c r="J95" s="34">
        <v>292.65500000000003</v>
      </c>
    </row>
    <row r="97" spans="3:8" x14ac:dyDescent="0.25">
      <c r="D97"/>
      <c r="H97" s="132"/>
    </row>
    <row r="98" spans="3:8" x14ac:dyDescent="0.25">
      <c r="C98" s="132"/>
      <c r="D98"/>
      <c r="F98" s="132"/>
      <c r="G98" s="132"/>
      <c r="H98" s="132"/>
    </row>
    <row r="99" spans="3:8" x14ac:dyDescent="0.25">
      <c r="C99" s="132"/>
      <c r="D99"/>
    </row>
    <row r="100" spans="3:8" x14ac:dyDescent="0.25">
      <c r="C100" s="132"/>
      <c r="D100"/>
      <c r="F100" s="132"/>
      <c r="G100" s="132"/>
      <c r="H100" s="132"/>
    </row>
    <row r="101" spans="3:8" x14ac:dyDescent="0.25">
      <c r="C101" s="132"/>
      <c r="D101"/>
    </row>
    <row r="102" spans="3:8" x14ac:dyDescent="0.25">
      <c r="C102" s="132"/>
      <c r="D102"/>
      <c r="F102" s="132"/>
      <c r="G102" s="132"/>
      <c r="H102" s="132"/>
    </row>
    <row r="103" spans="3:8" x14ac:dyDescent="0.25">
      <c r="C103" s="132"/>
      <c r="D103"/>
    </row>
    <row r="104" spans="3:8" x14ac:dyDescent="0.25">
      <c r="C104" s="132"/>
      <c r="D104"/>
      <c r="F104" s="132"/>
      <c r="G104" s="132"/>
      <c r="H104" s="132"/>
    </row>
    <row r="105" spans="3:8" x14ac:dyDescent="0.25">
      <c r="C105" s="132"/>
      <c r="D105"/>
      <c r="F105" s="132"/>
      <c r="G105" s="132"/>
      <c r="H105" s="132"/>
    </row>
    <row r="106" spans="3:8" x14ac:dyDescent="0.25">
      <c r="C106" s="132"/>
      <c r="D106"/>
      <c r="F106" s="132"/>
      <c r="G106" s="132"/>
      <c r="H106" s="132"/>
    </row>
    <row r="107" spans="3:8" x14ac:dyDescent="0.25">
      <c r="C107" s="132"/>
      <c r="D107"/>
      <c r="E107" s="132"/>
      <c r="F107" s="132"/>
      <c r="G107" s="132"/>
      <c r="H107" s="132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4D398-08D0-4355-A1FA-F02B44628C47}">
  <sheetPr>
    <tabColor theme="8"/>
  </sheetPr>
  <dimension ref="A1:K26"/>
  <sheetViews>
    <sheetView workbookViewId="0">
      <selection activeCell="E8" sqref="E8"/>
    </sheetView>
  </sheetViews>
  <sheetFormatPr baseColWidth="10" defaultColWidth="11.42578125" defaultRowHeight="15" x14ac:dyDescent="0.25"/>
  <cols>
    <col min="1" max="1" width="10.85546875" bestFit="1" customWidth="1"/>
    <col min="2" max="2" width="17.140625" bestFit="1" customWidth="1"/>
    <col min="3" max="5" width="11.5703125" bestFit="1" customWidth="1"/>
    <col min="6" max="6" width="12.5703125" bestFit="1" customWidth="1"/>
    <col min="7" max="9" width="13.5703125" bestFit="1" customWidth="1"/>
    <col min="10" max="10" width="14" bestFit="1" customWidth="1"/>
    <col min="11" max="11" width="13.42578125" bestFit="1" customWidth="1"/>
    <col min="12" max="12" width="14" bestFit="1" customWidth="1"/>
    <col min="13" max="13" width="13.42578125" bestFit="1" customWidth="1"/>
  </cols>
  <sheetData>
    <row r="1" spans="1:11" x14ac:dyDescent="0.25">
      <c r="A1" t="s">
        <v>1</v>
      </c>
      <c r="B1" t="s">
        <v>2</v>
      </c>
      <c r="C1" t="s">
        <v>21</v>
      </c>
      <c r="D1" t="s">
        <v>29</v>
      </c>
      <c r="E1" t="s">
        <v>31</v>
      </c>
      <c r="F1" t="s">
        <v>33</v>
      </c>
      <c r="G1" t="s">
        <v>23</v>
      </c>
      <c r="H1" t="s">
        <v>25</v>
      </c>
      <c r="I1" t="s">
        <v>27</v>
      </c>
      <c r="J1" t="s">
        <v>35</v>
      </c>
      <c r="K1" t="s">
        <v>2786</v>
      </c>
    </row>
    <row r="2" spans="1:11" x14ac:dyDescent="0.25">
      <c r="A2" t="s">
        <v>46</v>
      </c>
      <c r="B2" t="s">
        <v>46</v>
      </c>
      <c r="C2">
        <v>183</v>
      </c>
      <c r="D2">
        <v>183</v>
      </c>
      <c r="E2">
        <v>193</v>
      </c>
      <c r="F2">
        <v>0</v>
      </c>
      <c r="G2">
        <v>0</v>
      </c>
      <c r="H2">
        <v>309</v>
      </c>
      <c r="I2">
        <v>309</v>
      </c>
      <c r="K2" t="s">
        <v>9</v>
      </c>
    </row>
    <row r="3" spans="1:11" x14ac:dyDescent="0.25">
      <c r="A3" t="s">
        <v>46</v>
      </c>
      <c r="B3" t="s">
        <v>109</v>
      </c>
      <c r="C3">
        <v>210</v>
      </c>
      <c r="D3">
        <v>210</v>
      </c>
      <c r="E3">
        <v>220</v>
      </c>
      <c r="F3">
        <v>0</v>
      </c>
      <c r="G3">
        <v>0</v>
      </c>
      <c r="H3">
        <v>329</v>
      </c>
      <c r="I3">
        <v>329</v>
      </c>
      <c r="K3" t="s">
        <v>9</v>
      </c>
    </row>
    <row r="4" spans="1:11" x14ac:dyDescent="0.25">
      <c r="A4" t="s">
        <v>46</v>
      </c>
      <c r="B4" t="s">
        <v>118</v>
      </c>
      <c r="C4">
        <v>239</v>
      </c>
      <c r="D4">
        <v>239</v>
      </c>
      <c r="E4">
        <v>249</v>
      </c>
      <c r="F4">
        <v>0</v>
      </c>
      <c r="G4">
        <v>0</v>
      </c>
      <c r="H4">
        <v>359</v>
      </c>
      <c r="I4">
        <v>359</v>
      </c>
      <c r="K4" t="s">
        <v>9</v>
      </c>
    </row>
    <row r="5" spans="1:11" x14ac:dyDescent="0.25">
      <c r="A5" t="s">
        <v>46</v>
      </c>
      <c r="B5" t="s">
        <v>127</v>
      </c>
      <c r="C5">
        <v>183</v>
      </c>
      <c r="D5">
        <v>183</v>
      </c>
      <c r="E5">
        <v>193</v>
      </c>
      <c r="F5">
        <v>0</v>
      </c>
      <c r="G5">
        <v>0</v>
      </c>
      <c r="H5">
        <v>309</v>
      </c>
      <c r="I5">
        <v>309</v>
      </c>
      <c r="K5" t="s">
        <v>9</v>
      </c>
    </row>
    <row r="6" spans="1:11" x14ac:dyDescent="0.25">
      <c r="A6" t="s">
        <v>46</v>
      </c>
      <c r="B6" t="s">
        <v>136</v>
      </c>
      <c r="C6">
        <v>183</v>
      </c>
      <c r="D6">
        <v>183</v>
      </c>
      <c r="E6">
        <v>193</v>
      </c>
      <c r="F6">
        <v>0</v>
      </c>
      <c r="G6">
        <v>0</v>
      </c>
      <c r="H6">
        <v>309</v>
      </c>
      <c r="I6">
        <v>309</v>
      </c>
      <c r="K6" t="s">
        <v>9</v>
      </c>
    </row>
    <row r="7" spans="1:11" x14ac:dyDescent="0.25">
      <c r="A7" t="s">
        <v>46</v>
      </c>
      <c r="B7" t="s">
        <v>37</v>
      </c>
      <c r="C7">
        <v>0</v>
      </c>
      <c r="D7">
        <v>0</v>
      </c>
      <c r="E7">
        <v>0</v>
      </c>
      <c r="F7">
        <v>0</v>
      </c>
      <c r="G7">
        <v>0</v>
      </c>
      <c r="H7">
        <v>489</v>
      </c>
      <c r="I7">
        <v>489</v>
      </c>
      <c r="K7" t="s">
        <v>9</v>
      </c>
    </row>
    <row r="8" spans="1:11" x14ac:dyDescent="0.25">
      <c r="A8" t="s">
        <v>46</v>
      </c>
      <c r="B8" t="s">
        <v>351</v>
      </c>
      <c r="C8">
        <v>183</v>
      </c>
      <c r="D8">
        <v>183</v>
      </c>
      <c r="E8">
        <v>193</v>
      </c>
      <c r="F8">
        <v>0</v>
      </c>
      <c r="G8">
        <v>0</v>
      </c>
      <c r="H8">
        <v>309</v>
      </c>
      <c r="I8">
        <v>309</v>
      </c>
      <c r="K8" t="s">
        <v>9</v>
      </c>
    </row>
    <row r="9" spans="1:11" x14ac:dyDescent="0.25">
      <c r="A9" t="s">
        <v>46</v>
      </c>
      <c r="B9" t="s">
        <v>360</v>
      </c>
      <c r="C9">
        <v>183</v>
      </c>
      <c r="D9">
        <v>183</v>
      </c>
      <c r="E9">
        <v>193</v>
      </c>
      <c r="F9">
        <v>0</v>
      </c>
      <c r="G9">
        <v>0</v>
      </c>
      <c r="H9">
        <v>309</v>
      </c>
      <c r="I9">
        <v>309</v>
      </c>
      <c r="K9" t="s">
        <v>9</v>
      </c>
    </row>
    <row r="10" spans="1:11" x14ac:dyDescent="0.25">
      <c r="A10" t="s">
        <v>46</v>
      </c>
      <c r="B10" t="s">
        <v>396</v>
      </c>
      <c r="C10">
        <v>183</v>
      </c>
      <c r="D10">
        <v>183</v>
      </c>
      <c r="E10">
        <v>193</v>
      </c>
      <c r="F10">
        <v>0</v>
      </c>
      <c r="G10">
        <v>0</v>
      </c>
      <c r="H10">
        <v>309</v>
      </c>
      <c r="I10">
        <v>309</v>
      </c>
      <c r="K10" t="s">
        <v>9</v>
      </c>
    </row>
    <row r="11" spans="1:11" x14ac:dyDescent="0.25">
      <c r="A11" t="s">
        <v>46</v>
      </c>
      <c r="B11" t="s">
        <v>450</v>
      </c>
      <c r="C11">
        <v>183</v>
      </c>
      <c r="D11">
        <v>183</v>
      </c>
      <c r="E11">
        <v>193</v>
      </c>
      <c r="F11">
        <v>0</v>
      </c>
      <c r="G11">
        <v>0</v>
      </c>
      <c r="H11">
        <v>309</v>
      </c>
      <c r="I11">
        <v>309</v>
      </c>
      <c r="K11" t="s">
        <v>9</v>
      </c>
    </row>
    <row r="12" spans="1:11" x14ac:dyDescent="0.25">
      <c r="A12" t="s">
        <v>46</v>
      </c>
      <c r="B12" t="s">
        <v>522</v>
      </c>
      <c r="C12">
        <v>0</v>
      </c>
      <c r="D12">
        <v>0</v>
      </c>
      <c r="E12">
        <v>0</v>
      </c>
      <c r="F12">
        <v>0</v>
      </c>
      <c r="G12">
        <v>0</v>
      </c>
      <c r="H12">
        <v>489</v>
      </c>
      <c r="I12">
        <v>489</v>
      </c>
      <c r="K12" t="s">
        <v>9</v>
      </c>
    </row>
    <row r="13" spans="1:11" x14ac:dyDescent="0.25">
      <c r="A13" t="s">
        <v>46</v>
      </c>
      <c r="B13" t="s">
        <v>540</v>
      </c>
      <c r="C13">
        <v>210</v>
      </c>
      <c r="D13">
        <v>210</v>
      </c>
      <c r="E13">
        <v>220</v>
      </c>
      <c r="F13">
        <v>0</v>
      </c>
      <c r="G13">
        <v>0</v>
      </c>
      <c r="H13">
        <v>0</v>
      </c>
      <c r="I13">
        <v>0</v>
      </c>
      <c r="K13" t="s">
        <v>9</v>
      </c>
    </row>
    <row r="14" spans="1:11" x14ac:dyDescent="0.25">
      <c r="A14" t="s">
        <v>46</v>
      </c>
      <c r="B14" t="s">
        <v>585</v>
      </c>
      <c r="C14">
        <v>183</v>
      </c>
      <c r="D14">
        <v>183</v>
      </c>
      <c r="E14">
        <v>193</v>
      </c>
      <c r="F14">
        <v>0</v>
      </c>
      <c r="G14">
        <v>0</v>
      </c>
      <c r="H14">
        <v>0</v>
      </c>
      <c r="I14">
        <v>0</v>
      </c>
      <c r="K14" t="s">
        <v>9</v>
      </c>
    </row>
    <row r="15" spans="1:11" x14ac:dyDescent="0.25">
      <c r="A15" t="s">
        <v>46</v>
      </c>
      <c r="B15" t="s">
        <v>639</v>
      </c>
      <c r="C15">
        <v>183</v>
      </c>
      <c r="D15">
        <v>183</v>
      </c>
      <c r="E15">
        <v>193</v>
      </c>
      <c r="F15">
        <v>0</v>
      </c>
      <c r="G15">
        <v>0</v>
      </c>
      <c r="H15">
        <v>309</v>
      </c>
      <c r="I15">
        <v>309</v>
      </c>
      <c r="K15" t="s">
        <v>9</v>
      </c>
    </row>
    <row r="16" spans="1:11" x14ac:dyDescent="0.25">
      <c r="A16" t="s">
        <v>46</v>
      </c>
      <c r="B16" t="s">
        <v>666</v>
      </c>
      <c r="C16">
        <v>183</v>
      </c>
      <c r="D16">
        <v>183</v>
      </c>
      <c r="E16">
        <v>193</v>
      </c>
      <c r="F16">
        <v>0</v>
      </c>
      <c r="G16">
        <v>0</v>
      </c>
      <c r="H16">
        <v>309</v>
      </c>
      <c r="I16">
        <v>309</v>
      </c>
      <c r="K16" t="s">
        <v>9</v>
      </c>
    </row>
    <row r="17" spans="1:11" x14ac:dyDescent="0.25">
      <c r="A17" t="s">
        <v>46</v>
      </c>
      <c r="B17" t="s">
        <v>675</v>
      </c>
      <c r="C17">
        <v>0</v>
      </c>
      <c r="D17">
        <v>0</v>
      </c>
      <c r="E17">
        <v>0</v>
      </c>
      <c r="F17">
        <v>0</v>
      </c>
      <c r="G17">
        <v>0</v>
      </c>
      <c r="H17">
        <v>489</v>
      </c>
      <c r="I17">
        <v>489</v>
      </c>
      <c r="K17" t="s">
        <v>9</v>
      </c>
    </row>
    <row r="18" spans="1:11" x14ac:dyDescent="0.25">
      <c r="A18" t="s">
        <v>46</v>
      </c>
      <c r="B18" t="s">
        <v>684</v>
      </c>
      <c r="C18">
        <v>183</v>
      </c>
      <c r="D18">
        <v>183</v>
      </c>
      <c r="E18">
        <v>193</v>
      </c>
      <c r="F18">
        <v>0</v>
      </c>
      <c r="G18">
        <v>0</v>
      </c>
      <c r="H18">
        <v>309</v>
      </c>
      <c r="I18">
        <v>309</v>
      </c>
      <c r="K18" t="s">
        <v>9</v>
      </c>
    </row>
    <row r="19" spans="1:11" x14ac:dyDescent="0.25">
      <c r="A19" t="s">
        <v>46</v>
      </c>
      <c r="B19" t="s">
        <v>819</v>
      </c>
      <c r="C19">
        <v>183</v>
      </c>
      <c r="D19">
        <v>183</v>
      </c>
      <c r="E19">
        <v>193</v>
      </c>
      <c r="F19">
        <v>0</v>
      </c>
      <c r="G19">
        <v>0</v>
      </c>
      <c r="H19">
        <v>309</v>
      </c>
      <c r="I19">
        <v>309</v>
      </c>
      <c r="K19" t="s">
        <v>9</v>
      </c>
    </row>
    <row r="20" spans="1:11" x14ac:dyDescent="0.25">
      <c r="A20" t="s">
        <v>46</v>
      </c>
      <c r="B20" t="s">
        <v>846</v>
      </c>
      <c r="C20">
        <v>0</v>
      </c>
      <c r="D20">
        <v>0</v>
      </c>
      <c r="E20">
        <v>0</v>
      </c>
      <c r="F20">
        <v>0</v>
      </c>
      <c r="G20">
        <v>0</v>
      </c>
      <c r="H20">
        <v>489</v>
      </c>
      <c r="I20">
        <v>489</v>
      </c>
      <c r="K20" t="s">
        <v>9</v>
      </c>
    </row>
    <row r="21" spans="1:11" x14ac:dyDescent="0.25">
      <c r="A21" t="s">
        <v>46</v>
      </c>
      <c r="B21" t="s">
        <v>855</v>
      </c>
      <c r="C21">
        <v>210</v>
      </c>
      <c r="D21">
        <v>210</v>
      </c>
      <c r="E21">
        <v>220</v>
      </c>
      <c r="F21">
        <v>0</v>
      </c>
      <c r="G21">
        <v>0</v>
      </c>
      <c r="H21">
        <v>349</v>
      </c>
      <c r="I21">
        <v>349</v>
      </c>
      <c r="K21" t="s">
        <v>9</v>
      </c>
    </row>
    <row r="22" spans="1:11" x14ac:dyDescent="0.25">
      <c r="A22" t="s">
        <v>46</v>
      </c>
      <c r="B22" t="s">
        <v>864</v>
      </c>
      <c r="C22">
        <v>239</v>
      </c>
      <c r="D22">
        <v>239</v>
      </c>
      <c r="E22">
        <v>249</v>
      </c>
      <c r="F22">
        <v>0</v>
      </c>
      <c r="G22">
        <v>0</v>
      </c>
      <c r="H22">
        <v>489</v>
      </c>
      <c r="I22">
        <v>489</v>
      </c>
      <c r="K22" t="s">
        <v>9</v>
      </c>
    </row>
    <row r="23" spans="1:11" x14ac:dyDescent="0.25">
      <c r="A23" t="s">
        <v>46</v>
      </c>
      <c r="B23" t="s">
        <v>909</v>
      </c>
      <c r="C23">
        <v>0</v>
      </c>
      <c r="D23">
        <v>0</v>
      </c>
      <c r="E23">
        <v>0</v>
      </c>
      <c r="F23">
        <v>0</v>
      </c>
      <c r="G23">
        <v>0</v>
      </c>
      <c r="H23">
        <v>550</v>
      </c>
      <c r="I23">
        <v>550</v>
      </c>
      <c r="K23" t="s">
        <v>9</v>
      </c>
    </row>
    <row r="24" spans="1:11" x14ac:dyDescent="0.25">
      <c r="A24" t="s">
        <v>37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580</v>
      </c>
      <c r="I24">
        <v>580</v>
      </c>
      <c r="K24" t="s">
        <v>9</v>
      </c>
    </row>
    <row r="25" spans="1:11" x14ac:dyDescent="0.25">
      <c r="A25" t="s">
        <v>37</v>
      </c>
      <c r="B25" t="s">
        <v>639</v>
      </c>
      <c r="C25">
        <v>0</v>
      </c>
      <c r="D25">
        <v>0</v>
      </c>
      <c r="E25">
        <v>0</v>
      </c>
      <c r="F25">
        <v>0</v>
      </c>
      <c r="G25">
        <v>0</v>
      </c>
      <c r="H25">
        <v>535</v>
      </c>
      <c r="I25">
        <v>535</v>
      </c>
      <c r="K25" t="s">
        <v>9</v>
      </c>
    </row>
    <row r="26" spans="1:11" x14ac:dyDescent="0.25">
      <c r="A26" t="s">
        <v>1755</v>
      </c>
      <c r="B26" t="s">
        <v>639</v>
      </c>
      <c r="C26">
        <v>0</v>
      </c>
      <c r="D26">
        <v>0</v>
      </c>
      <c r="E26">
        <v>0</v>
      </c>
      <c r="F26">
        <v>0</v>
      </c>
      <c r="G26">
        <v>0</v>
      </c>
      <c r="H26">
        <v>672</v>
      </c>
      <c r="I26">
        <v>672</v>
      </c>
      <c r="K26" t="s">
        <v>9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654E0-E503-4632-A1BF-EE5CF8AEBF26}">
  <sheetPr>
    <tabColor theme="8"/>
  </sheetPr>
  <dimension ref="A1:J26"/>
  <sheetViews>
    <sheetView zoomScale="70" zoomScaleNormal="70" workbookViewId="0">
      <selection activeCell="C2" sqref="C2:J26"/>
    </sheetView>
  </sheetViews>
  <sheetFormatPr baseColWidth="10" defaultColWidth="11.42578125" defaultRowHeight="15" x14ac:dyDescent="0.25"/>
  <cols>
    <col min="2" max="2" width="23.42578125" customWidth="1"/>
    <col min="3" max="4" width="10.85546875" style="1"/>
    <col min="5" max="6" width="11" style="1" customWidth="1"/>
    <col min="7" max="7" width="14.5703125" style="1" bestFit="1" customWidth="1"/>
    <col min="8" max="8" width="14.5703125" style="1" customWidth="1"/>
    <col min="9" max="9" width="13" style="1" customWidth="1"/>
  </cols>
  <sheetData>
    <row r="1" spans="1:10" x14ac:dyDescent="0.25">
      <c r="A1" t="s">
        <v>1</v>
      </c>
      <c r="B1" t="s">
        <v>2</v>
      </c>
      <c r="C1" s="1" t="s">
        <v>21</v>
      </c>
      <c r="D1" s="1" t="s">
        <v>29</v>
      </c>
      <c r="E1" s="1" t="s">
        <v>31</v>
      </c>
      <c r="F1" s="1" t="s">
        <v>33</v>
      </c>
      <c r="G1" s="1" t="s">
        <v>23</v>
      </c>
      <c r="H1" s="1" t="s">
        <v>25</v>
      </c>
      <c r="I1" s="1" t="s">
        <v>27</v>
      </c>
      <c r="J1" s="1" t="s">
        <v>35</v>
      </c>
    </row>
    <row r="2" spans="1:10" x14ac:dyDescent="0.25">
      <c r="A2" t="s">
        <v>46</v>
      </c>
      <c r="B2" t="s">
        <v>46</v>
      </c>
      <c r="C2" s="1">
        <v>201.3</v>
      </c>
      <c r="D2" s="1">
        <v>201.3</v>
      </c>
      <c r="E2" s="1">
        <v>212.3</v>
      </c>
      <c r="F2" s="1">
        <v>0</v>
      </c>
      <c r="G2" s="1">
        <v>0</v>
      </c>
      <c r="H2" s="1">
        <v>339.90000000000003</v>
      </c>
      <c r="I2" s="1">
        <v>339.90000000000003</v>
      </c>
    </row>
    <row r="3" spans="1:10" x14ac:dyDescent="0.25">
      <c r="A3" t="s">
        <v>46</v>
      </c>
      <c r="B3" t="s">
        <v>109</v>
      </c>
      <c r="C3" s="1">
        <v>231.00000000000003</v>
      </c>
      <c r="D3" s="1">
        <v>231.00000000000003</v>
      </c>
      <c r="E3" s="1">
        <v>242.00000000000003</v>
      </c>
      <c r="F3" s="1">
        <v>0</v>
      </c>
      <c r="G3" s="1">
        <v>0</v>
      </c>
      <c r="H3" s="1">
        <v>361.90000000000003</v>
      </c>
      <c r="I3" s="1">
        <v>361.90000000000003</v>
      </c>
    </row>
    <row r="4" spans="1:10" x14ac:dyDescent="0.25">
      <c r="A4" t="s">
        <v>46</v>
      </c>
      <c r="B4" t="s">
        <v>118</v>
      </c>
      <c r="C4" s="1">
        <v>262.90000000000003</v>
      </c>
      <c r="D4" s="1">
        <v>262.90000000000003</v>
      </c>
      <c r="E4" s="1">
        <v>273.90000000000003</v>
      </c>
      <c r="F4" s="1">
        <v>0</v>
      </c>
      <c r="G4" s="1">
        <v>0</v>
      </c>
      <c r="H4" s="1">
        <v>394.90000000000003</v>
      </c>
      <c r="I4" s="1">
        <v>394.90000000000003</v>
      </c>
    </row>
    <row r="5" spans="1:10" x14ac:dyDescent="0.25">
      <c r="A5" t="s">
        <v>46</v>
      </c>
      <c r="B5" t="s">
        <v>127</v>
      </c>
      <c r="C5" s="1">
        <v>201.3</v>
      </c>
      <c r="D5" s="1">
        <v>201.3</v>
      </c>
      <c r="E5" s="1">
        <v>212.3</v>
      </c>
      <c r="F5" s="1">
        <v>0</v>
      </c>
      <c r="G5" s="1">
        <v>0</v>
      </c>
      <c r="H5" s="1">
        <v>339.90000000000003</v>
      </c>
      <c r="I5" s="1">
        <v>339.90000000000003</v>
      </c>
    </row>
    <row r="6" spans="1:10" x14ac:dyDescent="0.25">
      <c r="A6" t="s">
        <v>46</v>
      </c>
      <c r="B6" t="s">
        <v>136</v>
      </c>
      <c r="C6" s="1">
        <v>201.3</v>
      </c>
      <c r="D6" s="1">
        <v>201.3</v>
      </c>
      <c r="E6" s="1">
        <v>212.3</v>
      </c>
      <c r="F6" s="1">
        <v>0</v>
      </c>
      <c r="G6" s="1">
        <v>0</v>
      </c>
      <c r="H6" s="1">
        <v>339.90000000000003</v>
      </c>
      <c r="I6" s="1">
        <v>339.90000000000003</v>
      </c>
    </row>
    <row r="7" spans="1:10" x14ac:dyDescent="0.25">
      <c r="A7" t="s">
        <v>46</v>
      </c>
      <c r="B7" t="s">
        <v>37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537.90000000000009</v>
      </c>
      <c r="I7" s="1">
        <v>537.90000000000009</v>
      </c>
    </row>
    <row r="8" spans="1:10" x14ac:dyDescent="0.25">
      <c r="A8" t="s">
        <v>46</v>
      </c>
      <c r="B8" t="s">
        <v>351</v>
      </c>
      <c r="C8" s="1">
        <v>201.3</v>
      </c>
      <c r="D8" s="1">
        <v>201.3</v>
      </c>
      <c r="E8" s="1">
        <v>212.3</v>
      </c>
      <c r="F8" s="1">
        <v>0</v>
      </c>
      <c r="G8" s="1">
        <v>0</v>
      </c>
      <c r="H8" s="1">
        <v>339.90000000000003</v>
      </c>
      <c r="I8" s="1">
        <v>339.90000000000003</v>
      </c>
    </row>
    <row r="9" spans="1:10" x14ac:dyDescent="0.25">
      <c r="A9" t="s">
        <v>46</v>
      </c>
      <c r="B9" t="s">
        <v>360</v>
      </c>
      <c r="C9" s="1">
        <v>201.3</v>
      </c>
      <c r="D9" s="1">
        <v>201.3</v>
      </c>
      <c r="E9" s="1">
        <v>212.3</v>
      </c>
      <c r="F9" s="1">
        <v>0</v>
      </c>
      <c r="G9" s="1">
        <v>0</v>
      </c>
      <c r="H9" s="1">
        <v>339.90000000000003</v>
      </c>
      <c r="I9" s="1">
        <v>339.90000000000003</v>
      </c>
    </row>
    <row r="10" spans="1:10" x14ac:dyDescent="0.25">
      <c r="A10" t="s">
        <v>46</v>
      </c>
      <c r="B10" t="s">
        <v>396</v>
      </c>
      <c r="C10" s="1">
        <v>201.3</v>
      </c>
      <c r="D10" s="1">
        <v>201.3</v>
      </c>
      <c r="E10" s="1">
        <v>212.3</v>
      </c>
      <c r="F10" s="1">
        <v>0</v>
      </c>
      <c r="G10" s="1">
        <v>0</v>
      </c>
      <c r="H10" s="1">
        <v>339.90000000000003</v>
      </c>
      <c r="I10" s="1">
        <v>339.90000000000003</v>
      </c>
    </row>
    <row r="11" spans="1:10" x14ac:dyDescent="0.25">
      <c r="A11" t="s">
        <v>46</v>
      </c>
      <c r="B11" t="s">
        <v>450</v>
      </c>
      <c r="C11" s="1">
        <v>201.3</v>
      </c>
      <c r="D11" s="1">
        <v>201.3</v>
      </c>
      <c r="E11" s="1">
        <v>212.3</v>
      </c>
      <c r="F11" s="1">
        <v>0</v>
      </c>
      <c r="G11" s="1">
        <v>0</v>
      </c>
      <c r="H11" s="1">
        <v>339.90000000000003</v>
      </c>
      <c r="I11" s="1">
        <v>339.90000000000003</v>
      </c>
    </row>
    <row r="12" spans="1:10" x14ac:dyDescent="0.25">
      <c r="A12" t="s">
        <v>46</v>
      </c>
      <c r="B12" t="s">
        <v>522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537.90000000000009</v>
      </c>
      <c r="I12" s="1">
        <v>537.90000000000009</v>
      </c>
    </row>
    <row r="13" spans="1:10" x14ac:dyDescent="0.25">
      <c r="A13" t="s">
        <v>46</v>
      </c>
      <c r="B13" t="s">
        <v>540</v>
      </c>
      <c r="C13" s="1">
        <v>231.00000000000003</v>
      </c>
      <c r="D13" s="1">
        <v>231.00000000000003</v>
      </c>
      <c r="E13" s="1">
        <v>242.00000000000003</v>
      </c>
      <c r="F13" s="1">
        <v>0</v>
      </c>
      <c r="G13" s="1">
        <v>0</v>
      </c>
      <c r="H13" s="1">
        <v>0</v>
      </c>
      <c r="I13" s="1">
        <v>0</v>
      </c>
    </row>
    <row r="14" spans="1:10" x14ac:dyDescent="0.25">
      <c r="A14" t="s">
        <v>46</v>
      </c>
      <c r="B14" t="s">
        <v>585</v>
      </c>
      <c r="C14" s="1">
        <v>201.3</v>
      </c>
      <c r="D14" s="1">
        <v>201.3</v>
      </c>
      <c r="E14" s="1">
        <v>212.3</v>
      </c>
      <c r="F14" s="1">
        <v>0</v>
      </c>
      <c r="G14" s="1">
        <v>0</v>
      </c>
      <c r="H14" s="1">
        <v>0</v>
      </c>
      <c r="I14" s="1">
        <v>0</v>
      </c>
    </row>
    <row r="15" spans="1:10" x14ac:dyDescent="0.25">
      <c r="A15" t="s">
        <v>46</v>
      </c>
      <c r="B15" t="s">
        <v>639</v>
      </c>
      <c r="C15" s="1">
        <v>201.3</v>
      </c>
      <c r="D15" s="1">
        <v>201.3</v>
      </c>
      <c r="E15" s="1">
        <v>212.3</v>
      </c>
      <c r="F15" s="1">
        <v>0</v>
      </c>
      <c r="G15" s="1">
        <v>0</v>
      </c>
      <c r="H15" s="1">
        <v>339.90000000000003</v>
      </c>
      <c r="I15" s="1">
        <v>339.90000000000003</v>
      </c>
    </row>
    <row r="16" spans="1:10" x14ac:dyDescent="0.25">
      <c r="A16" t="s">
        <v>46</v>
      </c>
      <c r="B16" t="s">
        <v>666</v>
      </c>
      <c r="C16" s="1">
        <v>201.3</v>
      </c>
      <c r="D16" s="1">
        <v>201.3</v>
      </c>
      <c r="E16" s="1">
        <v>212.3</v>
      </c>
      <c r="F16" s="1">
        <v>0</v>
      </c>
      <c r="G16" s="1">
        <v>0</v>
      </c>
      <c r="H16" s="1">
        <v>339.90000000000003</v>
      </c>
      <c r="I16" s="1">
        <v>339.90000000000003</v>
      </c>
    </row>
    <row r="17" spans="1:9" x14ac:dyDescent="0.25">
      <c r="A17" t="s">
        <v>46</v>
      </c>
      <c r="B17" t="s">
        <v>675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537.90000000000009</v>
      </c>
      <c r="I17" s="1">
        <v>537.90000000000009</v>
      </c>
    </row>
    <row r="18" spans="1:9" x14ac:dyDescent="0.25">
      <c r="A18" t="s">
        <v>46</v>
      </c>
      <c r="B18" t="s">
        <v>684</v>
      </c>
      <c r="C18" s="1">
        <v>201.3</v>
      </c>
      <c r="D18" s="1">
        <v>201.3</v>
      </c>
      <c r="E18" s="1">
        <v>212.3</v>
      </c>
      <c r="F18" s="1">
        <v>0</v>
      </c>
      <c r="G18" s="1">
        <v>0</v>
      </c>
      <c r="H18" s="1">
        <v>339.90000000000003</v>
      </c>
      <c r="I18" s="1">
        <v>339.90000000000003</v>
      </c>
    </row>
    <row r="19" spans="1:9" x14ac:dyDescent="0.25">
      <c r="A19" t="s">
        <v>46</v>
      </c>
      <c r="B19" t="s">
        <v>819</v>
      </c>
      <c r="C19" s="1">
        <v>201.3</v>
      </c>
      <c r="D19" s="1">
        <v>201.3</v>
      </c>
      <c r="E19" s="1">
        <v>212.3</v>
      </c>
      <c r="F19" s="1">
        <v>0</v>
      </c>
      <c r="G19" s="1">
        <v>0</v>
      </c>
      <c r="H19" s="1">
        <v>339.90000000000003</v>
      </c>
      <c r="I19" s="1">
        <v>339.90000000000003</v>
      </c>
    </row>
    <row r="20" spans="1:9" x14ac:dyDescent="0.25">
      <c r="A20" t="s">
        <v>46</v>
      </c>
      <c r="B20" t="s">
        <v>846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537.90000000000009</v>
      </c>
      <c r="I20" s="1">
        <v>537.90000000000009</v>
      </c>
    </row>
    <row r="21" spans="1:9" x14ac:dyDescent="0.25">
      <c r="A21" t="s">
        <v>46</v>
      </c>
      <c r="B21" t="s">
        <v>855</v>
      </c>
      <c r="C21" s="1">
        <v>231.00000000000003</v>
      </c>
      <c r="D21" s="1">
        <v>231.00000000000003</v>
      </c>
      <c r="E21" s="1">
        <v>242.00000000000003</v>
      </c>
      <c r="F21" s="1">
        <v>0</v>
      </c>
      <c r="G21" s="1">
        <v>0</v>
      </c>
      <c r="H21" s="1">
        <v>383.90000000000003</v>
      </c>
      <c r="I21" s="1">
        <v>383.90000000000003</v>
      </c>
    </row>
    <row r="22" spans="1:9" x14ac:dyDescent="0.25">
      <c r="A22" t="s">
        <v>46</v>
      </c>
      <c r="B22" t="s">
        <v>864</v>
      </c>
      <c r="C22" s="1">
        <v>262.90000000000003</v>
      </c>
      <c r="D22" s="1">
        <v>262.90000000000003</v>
      </c>
      <c r="E22" s="1">
        <v>273.90000000000003</v>
      </c>
      <c r="F22" s="1">
        <v>0</v>
      </c>
      <c r="G22" s="1">
        <v>0</v>
      </c>
      <c r="H22" s="1">
        <v>537.90000000000009</v>
      </c>
      <c r="I22" s="1">
        <v>537.90000000000009</v>
      </c>
    </row>
    <row r="23" spans="1:9" x14ac:dyDescent="0.25">
      <c r="A23" t="s">
        <v>46</v>
      </c>
      <c r="B23" t="s">
        <v>909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605</v>
      </c>
      <c r="I23" s="1">
        <v>605</v>
      </c>
    </row>
    <row r="24" spans="1:9" x14ac:dyDescent="0.25">
      <c r="A24" t="s">
        <v>37</v>
      </c>
      <c r="B24" t="s">
        <v>46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638</v>
      </c>
      <c r="I24" s="1">
        <v>638</v>
      </c>
    </row>
    <row r="25" spans="1:9" x14ac:dyDescent="0.25">
      <c r="A25" t="s">
        <v>37</v>
      </c>
      <c r="B25" t="s">
        <v>639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588.5</v>
      </c>
      <c r="I25" s="1">
        <v>588.5</v>
      </c>
    </row>
    <row r="26" spans="1:9" x14ac:dyDescent="0.25">
      <c r="A26" t="s">
        <v>1755</v>
      </c>
      <c r="B26" t="s">
        <v>639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739.2</v>
      </c>
      <c r="I26" s="1">
        <v>739.2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B5A1D-D329-45C1-9A45-FC091573D5A7}">
  <dimension ref="A1:K121"/>
  <sheetViews>
    <sheetView topLeftCell="F1" workbookViewId="0">
      <selection activeCell="K14" sqref="K14"/>
    </sheetView>
  </sheetViews>
  <sheetFormatPr baseColWidth="10" defaultColWidth="11.42578125" defaultRowHeight="15" x14ac:dyDescent="0.25"/>
  <cols>
    <col min="1" max="1" width="10.5703125" bestFit="1" customWidth="1"/>
    <col min="2" max="2" width="23.85546875" bestFit="1" customWidth="1"/>
    <col min="3" max="5" width="11.5703125" bestFit="1" customWidth="1"/>
    <col min="6" max="6" width="12.5703125" bestFit="1" customWidth="1"/>
    <col min="7" max="9" width="13.5703125" bestFit="1" customWidth="1"/>
    <col min="10" max="10" width="14" bestFit="1" customWidth="1"/>
    <col min="11" max="11" width="14.42578125" bestFit="1" customWidth="1"/>
  </cols>
  <sheetData>
    <row r="1" spans="1:11" x14ac:dyDescent="0.25">
      <c r="A1" t="s">
        <v>1</v>
      </c>
      <c r="B1" t="s">
        <v>2</v>
      </c>
      <c r="C1" t="s">
        <v>21</v>
      </c>
      <c r="D1" t="s">
        <v>29</v>
      </c>
      <c r="E1" t="s">
        <v>31</v>
      </c>
      <c r="F1" t="s">
        <v>33</v>
      </c>
      <c r="G1" t="s">
        <v>23</v>
      </c>
      <c r="H1" t="s">
        <v>25</v>
      </c>
      <c r="I1" t="s">
        <v>27</v>
      </c>
      <c r="J1" t="s">
        <v>35</v>
      </c>
      <c r="K1" t="s">
        <v>2786</v>
      </c>
    </row>
    <row r="2" spans="1:11" x14ac:dyDescent="0.25">
      <c r="A2" t="s">
        <v>37</v>
      </c>
      <c r="B2" t="s">
        <v>46</v>
      </c>
      <c r="C2">
        <v>206.70480000000001</v>
      </c>
      <c r="D2">
        <v>218.85720000000001</v>
      </c>
      <c r="E2">
        <v>275.4468</v>
      </c>
      <c r="F2">
        <v>294.02879999999999</v>
      </c>
      <c r="G2">
        <v>359.41919999999999</v>
      </c>
      <c r="H2">
        <v>401.303</v>
      </c>
      <c r="I2">
        <v>0</v>
      </c>
      <c r="J2">
        <v>0</v>
      </c>
      <c r="K2" t="s">
        <v>10</v>
      </c>
    </row>
    <row r="3" spans="1:11" x14ac:dyDescent="0.25">
      <c r="A3" t="s">
        <v>37</v>
      </c>
      <c r="B3" t="s">
        <v>657</v>
      </c>
      <c r="C3">
        <v>191.1096</v>
      </c>
      <c r="D3">
        <v>201.75720000000001</v>
      </c>
      <c r="E3">
        <v>254.57339999999999</v>
      </c>
      <c r="F3">
        <v>265.52879999999999</v>
      </c>
      <c r="G3">
        <v>325.53840000000002</v>
      </c>
      <c r="H3">
        <v>360.64609999999999</v>
      </c>
      <c r="I3">
        <v>0</v>
      </c>
      <c r="J3">
        <v>0</v>
      </c>
      <c r="K3" t="s">
        <v>10</v>
      </c>
    </row>
    <row r="4" spans="1:11" x14ac:dyDescent="0.25">
      <c r="A4" t="s">
        <v>37</v>
      </c>
      <c r="B4" t="s">
        <v>684</v>
      </c>
      <c r="C4">
        <v>195.3048</v>
      </c>
      <c r="D4">
        <v>209.71440000000001</v>
      </c>
      <c r="E4">
        <v>254.57339999999999</v>
      </c>
      <c r="F4">
        <v>266.71440000000001</v>
      </c>
      <c r="G4">
        <v>331.23840000000001</v>
      </c>
      <c r="H4">
        <v>367.48610000000002</v>
      </c>
      <c r="I4">
        <v>0</v>
      </c>
      <c r="J4">
        <v>0</v>
      </c>
      <c r="K4" t="s">
        <v>10</v>
      </c>
    </row>
    <row r="5" spans="1:11" x14ac:dyDescent="0.25">
      <c r="A5" t="s">
        <v>37</v>
      </c>
      <c r="B5" t="s">
        <v>118</v>
      </c>
      <c r="C5">
        <v>145.50960000000001</v>
      </c>
      <c r="D5">
        <v>152.71440000000001</v>
      </c>
      <c r="E5">
        <v>210.9</v>
      </c>
      <c r="F5">
        <v>224.58</v>
      </c>
      <c r="G5">
        <v>234.01920000000001</v>
      </c>
      <c r="H5">
        <v>250.82300000000001</v>
      </c>
      <c r="I5">
        <v>0</v>
      </c>
      <c r="J5">
        <v>0</v>
      </c>
      <c r="K5" t="s">
        <v>10</v>
      </c>
    </row>
    <row r="6" spans="1:11" x14ac:dyDescent="0.25">
      <c r="A6" t="s">
        <v>37</v>
      </c>
      <c r="B6" t="s">
        <v>127</v>
      </c>
      <c r="C6">
        <v>161.10480000000001</v>
      </c>
      <c r="D6">
        <v>178.9572</v>
      </c>
      <c r="E6">
        <v>216.6</v>
      </c>
      <c r="F6">
        <v>225.72</v>
      </c>
      <c r="G6">
        <v>291.01920000000001</v>
      </c>
      <c r="H6">
        <v>319.22300000000001</v>
      </c>
      <c r="I6">
        <v>0</v>
      </c>
      <c r="J6">
        <v>0</v>
      </c>
      <c r="K6" t="s">
        <v>10</v>
      </c>
    </row>
    <row r="7" spans="1:11" x14ac:dyDescent="0.25">
      <c r="A7" t="s">
        <v>37</v>
      </c>
      <c r="B7" t="s">
        <v>100</v>
      </c>
      <c r="C7">
        <v>261.72000000000003</v>
      </c>
      <c r="D7">
        <v>283.47750000000002</v>
      </c>
      <c r="E7">
        <v>442.47370000000001</v>
      </c>
      <c r="F7">
        <v>464.53500000000003</v>
      </c>
      <c r="G7">
        <v>523.44000000000005</v>
      </c>
      <c r="H7">
        <v>598.12800000000004</v>
      </c>
      <c r="I7">
        <v>0</v>
      </c>
      <c r="J7">
        <v>0</v>
      </c>
      <c r="K7" t="s">
        <v>10</v>
      </c>
    </row>
    <row r="8" spans="1:11" x14ac:dyDescent="0.25">
      <c r="A8" t="s">
        <v>37</v>
      </c>
      <c r="B8" t="s">
        <v>306</v>
      </c>
      <c r="C8">
        <v>171.72</v>
      </c>
      <c r="D8">
        <v>190.08</v>
      </c>
      <c r="E8">
        <v>232.44749999999999</v>
      </c>
      <c r="F8">
        <v>245.16</v>
      </c>
      <c r="G8">
        <v>287.19</v>
      </c>
      <c r="H8">
        <v>314.62799999999999</v>
      </c>
      <c r="I8">
        <v>0</v>
      </c>
      <c r="J8">
        <v>0</v>
      </c>
      <c r="K8" t="s">
        <v>10</v>
      </c>
    </row>
    <row r="9" spans="1:11" x14ac:dyDescent="0.25">
      <c r="A9" t="s">
        <v>37</v>
      </c>
      <c r="B9" t="s">
        <v>441</v>
      </c>
      <c r="C9">
        <v>171.72</v>
      </c>
      <c r="D9">
        <v>184.45500000000001</v>
      </c>
      <c r="E9">
        <v>243.69749999999999</v>
      </c>
      <c r="F9">
        <v>256.41000000000003</v>
      </c>
      <c r="G9">
        <v>298.44</v>
      </c>
      <c r="H9">
        <v>328.12799999999999</v>
      </c>
      <c r="I9">
        <v>0</v>
      </c>
      <c r="J9">
        <v>0</v>
      </c>
      <c r="K9" t="s">
        <v>10</v>
      </c>
    </row>
    <row r="10" spans="1:11" x14ac:dyDescent="0.25">
      <c r="A10" t="s">
        <v>37</v>
      </c>
      <c r="B10" t="s">
        <v>468</v>
      </c>
      <c r="C10">
        <v>237.73500000000001</v>
      </c>
      <c r="D10">
        <v>244.10249999999999</v>
      </c>
      <c r="E10">
        <v>389.94749999999999</v>
      </c>
      <c r="F10">
        <v>301.41000000000003</v>
      </c>
      <c r="G10">
        <v>383.13</v>
      </c>
      <c r="H10">
        <v>429.75599999999997</v>
      </c>
      <c r="I10">
        <v>0</v>
      </c>
      <c r="J10">
        <v>0</v>
      </c>
      <c r="K10" t="s">
        <v>10</v>
      </c>
    </row>
    <row r="11" spans="1:11" x14ac:dyDescent="0.25">
      <c r="A11" t="s">
        <v>37</v>
      </c>
      <c r="B11" t="s">
        <v>540</v>
      </c>
      <c r="C11">
        <v>158.98500000000001</v>
      </c>
      <c r="D11">
        <v>176.60249999999999</v>
      </c>
      <c r="E11">
        <v>249.32249999999999</v>
      </c>
      <c r="F11">
        <v>263.20499999999998</v>
      </c>
      <c r="G11">
        <v>321.255</v>
      </c>
      <c r="H11">
        <v>355.50599999999997</v>
      </c>
      <c r="I11">
        <v>0</v>
      </c>
      <c r="J11">
        <v>0</v>
      </c>
      <c r="K11" t="s">
        <v>10</v>
      </c>
    </row>
    <row r="12" spans="1:11" x14ac:dyDescent="0.25">
      <c r="A12" t="s">
        <v>37</v>
      </c>
      <c r="B12" t="s">
        <v>603</v>
      </c>
      <c r="C12">
        <v>157.5</v>
      </c>
      <c r="D12">
        <v>168.75</v>
      </c>
      <c r="E12">
        <v>217.47370000000001</v>
      </c>
      <c r="F12">
        <v>233.91</v>
      </c>
      <c r="G12">
        <v>281.565</v>
      </c>
      <c r="H12">
        <v>307.87799999999999</v>
      </c>
      <c r="I12">
        <v>0</v>
      </c>
      <c r="J12">
        <v>0</v>
      </c>
      <c r="K12" t="s">
        <v>10</v>
      </c>
    </row>
    <row r="13" spans="1:11" x14ac:dyDescent="0.25">
      <c r="A13" t="s">
        <v>37</v>
      </c>
      <c r="B13" t="s">
        <v>630</v>
      </c>
      <c r="C13">
        <v>171.72</v>
      </c>
      <c r="D13">
        <v>190.08</v>
      </c>
      <c r="E13">
        <v>232.44749999999999</v>
      </c>
      <c r="F13">
        <v>245.16</v>
      </c>
      <c r="G13">
        <v>298.44</v>
      </c>
      <c r="H13">
        <v>328.12799999999999</v>
      </c>
      <c r="I13">
        <v>0</v>
      </c>
      <c r="J13">
        <v>0</v>
      </c>
      <c r="K13" t="s">
        <v>10</v>
      </c>
    </row>
    <row r="14" spans="1:11" x14ac:dyDescent="0.25">
      <c r="A14" t="s">
        <v>37</v>
      </c>
      <c r="B14" t="s">
        <v>756</v>
      </c>
      <c r="C14">
        <v>261.72000000000003</v>
      </c>
      <c r="D14">
        <v>280.08</v>
      </c>
      <c r="E14">
        <v>418.07249999999999</v>
      </c>
      <c r="F14">
        <v>448.83</v>
      </c>
      <c r="G14">
        <v>506.88</v>
      </c>
      <c r="H14">
        <v>578.25599999999997</v>
      </c>
      <c r="I14">
        <v>0</v>
      </c>
      <c r="J14">
        <v>0</v>
      </c>
      <c r="K14" t="s">
        <v>10</v>
      </c>
    </row>
    <row r="15" spans="1:11" x14ac:dyDescent="0.25">
      <c r="A15" t="s">
        <v>333</v>
      </c>
      <c r="B15" t="s">
        <v>46</v>
      </c>
      <c r="C15">
        <v>306.72000000000003</v>
      </c>
      <c r="D15">
        <v>319.45499999999998</v>
      </c>
      <c r="E15">
        <v>418.07249999999999</v>
      </c>
      <c r="F15">
        <v>436.41</v>
      </c>
      <c r="G15">
        <v>512.505</v>
      </c>
      <c r="H15">
        <v>585.00599999999997</v>
      </c>
      <c r="I15">
        <v>0</v>
      </c>
      <c r="J15">
        <v>0</v>
      </c>
      <c r="K15" t="s">
        <v>10</v>
      </c>
    </row>
    <row r="16" spans="1:11" x14ac:dyDescent="0.25">
      <c r="A16" t="s">
        <v>333</v>
      </c>
      <c r="B16" t="s">
        <v>82</v>
      </c>
      <c r="C16">
        <v>146.25</v>
      </c>
      <c r="D16">
        <v>154.125</v>
      </c>
      <c r="E16">
        <v>232.44749999999999</v>
      </c>
      <c r="F16">
        <v>250.785</v>
      </c>
      <c r="G16">
        <v>287.19</v>
      </c>
      <c r="H16">
        <v>314.62799999999999</v>
      </c>
      <c r="I16">
        <v>0</v>
      </c>
      <c r="J16">
        <v>0</v>
      </c>
      <c r="K16" t="s">
        <v>10</v>
      </c>
    </row>
    <row r="17" spans="1:11" x14ac:dyDescent="0.25">
      <c r="A17" t="s">
        <v>333</v>
      </c>
      <c r="B17" t="s">
        <v>100</v>
      </c>
      <c r="C17">
        <v>301.09500000000003</v>
      </c>
      <c r="D17">
        <v>311.60250000000002</v>
      </c>
      <c r="E17">
        <v>418.07249999999999</v>
      </c>
      <c r="F17">
        <v>430.78500000000003</v>
      </c>
      <c r="G17">
        <v>461.565</v>
      </c>
      <c r="H17">
        <v>523.87800000000004</v>
      </c>
      <c r="I17">
        <v>0</v>
      </c>
      <c r="J17">
        <v>0</v>
      </c>
      <c r="K17" t="s">
        <v>10</v>
      </c>
    </row>
    <row r="18" spans="1:11" x14ac:dyDescent="0.25">
      <c r="A18" t="s">
        <v>333</v>
      </c>
      <c r="B18" t="s">
        <v>109</v>
      </c>
      <c r="C18">
        <v>192.73500000000001</v>
      </c>
      <c r="D18">
        <v>206.95500000000001</v>
      </c>
      <c r="E18">
        <v>243.69749999999999</v>
      </c>
      <c r="F18">
        <v>257.58</v>
      </c>
      <c r="G18">
        <v>287.19</v>
      </c>
      <c r="H18">
        <v>314.62799999999999</v>
      </c>
      <c r="I18">
        <v>0</v>
      </c>
      <c r="J18">
        <v>0</v>
      </c>
      <c r="K18" t="s">
        <v>10</v>
      </c>
    </row>
    <row r="19" spans="1:11" x14ac:dyDescent="0.25">
      <c r="A19" t="s">
        <v>333</v>
      </c>
      <c r="B19" t="s">
        <v>127</v>
      </c>
      <c r="C19">
        <v>248.98500000000001</v>
      </c>
      <c r="D19">
        <v>260.97750000000002</v>
      </c>
      <c r="E19">
        <v>296.22370000000001</v>
      </c>
      <c r="F19">
        <v>318.28500000000003</v>
      </c>
      <c r="G19">
        <v>343.44</v>
      </c>
      <c r="H19">
        <v>382.12799999999999</v>
      </c>
      <c r="I19">
        <v>0</v>
      </c>
      <c r="J19">
        <v>0</v>
      </c>
      <c r="K19" t="s">
        <v>10</v>
      </c>
    </row>
    <row r="20" spans="1:11" x14ac:dyDescent="0.25">
      <c r="A20" t="s">
        <v>333</v>
      </c>
      <c r="B20" t="s">
        <v>136</v>
      </c>
      <c r="C20">
        <v>182.97</v>
      </c>
      <c r="D20">
        <v>195.70500000000001</v>
      </c>
      <c r="E20">
        <v>243.69749999999999</v>
      </c>
      <c r="F20">
        <v>251.95500000000001</v>
      </c>
      <c r="G20">
        <v>287.19</v>
      </c>
      <c r="H20">
        <v>314.62799999999999</v>
      </c>
      <c r="I20">
        <v>0</v>
      </c>
      <c r="J20">
        <v>0</v>
      </c>
      <c r="K20" t="s">
        <v>10</v>
      </c>
    </row>
    <row r="21" spans="1:11" x14ac:dyDescent="0.25">
      <c r="A21" t="s">
        <v>333</v>
      </c>
      <c r="B21" t="s">
        <v>190</v>
      </c>
      <c r="C21">
        <v>115.47</v>
      </c>
      <c r="D21">
        <v>122.58</v>
      </c>
      <c r="E21">
        <v>198.69749999999999</v>
      </c>
      <c r="F21">
        <v>211.41</v>
      </c>
      <c r="G21">
        <v>276.255</v>
      </c>
      <c r="H21">
        <v>301.50599999999997</v>
      </c>
      <c r="I21">
        <v>0</v>
      </c>
      <c r="J21">
        <v>0</v>
      </c>
      <c r="K21" t="s">
        <v>10</v>
      </c>
    </row>
    <row r="22" spans="1:11" x14ac:dyDescent="0.25">
      <c r="A22" t="s">
        <v>333</v>
      </c>
      <c r="B22" t="s">
        <v>199</v>
      </c>
      <c r="C22">
        <v>301.09500000000003</v>
      </c>
      <c r="D22">
        <v>311.60250000000002</v>
      </c>
      <c r="E22">
        <v>204.32249999999999</v>
      </c>
      <c r="F22">
        <v>218.20500000000001</v>
      </c>
      <c r="G22">
        <v>276.255</v>
      </c>
      <c r="H22">
        <v>301.50599999999997</v>
      </c>
      <c r="I22">
        <v>0</v>
      </c>
      <c r="J22">
        <v>0</v>
      </c>
      <c r="K22" t="s">
        <v>10</v>
      </c>
    </row>
    <row r="23" spans="1:11" x14ac:dyDescent="0.25">
      <c r="A23" t="s">
        <v>333</v>
      </c>
      <c r="B23" t="s">
        <v>208</v>
      </c>
      <c r="C23">
        <v>126.72</v>
      </c>
      <c r="D23">
        <v>112.5</v>
      </c>
      <c r="E23">
        <v>140.625</v>
      </c>
      <c r="F23">
        <v>123.75</v>
      </c>
      <c r="G23">
        <v>214.38</v>
      </c>
      <c r="H23">
        <v>227.256</v>
      </c>
      <c r="I23">
        <v>0</v>
      </c>
      <c r="J23">
        <v>0</v>
      </c>
      <c r="K23" t="s">
        <v>10</v>
      </c>
    </row>
    <row r="24" spans="1:11" x14ac:dyDescent="0.25">
      <c r="A24" t="s">
        <v>333</v>
      </c>
      <c r="B24" t="s">
        <v>235</v>
      </c>
      <c r="C24">
        <v>497.97</v>
      </c>
      <c r="D24">
        <v>508.47750000000002</v>
      </c>
      <c r="E24">
        <v>620.57249999999999</v>
      </c>
      <c r="F24">
        <v>634.45500000000004</v>
      </c>
      <c r="G24">
        <v>686.88</v>
      </c>
      <c r="H24">
        <v>794.25599999999997</v>
      </c>
      <c r="I24">
        <v>0</v>
      </c>
      <c r="J24">
        <v>0</v>
      </c>
      <c r="K24" t="s">
        <v>10</v>
      </c>
    </row>
    <row r="25" spans="1:11" x14ac:dyDescent="0.25">
      <c r="A25" t="s">
        <v>333</v>
      </c>
      <c r="B25" t="s">
        <v>253</v>
      </c>
      <c r="C25">
        <v>102.735</v>
      </c>
      <c r="D25">
        <v>116.955</v>
      </c>
      <c r="E25">
        <v>131.19749999999999</v>
      </c>
      <c r="F25">
        <v>139.45500000000001</v>
      </c>
      <c r="G25">
        <v>169.38</v>
      </c>
      <c r="H25">
        <v>193.0932</v>
      </c>
      <c r="I25">
        <v>0</v>
      </c>
      <c r="J25">
        <v>0</v>
      </c>
      <c r="K25" t="s">
        <v>10</v>
      </c>
    </row>
    <row r="26" spans="1:11" x14ac:dyDescent="0.25">
      <c r="A26" t="s">
        <v>333</v>
      </c>
      <c r="B26" t="s">
        <v>306</v>
      </c>
      <c r="C26">
        <v>102.735</v>
      </c>
      <c r="D26">
        <v>109.10250000000001</v>
      </c>
      <c r="E26">
        <v>183.72370000000001</v>
      </c>
      <c r="F26">
        <v>200.16</v>
      </c>
      <c r="G26">
        <v>265.005</v>
      </c>
      <c r="H26">
        <v>288.00599999999997</v>
      </c>
      <c r="I26">
        <v>0</v>
      </c>
      <c r="J26">
        <v>0</v>
      </c>
      <c r="K26" t="s">
        <v>10</v>
      </c>
    </row>
    <row r="27" spans="1:11" x14ac:dyDescent="0.25">
      <c r="A27" t="s">
        <v>333</v>
      </c>
      <c r="B27" t="s">
        <v>315</v>
      </c>
      <c r="C27">
        <v>457.11</v>
      </c>
      <c r="D27">
        <v>482.58</v>
      </c>
      <c r="E27">
        <v>614.94749999999999</v>
      </c>
      <c r="F27">
        <v>634.45500000000004</v>
      </c>
      <c r="G27">
        <v>731.88</v>
      </c>
      <c r="H27">
        <v>848.25599999999997</v>
      </c>
      <c r="I27">
        <v>0</v>
      </c>
      <c r="J27">
        <v>0</v>
      </c>
      <c r="K27" t="s">
        <v>10</v>
      </c>
    </row>
    <row r="28" spans="1:11" x14ac:dyDescent="0.25">
      <c r="A28" t="s">
        <v>333</v>
      </c>
      <c r="B28" t="s">
        <v>351</v>
      </c>
      <c r="C28">
        <v>282.73500000000001</v>
      </c>
      <c r="D28">
        <v>296.95499999999998</v>
      </c>
      <c r="E28">
        <v>344.94749999999999</v>
      </c>
      <c r="F28">
        <v>363.28500000000003</v>
      </c>
      <c r="G28">
        <v>410.94</v>
      </c>
      <c r="H28">
        <v>463.12799999999999</v>
      </c>
      <c r="I28">
        <v>0</v>
      </c>
      <c r="J28">
        <v>0</v>
      </c>
      <c r="K28" t="s">
        <v>10</v>
      </c>
    </row>
    <row r="29" spans="1:11" x14ac:dyDescent="0.25">
      <c r="A29" t="s">
        <v>333</v>
      </c>
      <c r="B29" t="s">
        <v>360</v>
      </c>
      <c r="C29">
        <v>282.73500000000001</v>
      </c>
      <c r="D29">
        <v>296.95499999999998</v>
      </c>
      <c r="E29">
        <v>344.94749999999999</v>
      </c>
      <c r="F29">
        <v>363.28500000000003</v>
      </c>
      <c r="G29">
        <v>410.94</v>
      </c>
      <c r="H29">
        <v>463.12799999999999</v>
      </c>
      <c r="I29">
        <v>0</v>
      </c>
      <c r="J29">
        <v>0</v>
      </c>
      <c r="K29" t="s">
        <v>10</v>
      </c>
    </row>
    <row r="30" spans="1:11" x14ac:dyDescent="0.25">
      <c r="A30" t="s">
        <v>333</v>
      </c>
      <c r="B30" t="s">
        <v>369</v>
      </c>
      <c r="C30">
        <v>441.72</v>
      </c>
      <c r="D30">
        <v>454.45499999999998</v>
      </c>
      <c r="E30">
        <v>549.34870000000001</v>
      </c>
      <c r="F30">
        <v>571.41</v>
      </c>
      <c r="G30">
        <v>619.38</v>
      </c>
      <c r="H30">
        <v>713.25599999999997</v>
      </c>
      <c r="I30">
        <v>0</v>
      </c>
      <c r="J30">
        <v>0</v>
      </c>
      <c r="K30" t="s">
        <v>10</v>
      </c>
    </row>
    <row r="31" spans="1:11" x14ac:dyDescent="0.25">
      <c r="A31" t="s">
        <v>333</v>
      </c>
      <c r="B31" t="s">
        <v>387</v>
      </c>
      <c r="C31">
        <v>115.47</v>
      </c>
      <c r="D31">
        <v>139.45500000000001</v>
      </c>
      <c r="E31">
        <v>170.57249999999999</v>
      </c>
      <c r="F31">
        <v>160.785</v>
      </c>
      <c r="G31">
        <v>174.69</v>
      </c>
      <c r="H31">
        <v>189.79750000000001</v>
      </c>
      <c r="I31">
        <v>0</v>
      </c>
      <c r="J31">
        <v>0</v>
      </c>
      <c r="K31" t="s">
        <v>10</v>
      </c>
    </row>
    <row r="32" spans="1:11" x14ac:dyDescent="0.25">
      <c r="A32" t="s">
        <v>333</v>
      </c>
      <c r="B32" t="s">
        <v>405</v>
      </c>
      <c r="C32">
        <v>109.845</v>
      </c>
      <c r="D32">
        <v>116.955</v>
      </c>
      <c r="E32">
        <v>136.82249999999999</v>
      </c>
      <c r="F32">
        <v>145.08000000000001</v>
      </c>
      <c r="G32">
        <v>163.44</v>
      </c>
      <c r="H32">
        <v>184.12350000000001</v>
      </c>
      <c r="I32">
        <v>0</v>
      </c>
      <c r="J32">
        <v>0</v>
      </c>
      <c r="K32" t="s">
        <v>10</v>
      </c>
    </row>
    <row r="33" spans="1:11" x14ac:dyDescent="0.25">
      <c r="A33" t="s">
        <v>333</v>
      </c>
      <c r="B33" t="s">
        <v>450</v>
      </c>
      <c r="C33">
        <v>227.97</v>
      </c>
      <c r="D33">
        <v>238.47749999999999</v>
      </c>
      <c r="E33">
        <v>296.22370000000001</v>
      </c>
      <c r="F33">
        <v>312.66000000000003</v>
      </c>
      <c r="G33">
        <v>388.755</v>
      </c>
      <c r="H33">
        <v>436.50599999999997</v>
      </c>
      <c r="I33">
        <v>0</v>
      </c>
      <c r="J33">
        <v>0</v>
      </c>
      <c r="K33" t="s">
        <v>10</v>
      </c>
    </row>
    <row r="34" spans="1:11" x14ac:dyDescent="0.25">
      <c r="A34" t="s">
        <v>333</v>
      </c>
      <c r="B34" t="s">
        <v>540</v>
      </c>
      <c r="C34">
        <v>182.97</v>
      </c>
      <c r="D34">
        <v>195.70500000000001</v>
      </c>
      <c r="E34">
        <v>232.44749999999999</v>
      </c>
      <c r="F34">
        <v>250.785</v>
      </c>
      <c r="G34">
        <v>281.88</v>
      </c>
      <c r="H34">
        <v>308.25599999999997</v>
      </c>
      <c r="I34">
        <v>0</v>
      </c>
      <c r="J34">
        <v>0</v>
      </c>
      <c r="K34" t="s">
        <v>10</v>
      </c>
    </row>
    <row r="35" spans="1:11" x14ac:dyDescent="0.25">
      <c r="A35" t="s">
        <v>333</v>
      </c>
      <c r="B35" t="s">
        <v>603</v>
      </c>
      <c r="C35">
        <v>158.98500000000001</v>
      </c>
      <c r="D35">
        <v>173.20500000000001</v>
      </c>
      <c r="E35">
        <v>198.69749999999999</v>
      </c>
      <c r="F35">
        <v>217.035</v>
      </c>
      <c r="G35">
        <v>259.38</v>
      </c>
      <c r="H35">
        <v>281.25599999999997</v>
      </c>
      <c r="I35">
        <v>0</v>
      </c>
      <c r="J35">
        <v>0</v>
      </c>
      <c r="K35" t="s">
        <v>10</v>
      </c>
    </row>
    <row r="36" spans="1:11" x14ac:dyDescent="0.25">
      <c r="A36" t="s">
        <v>333</v>
      </c>
      <c r="B36" t="s">
        <v>630</v>
      </c>
      <c r="C36">
        <v>192.73500000000001</v>
      </c>
      <c r="D36">
        <v>206.95500000000001</v>
      </c>
      <c r="E36">
        <v>232.44749999999999</v>
      </c>
      <c r="F36">
        <v>250.785</v>
      </c>
      <c r="G36">
        <v>287.19</v>
      </c>
      <c r="H36">
        <v>314.62799999999999</v>
      </c>
      <c r="I36">
        <v>0</v>
      </c>
      <c r="J36">
        <v>0</v>
      </c>
      <c r="K36" t="s">
        <v>10</v>
      </c>
    </row>
    <row r="37" spans="1:11" x14ac:dyDescent="0.25">
      <c r="A37" t="s">
        <v>333</v>
      </c>
      <c r="B37" t="s">
        <v>648</v>
      </c>
      <c r="C37">
        <v>171.72</v>
      </c>
      <c r="D37">
        <v>184.45500000000001</v>
      </c>
      <c r="E37">
        <v>262.47370000000001</v>
      </c>
      <c r="F37">
        <v>274.45499999999998</v>
      </c>
      <c r="G37">
        <v>315.63</v>
      </c>
      <c r="H37">
        <v>348.75599999999997</v>
      </c>
      <c r="I37">
        <v>0</v>
      </c>
      <c r="J37">
        <v>0</v>
      </c>
      <c r="K37" t="s">
        <v>10</v>
      </c>
    </row>
    <row r="38" spans="1:11" x14ac:dyDescent="0.25">
      <c r="A38" t="s">
        <v>333</v>
      </c>
      <c r="B38" t="s">
        <v>657</v>
      </c>
      <c r="C38">
        <v>192.73500000000001</v>
      </c>
      <c r="D38">
        <v>206.95500000000001</v>
      </c>
      <c r="E38">
        <v>238.07249999999999</v>
      </c>
      <c r="F38">
        <v>246.33</v>
      </c>
      <c r="G38">
        <v>377.505</v>
      </c>
      <c r="H38">
        <v>423.00599999999997</v>
      </c>
      <c r="I38">
        <v>0</v>
      </c>
      <c r="J38">
        <v>0</v>
      </c>
      <c r="K38" t="s">
        <v>10</v>
      </c>
    </row>
    <row r="39" spans="1:11" x14ac:dyDescent="0.25">
      <c r="A39" t="s">
        <v>333</v>
      </c>
      <c r="B39" t="s">
        <v>684</v>
      </c>
      <c r="C39">
        <v>261.72000000000003</v>
      </c>
      <c r="D39">
        <v>274.45499999999998</v>
      </c>
      <c r="E39">
        <v>369.34870000000001</v>
      </c>
      <c r="F39">
        <v>392.58</v>
      </c>
      <c r="G39">
        <v>461.565</v>
      </c>
      <c r="H39">
        <v>523.87800000000004</v>
      </c>
      <c r="I39">
        <v>0</v>
      </c>
      <c r="J39">
        <v>0</v>
      </c>
      <c r="K39" t="s">
        <v>10</v>
      </c>
    </row>
    <row r="40" spans="1:11" x14ac:dyDescent="0.25">
      <c r="A40" t="s">
        <v>333</v>
      </c>
      <c r="B40" t="s">
        <v>702</v>
      </c>
      <c r="C40">
        <v>306.72000000000003</v>
      </c>
      <c r="D40">
        <v>319.45499999999998</v>
      </c>
      <c r="E40">
        <v>418.07249999999999</v>
      </c>
      <c r="F40">
        <v>436.41</v>
      </c>
      <c r="G40">
        <v>512.505</v>
      </c>
      <c r="H40">
        <v>585.00599999999997</v>
      </c>
      <c r="I40">
        <v>0</v>
      </c>
      <c r="J40">
        <v>0</v>
      </c>
      <c r="K40" t="s">
        <v>10</v>
      </c>
    </row>
    <row r="41" spans="1:11" x14ac:dyDescent="0.25">
      <c r="A41" t="s">
        <v>333</v>
      </c>
      <c r="B41" t="s">
        <v>747</v>
      </c>
      <c r="C41">
        <v>130.86000000000001</v>
      </c>
      <c r="D41">
        <v>145.08000000000001</v>
      </c>
      <c r="E41">
        <v>217.47370000000001</v>
      </c>
      <c r="F41">
        <v>233.91</v>
      </c>
      <c r="G41">
        <v>292.815</v>
      </c>
      <c r="H41">
        <v>321.37799999999999</v>
      </c>
      <c r="I41">
        <v>0</v>
      </c>
      <c r="J41">
        <v>0</v>
      </c>
      <c r="K41" t="s">
        <v>10</v>
      </c>
    </row>
    <row r="42" spans="1:11" x14ac:dyDescent="0.25">
      <c r="A42" t="s">
        <v>333</v>
      </c>
      <c r="B42" t="s">
        <v>756</v>
      </c>
      <c r="C42">
        <v>220.86</v>
      </c>
      <c r="D42">
        <v>235.08</v>
      </c>
      <c r="E42">
        <v>328.07249999999999</v>
      </c>
      <c r="F42">
        <v>352.03500000000003</v>
      </c>
      <c r="G42">
        <v>388.755</v>
      </c>
      <c r="H42">
        <v>436.50599999999997</v>
      </c>
      <c r="I42">
        <v>0</v>
      </c>
      <c r="J42">
        <v>0</v>
      </c>
      <c r="K42" t="s">
        <v>10</v>
      </c>
    </row>
    <row r="43" spans="1:11" x14ac:dyDescent="0.25">
      <c r="A43" t="s">
        <v>333</v>
      </c>
      <c r="B43" t="s">
        <v>765</v>
      </c>
      <c r="C43">
        <v>518.98500000000001</v>
      </c>
      <c r="D43">
        <v>544.45500000000004</v>
      </c>
      <c r="E43">
        <v>678.72379999999998</v>
      </c>
      <c r="F43">
        <v>701.95500000000004</v>
      </c>
      <c r="G43">
        <v>799.38</v>
      </c>
      <c r="H43">
        <v>929.25599999999997</v>
      </c>
      <c r="I43">
        <v>0</v>
      </c>
      <c r="J43">
        <v>0</v>
      </c>
      <c r="K43" t="s">
        <v>10</v>
      </c>
    </row>
    <row r="44" spans="1:11" x14ac:dyDescent="0.25">
      <c r="A44" t="s">
        <v>333</v>
      </c>
      <c r="B44" t="s">
        <v>792</v>
      </c>
      <c r="C44">
        <v>327.73500000000001</v>
      </c>
      <c r="D44">
        <v>341.95499999999998</v>
      </c>
      <c r="E44">
        <v>429.32249999999999</v>
      </c>
      <c r="F44">
        <v>443.20499999999998</v>
      </c>
      <c r="G44">
        <v>478.44</v>
      </c>
      <c r="H44">
        <v>544.12800000000004</v>
      </c>
      <c r="I44">
        <v>0</v>
      </c>
      <c r="J44">
        <v>0</v>
      </c>
      <c r="K44" t="s">
        <v>10</v>
      </c>
    </row>
    <row r="45" spans="1:11" x14ac:dyDescent="0.25">
      <c r="A45" t="s">
        <v>333</v>
      </c>
      <c r="B45" t="s">
        <v>819</v>
      </c>
      <c r="C45">
        <v>272.97000000000003</v>
      </c>
      <c r="D45">
        <v>283.47750000000002</v>
      </c>
      <c r="E45">
        <v>384.32249999999999</v>
      </c>
      <c r="F45">
        <v>403.83</v>
      </c>
      <c r="G45">
        <v>472.815</v>
      </c>
      <c r="H45">
        <v>537.37800000000004</v>
      </c>
      <c r="I45">
        <v>0</v>
      </c>
      <c r="J45">
        <v>0</v>
      </c>
      <c r="K45" t="s">
        <v>10</v>
      </c>
    </row>
    <row r="46" spans="1:11" x14ac:dyDescent="0.25">
      <c r="A46" t="s">
        <v>333</v>
      </c>
      <c r="B46" t="s">
        <v>828</v>
      </c>
      <c r="C46">
        <v>211.095</v>
      </c>
      <c r="D46">
        <v>221.60249999999999</v>
      </c>
      <c r="E46">
        <v>271.82249999999999</v>
      </c>
      <c r="F46">
        <v>284.53500000000003</v>
      </c>
      <c r="G46">
        <v>343.44</v>
      </c>
      <c r="H46">
        <v>382.12799999999999</v>
      </c>
      <c r="I46">
        <v>0</v>
      </c>
      <c r="J46">
        <v>0</v>
      </c>
      <c r="K46" t="s">
        <v>10</v>
      </c>
    </row>
    <row r="47" spans="1:11" x14ac:dyDescent="0.25">
      <c r="A47" t="s">
        <v>333</v>
      </c>
      <c r="B47" t="s">
        <v>855</v>
      </c>
      <c r="C47">
        <v>192.73500000000001</v>
      </c>
      <c r="D47">
        <v>206.95500000000001</v>
      </c>
      <c r="E47">
        <v>243.69749999999999</v>
      </c>
      <c r="F47">
        <v>257.58</v>
      </c>
      <c r="G47">
        <v>287.19</v>
      </c>
      <c r="H47">
        <v>314.62799999999999</v>
      </c>
      <c r="I47">
        <v>0</v>
      </c>
      <c r="J47">
        <v>0</v>
      </c>
      <c r="K47" t="s">
        <v>10</v>
      </c>
    </row>
    <row r="48" spans="1:11" x14ac:dyDescent="0.25">
      <c r="A48" t="s">
        <v>333</v>
      </c>
      <c r="B48" t="s">
        <v>882</v>
      </c>
      <c r="C48">
        <v>256.09500000000003</v>
      </c>
      <c r="D48">
        <v>266.60250000000002</v>
      </c>
      <c r="E48">
        <v>361.82249999999999</v>
      </c>
      <c r="F48">
        <v>385.78500000000003</v>
      </c>
      <c r="G48">
        <v>416.565</v>
      </c>
      <c r="H48">
        <v>469.87799999999999</v>
      </c>
      <c r="I48">
        <v>0</v>
      </c>
      <c r="J48">
        <v>0</v>
      </c>
      <c r="K48" t="s">
        <v>10</v>
      </c>
    </row>
    <row r="49" spans="1:11" x14ac:dyDescent="0.25">
      <c r="A49" t="s">
        <v>46</v>
      </c>
      <c r="B49" t="s">
        <v>118</v>
      </c>
      <c r="C49">
        <v>0</v>
      </c>
      <c r="D49">
        <v>321.471</v>
      </c>
      <c r="E49">
        <v>391.14870000000002</v>
      </c>
      <c r="F49">
        <v>411.06240000000003</v>
      </c>
      <c r="G49">
        <v>495.5634</v>
      </c>
      <c r="H49">
        <v>564.67610000000002</v>
      </c>
      <c r="I49">
        <v>0</v>
      </c>
      <c r="J49">
        <v>0</v>
      </c>
      <c r="K49" t="s">
        <v>10</v>
      </c>
    </row>
    <row r="50" spans="1:11" x14ac:dyDescent="0.25">
      <c r="A50" t="s">
        <v>46</v>
      </c>
      <c r="B50" t="s">
        <v>136</v>
      </c>
      <c r="C50">
        <v>0</v>
      </c>
      <c r="D50">
        <v>202.5</v>
      </c>
      <c r="E50">
        <v>225</v>
      </c>
      <c r="F50">
        <v>241.875</v>
      </c>
      <c r="G50">
        <v>281.25</v>
      </c>
      <c r="H50">
        <v>307.5</v>
      </c>
      <c r="I50">
        <v>0</v>
      </c>
      <c r="J50">
        <v>0</v>
      </c>
      <c r="K50" t="s">
        <v>10</v>
      </c>
    </row>
    <row r="51" spans="1:11" x14ac:dyDescent="0.25">
      <c r="A51" t="s">
        <v>46</v>
      </c>
      <c r="B51" t="s">
        <v>37</v>
      </c>
      <c r="C51">
        <v>0</v>
      </c>
      <c r="D51">
        <v>270.2835</v>
      </c>
      <c r="E51">
        <v>329.57479999999998</v>
      </c>
      <c r="F51">
        <v>347.01119999999997</v>
      </c>
      <c r="G51">
        <v>420.07589999999999</v>
      </c>
      <c r="H51">
        <v>474.09109999999998</v>
      </c>
      <c r="I51">
        <v>0</v>
      </c>
      <c r="J51">
        <v>0</v>
      </c>
      <c r="K51" t="s">
        <v>10</v>
      </c>
    </row>
    <row r="52" spans="1:11" x14ac:dyDescent="0.25">
      <c r="A52" t="s">
        <v>46</v>
      </c>
      <c r="B52" t="s">
        <v>333</v>
      </c>
      <c r="C52">
        <v>0</v>
      </c>
      <c r="D52">
        <v>297.846</v>
      </c>
      <c r="E52">
        <v>368.53620000000001</v>
      </c>
      <c r="F52">
        <v>396.66239999999999</v>
      </c>
      <c r="G52">
        <v>478.59930000000003</v>
      </c>
      <c r="H52">
        <v>544.31920000000002</v>
      </c>
      <c r="I52">
        <v>0</v>
      </c>
      <c r="J52">
        <v>0</v>
      </c>
      <c r="K52" t="s">
        <v>10</v>
      </c>
    </row>
    <row r="53" spans="1:11" x14ac:dyDescent="0.25">
      <c r="A53" t="s">
        <v>46</v>
      </c>
      <c r="B53" t="s">
        <v>351</v>
      </c>
      <c r="C53">
        <v>0</v>
      </c>
      <c r="D53">
        <v>84.375</v>
      </c>
      <c r="E53">
        <v>91.125</v>
      </c>
      <c r="F53">
        <v>96.75</v>
      </c>
      <c r="G53">
        <v>102.375</v>
      </c>
      <c r="H53">
        <v>108.327</v>
      </c>
      <c r="I53">
        <v>0</v>
      </c>
      <c r="J53">
        <v>0</v>
      </c>
      <c r="K53" t="s">
        <v>10</v>
      </c>
    </row>
    <row r="54" spans="1:11" x14ac:dyDescent="0.25">
      <c r="A54" t="s">
        <v>46</v>
      </c>
      <c r="B54" t="s">
        <v>360</v>
      </c>
      <c r="C54">
        <v>0</v>
      </c>
      <c r="D54">
        <v>382.9117</v>
      </c>
      <c r="E54">
        <v>470.29239999999999</v>
      </c>
      <c r="F54">
        <v>497.4624</v>
      </c>
      <c r="G54">
        <v>591.8306</v>
      </c>
      <c r="H54">
        <v>680.19669999999996</v>
      </c>
      <c r="I54">
        <v>0</v>
      </c>
      <c r="J54">
        <v>0</v>
      </c>
      <c r="K54" t="s">
        <v>10</v>
      </c>
    </row>
    <row r="55" spans="1:11" x14ac:dyDescent="0.25">
      <c r="A55" t="s">
        <v>46</v>
      </c>
      <c r="B55" t="s">
        <v>405</v>
      </c>
      <c r="C55">
        <v>0</v>
      </c>
      <c r="D55">
        <v>282.096</v>
      </c>
      <c r="E55">
        <v>348.41860000000003</v>
      </c>
      <c r="F55">
        <v>367.86239999999998</v>
      </c>
      <c r="G55">
        <v>451.14929999999998</v>
      </c>
      <c r="H55">
        <v>511.37920000000003</v>
      </c>
      <c r="I55">
        <v>0</v>
      </c>
      <c r="J55">
        <v>0</v>
      </c>
      <c r="K55" t="s">
        <v>10</v>
      </c>
    </row>
    <row r="56" spans="1:11" x14ac:dyDescent="0.25">
      <c r="A56" t="s">
        <v>46</v>
      </c>
      <c r="B56" t="s">
        <v>450</v>
      </c>
      <c r="C56">
        <v>0</v>
      </c>
      <c r="D56">
        <v>146.25</v>
      </c>
      <c r="E56">
        <v>180</v>
      </c>
      <c r="F56">
        <v>202.5</v>
      </c>
      <c r="G56">
        <v>253.125</v>
      </c>
      <c r="H56">
        <v>273.75</v>
      </c>
      <c r="I56">
        <v>0</v>
      </c>
      <c r="J56">
        <v>0</v>
      </c>
      <c r="K56" t="s">
        <v>10</v>
      </c>
    </row>
    <row r="57" spans="1:11" x14ac:dyDescent="0.25">
      <c r="A57" t="s">
        <v>46</v>
      </c>
      <c r="B57" t="s">
        <v>639</v>
      </c>
      <c r="C57">
        <v>0</v>
      </c>
      <c r="D57">
        <v>123.75</v>
      </c>
      <c r="E57">
        <v>140.625</v>
      </c>
      <c r="F57">
        <v>151.875</v>
      </c>
      <c r="G57">
        <v>168.75</v>
      </c>
      <c r="H57">
        <v>187.5</v>
      </c>
      <c r="I57">
        <v>0</v>
      </c>
      <c r="J57">
        <v>0</v>
      </c>
      <c r="K57" t="s">
        <v>10</v>
      </c>
    </row>
    <row r="58" spans="1:11" x14ac:dyDescent="0.25">
      <c r="A58" t="s">
        <v>46</v>
      </c>
      <c r="B58" t="s">
        <v>657</v>
      </c>
      <c r="C58">
        <v>0</v>
      </c>
      <c r="D58">
        <v>129.375</v>
      </c>
      <c r="E58">
        <v>146.25</v>
      </c>
      <c r="F58">
        <v>151.875</v>
      </c>
      <c r="G58">
        <v>163.125</v>
      </c>
      <c r="H58">
        <v>175.20830000000001</v>
      </c>
      <c r="I58">
        <v>0</v>
      </c>
      <c r="J58">
        <v>0</v>
      </c>
      <c r="K58" t="s">
        <v>10</v>
      </c>
    </row>
    <row r="59" spans="1:11" x14ac:dyDescent="0.25">
      <c r="A59" t="s">
        <v>46</v>
      </c>
      <c r="B59" t="s">
        <v>702</v>
      </c>
      <c r="C59">
        <v>0</v>
      </c>
      <c r="D59">
        <v>140.625</v>
      </c>
      <c r="E59">
        <v>157.5</v>
      </c>
      <c r="F59">
        <v>168.75</v>
      </c>
      <c r="G59">
        <v>202.5</v>
      </c>
      <c r="H59">
        <v>213</v>
      </c>
      <c r="I59">
        <v>0</v>
      </c>
      <c r="J59">
        <v>0</v>
      </c>
      <c r="K59" t="s">
        <v>10</v>
      </c>
    </row>
    <row r="60" spans="1:11" x14ac:dyDescent="0.25">
      <c r="A60" t="s">
        <v>46</v>
      </c>
      <c r="B60" t="s">
        <v>819</v>
      </c>
      <c r="C60">
        <v>0</v>
      </c>
      <c r="D60">
        <v>112.5</v>
      </c>
      <c r="E60">
        <v>135</v>
      </c>
      <c r="F60">
        <v>191.25</v>
      </c>
      <c r="G60">
        <v>236.25</v>
      </c>
      <c r="H60">
        <v>253.5</v>
      </c>
      <c r="I60">
        <v>0</v>
      </c>
      <c r="J60">
        <v>0</v>
      </c>
      <c r="K60" t="s">
        <v>10</v>
      </c>
    </row>
    <row r="61" spans="1:11" x14ac:dyDescent="0.25">
      <c r="A61" t="s">
        <v>46</v>
      </c>
      <c r="B61" t="s">
        <v>846</v>
      </c>
      <c r="C61">
        <v>0</v>
      </c>
      <c r="D61">
        <v>289.971</v>
      </c>
      <c r="E61">
        <v>364.76740000000001</v>
      </c>
      <c r="F61">
        <v>389.4624</v>
      </c>
      <c r="G61">
        <v>478.59930000000003</v>
      </c>
      <c r="H61">
        <v>544.31920000000002</v>
      </c>
      <c r="I61">
        <v>0</v>
      </c>
      <c r="J61">
        <v>0</v>
      </c>
      <c r="K61" t="s">
        <v>10</v>
      </c>
    </row>
    <row r="62" spans="1:11" x14ac:dyDescent="0.25">
      <c r="A62" t="s">
        <v>46</v>
      </c>
      <c r="B62" t="s">
        <v>909</v>
      </c>
      <c r="C62">
        <v>0</v>
      </c>
      <c r="D62">
        <v>289.971</v>
      </c>
      <c r="E62">
        <v>364.76740000000001</v>
      </c>
      <c r="F62">
        <v>389.4624</v>
      </c>
      <c r="G62">
        <v>464.68209999999999</v>
      </c>
      <c r="H62">
        <v>527.61860000000001</v>
      </c>
      <c r="I62">
        <v>0</v>
      </c>
      <c r="J62">
        <v>0</v>
      </c>
      <c r="K62" t="s">
        <v>10</v>
      </c>
    </row>
    <row r="63" spans="1:11" x14ac:dyDescent="0.25">
      <c r="A63" t="s">
        <v>37</v>
      </c>
      <c r="B63" t="s">
        <v>37</v>
      </c>
      <c r="C63">
        <v>67.599999999999994</v>
      </c>
      <c r="D63">
        <v>73.23</v>
      </c>
      <c r="E63">
        <v>81.12</v>
      </c>
      <c r="F63">
        <v>85.62</v>
      </c>
      <c r="G63">
        <v>107.35</v>
      </c>
      <c r="H63">
        <v>122.379</v>
      </c>
      <c r="I63">
        <v>0</v>
      </c>
      <c r="J63">
        <v>0</v>
      </c>
      <c r="K63" t="s">
        <v>10</v>
      </c>
    </row>
    <row r="64" spans="1:11" x14ac:dyDescent="0.25">
      <c r="A64" t="s">
        <v>37</v>
      </c>
      <c r="B64" t="s">
        <v>387</v>
      </c>
      <c r="C64">
        <v>106.9353</v>
      </c>
      <c r="D64">
        <v>119.33</v>
      </c>
      <c r="E64">
        <v>160.57</v>
      </c>
      <c r="F64">
        <v>168.55</v>
      </c>
      <c r="G64">
        <v>219.3467</v>
      </c>
      <c r="H64">
        <v>233.21600000000001</v>
      </c>
      <c r="I64">
        <v>0</v>
      </c>
      <c r="J64">
        <v>0</v>
      </c>
      <c r="K64" t="s">
        <v>10</v>
      </c>
    </row>
    <row r="65" spans="1:11" x14ac:dyDescent="0.25">
      <c r="A65" t="s">
        <v>37</v>
      </c>
      <c r="B65" t="s">
        <v>405</v>
      </c>
      <c r="C65">
        <v>83.97</v>
      </c>
      <c r="D65">
        <v>94.45</v>
      </c>
      <c r="E65">
        <v>114.32</v>
      </c>
      <c r="F65">
        <v>121.41</v>
      </c>
      <c r="G65">
        <v>158.13</v>
      </c>
      <c r="H65">
        <v>180.26820000000001</v>
      </c>
      <c r="I65">
        <v>0</v>
      </c>
      <c r="J65">
        <v>0</v>
      </c>
      <c r="K65" t="s">
        <v>10</v>
      </c>
    </row>
    <row r="66" spans="1:11" x14ac:dyDescent="0.25">
      <c r="A66" t="s">
        <v>37</v>
      </c>
      <c r="B66" t="s">
        <v>432</v>
      </c>
      <c r="C66">
        <v>134.58000000000001</v>
      </c>
      <c r="D66">
        <v>122.79</v>
      </c>
      <c r="E66">
        <v>187.8845</v>
      </c>
      <c r="F66">
        <v>187.42</v>
      </c>
      <c r="G66">
        <v>229.1541</v>
      </c>
      <c r="H66">
        <v>244.98490000000001</v>
      </c>
      <c r="I66">
        <v>0</v>
      </c>
      <c r="J66">
        <v>0</v>
      </c>
      <c r="K66" t="s">
        <v>10</v>
      </c>
    </row>
    <row r="67" spans="1:11" x14ac:dyDescent="0.25">
      <c r="A67" t="s">
        <v>37</v>
      </c>
      <c r="B67" t="s">
        <v>675</v>
      </c>
      <c r="C67">
        <v>113.1093</v>
      </c>
      <c r="D67">
        <v>125.5839</v>
      </c>
      <c r="E67">
        <v>172.59520000000001</v>
      </c>
      <c r="F67">
        <v>185.0478</v>
      </c>
      <c r="G67">
        <v>221.0171</v>
      </c>
      <c r="H67">
        <v>235.22049999999999</v>
      </c>
      <c r="I67">
        <v>0</v>
      </c>
      <c r="J67">
        <v>0</v>
      </c>
      <c r="K67" t="s">
        <v>10</v>
      </c>
    </row>
    <row r="68" spans="1:11" x14ac:dyDescent="0.25">
      <c r="A68" t="s">
        <v>37</v>
      </c>
      <c r="B68" t="s">
        <v>738</v>
      </c>
      <c r="C68">
        <v>144.43</v>
      </c>
      <c r="D68">
        <v>149.98500000000001</v>
      </c>
      <c r="E68">
        <v>229.5548</v>
      </c>
      <c r="F68">
        <v>247.66409999999999</v>
      </c>
      <c r="G68">
        <v>289.17110000000002</v>
      </c>
      <c r="H68">
        <v>317.00529999999998</v>
      </c>
      <c r="I68">
        <v>0</v>
      </c>
      <c r="J68">
        <v>0</v>
      </c>
      <c r="K68" t="s">
        <v>10</v>
      </c>
    </row>
    <row r="69" spans="1:11" x14ac:dyDescent="0.25">
      <c r="A69" t="s">
        <v>37</v>
      </c>
      <c r="B69" t="s">
        <v>828</v>
      </c>
      <c r="C69">
        <v>167.75139999999999</v>
      </c>
      <c r="D69">
        <v>153.86000000000001</v>
      </c>
      <c r="E69">
        <v>227.0754</v>
      </c>
      <c r="F69">
        <v>239.4941</v>
      </c>
      <c r="G69">
        <v>275.36540000000002</v>
      </c>
      <c r="H69">
        <v>300.43849999999998</v>
      </c>
      <c r="I69">
        <v>0</v>
      </c>
      <c r="J69">
        <v>0</v>
      </c>
      <c r="K69" t="s">
        <v>10</v>
      </c>
    </row>
    <row r="70" spans="1:11" x14ac:dyDescent="0.25">
      <c r="A70" t="s">
        <v>37</v>
      </c>
      <c r="B70" t="s">
        <v>846</v>
      </c>
      <c r="C70">
        <v>95.8035</v>
      </c>
      <c r="D70">
        <v>104.8203</v>
      </c>
      <c r="E70">
        <v>123.98099999999999</v>
      </c>
      <c r="F70">
        <v>118.3455</v>
      </c>
      <c r="G70">
        <v>203.50919999999999</v>
      </c>
      <c r="H70">
        <v>214.21100000000001</v>
      </c>
      <c r="I70">
        <v>0</v>
      </c>
      <c r="J70">
        <v>0</v>
      </c>
      <c r="K70" t="s">
        <v>10</v>
      </c>
    </row>
    <row r="71" spans="1:11" x14ac:dyDescent="0.25">
      <c r="A71" t="s">
        <v>37</v>
      </c>
      <c r="B71" t="s">
        <v>855</v>
      </c>
      <c r="C71">
        <v>183.78319999999999</v>
      </c>
      <c r="D71">
        <v>207.87479999999999</v>
      </c>
      <c r="E71">
        <v>244.78059999999999</v>
      </c>
      <c r="F71">
        <v>257.5496</v>
      </c>
      <c r="G71">
        <v>299.76639999999998</v>
      </c>
      <c r="H71">
        <v>329.71969999999999</v>
      </c>
      <c r="I71">
        <v>0</v>
      </c>
      <c r="J71">
        <v>0</v>
      </c>
      <c r="K71" t="s">
        <v>10</v>
      </c>
    </row>
    <row r="72" spans="1:11" x14ac:dyDescent="0.25">
      <c r="A72" t="s">
        <v>37</v>
      </c>
      <c r="B72" t="s">
        <v>864</v>
      </c>
      <c r="C72">
        <v>175.8913</v>
      </c>
      <c r="D72">
        <v>190.1138</v>
      </c>
      <c r="E72">
        <v>196.91</v>
      </c>
      <c r="F72">
        <v>202.536</v>
      </c>
      <c r="G72">
        <v>287.24110000000002</v>
      </c>
      <c r="H72">
        <v>314.6893</v>
      </c>
      <c r="I72">
        <v>0</v>
      </c>
      <c r="J72">
        <v>0</v>
      </c>
      <c r="K72" t="s">
        <v>10</v>
      </c>
    </row>
    <row r="73" spans="1:11" x14ac:dyDescent="0.25">
      <c r="A73" t="s">
        <v>37</v>
      </c>
      <c r="B73" t="s">
        <v>882</v>
      </c>
      <c r="C73">
        <v>327.00670000000002</v>
      </c>
      <c r="D73">
        <v>341.19510000000002</v>
      </c>
      <c r="E73">
        <v>422.75599999999997</v>
      </c>
      <c r="F73">
        <v>436.60759999999999</v>
      </c>
      <c r="G73">
        <v>505.75360000000001</v>
      </c>
      <c r="H73">
        <v>576.90430000000003</v>
      </c>
      <c r="I73">
        <v>0</v>
      </c>
      <c r="J73">
        <v>0</v>
      </c>
      <c r="K73" t="s">
        <v>10</v>
      </c>
    </row>
    <row r="74" spans="1:11" x14ac:dyDescent="0.25">
      <c r="A74" t="s">
        <v>37</v>
      </c>
      <c r="B74" t="s">
        <v>909</v>
      </c>
      <c r="C74">
        <v>92.300600000000003</v>
      </c>
      <c r="D74">
        <v>104.9439</v>
      </c>
      <c r="E74">
        <v>104.98860000000001</v>
      </c>
      <c r="F74">
        <v>110.5731</v>
      </c>
      <c r="G74">
        <v>179.01669999999999</v>
      </c>
      <c r="H74">
        <v>204.07910000000001</v>
      </c>
      <c r="I74">
        <v>0</v>
      </c>
      <c r="J74">
        <v>0</v>
      </c>
      <c r="K74" t="s">
        <v>10</v>
      </c>
    </row>
    <row r="75" spans="1:11" x14ac:dyDescent="0.25">
      <c r="A75" t="s">
        <v>333</v>
      </c>
      <c r="B75" t="s">
        <v>118</v>
      </c>
      <c r="C75">
        <v>236.46709999999999</v>
      </c>
      <c r="D75">
        <v>250.6112</v>
      </c>
      <c r="E75">
        <v>294.64389999999997</v>
      </c>
      <c r="F75">
        <v>310.99250000000001</v>
      </c>
      <c r="G75">
        <v>375.49160000000001</v>
      </c>
      <c r="H75">
        <v>420.59</v>
      </c>
      <c r="I75">
        <v>0</v>
      </c>
      <c r="J75">
        <v>0</v>
      </c>
      <c r="K75" t="s">
        <v>10</v>
      </c>
    </row>
    <row r="76" spans="1:11" x14ac:dyDescent="0.25">
      <c r="A76" t="s">
        <v>333</v>
      </c>
      <c r="B76" t="s">
        <v>244</v>
      </c>
      <c r="C76">
        <v>146.44810000000001</v>
      </c>
      <c r="D76">
        <v>160.54419999999999</v>
      </c>
      <c r="E76">
        <v>182.1233</v>
      </c>
      <c r="F76">
        <v>198.41640000000001</v>
      </c>
      <c r="G76">
        <v>240.08029999999999</v>
      </c>
      <c r="H76">
        <v>258.09629999999999</v>
      </c>
      <c r="I76">
        <v>0</v>
      </c>
      <c r="J76">
        <v>0</v>
      </c>
      <c r="K76" t="s">
        <v>10</v>
      </c>
    </row>
    <row r="77" spans="1:11" x14ac:dyDescent="0.25">
      <c r="A77" t="s">
        <v>333</v>
      </c>
      <c r="B77" t="s">
        <v>37</v>
      </c>
      <c r="C77">
        <v>125.5936</v>
      </c>
      <c r="D77">
        <v>130.43270000000001</v>
      </c>
      <c r="E77">
        <v>133.80000000000001</v>
      </c>
      <c r="F77">
        <v>142.72</v>
      </c>
      <c r="G77">
        <v>178.7122</v>
      </c>
      <c r="H77">
        <v>203.7319</v>
      </c>
      <c r="I77">
        <v>0</v>
      </c>
      <c r="J77">
        <v>0</v>
      </c>
      <c r="K77" t="s">
        <v>10</v>
      </c>
    </row>
    <row r="78" spans="1:11" x14ac:dyDescent="0.25">
      <c r="A78" t="s">
        <v>333</v>
      </c>
      <c r="B78" t="s">
        <v>279</v>
      </c>
      <c r="C78">
        <v>165.61439999999999</v>
      </c>
      <c r="D78">
        <v>177.89660000000001</v>
      </c>
      <c r="E78">
        <v>202.48269999999999</v>
      </c>
      <c r="F78">
        <v>215.86</v>
      </c>
      <c r="G78">
        <v>261.00760000000002</v>
      </c>
      <c r="H78">
        <v>283.20909999999998</v>
      </c>
      <c r="I78">
        <v>0</v>
      </c>
      <c r="J78">
        <v>0</v>
      </c>
      <c r="K78" t="s">
        <v>10</v>
      </c>
    </row>
    <row r="79" spans="1:11" x14ac:dyDescent="0.25">
      <c r="A79" t="s">
        <v>333</v>
      </c>
      <c r="B79" t="s">
        <v>333</v>
      </c>
      <c r="C79">
        <v>77.361599999999996</v>
      </c>
      <c r="D79">
        <v>81.983699999999999</v>
      </c>
      <c r="E79">
        <v>99.37</v>
      </c>
      <c r="F79">
        <v>114.9348</v>
      </c>
      <c r="G79">
        <v>149.69640000000001</v>
      </c>
      <c r="H79">
        <v>170.65389999999999</v>
      </c>
      <c r="I79">
        <v>0</v>
      </c>
      <c r="J79">
        <v>0</v>
      </c>
      <c r="K79" t="s">
        <v>10</v>
      </c>
    </row>
    <row r="80" spans="1:11" x14ac:dyDescent="0.25">
      <c r="A80" t="s">
        <v>333</v>
      </c>
      <c r="B80" t="s">
        <v>432</v>
      </c>
      <c r="C80">
        <v>111.825</v>
      </c>
      <c r="D80">
        <v>117.15</v>
      </c>
      <c r="E80">
        <v>156.15029999999999</v>
      </c>
      <c r="F80">
        <v>143.77000000000001</v>
      </c>
      <c r="G80">
        <v>202.94640000000001</v>
      </c>
      <c r="H80">
        <v>213.53569999999999</v>
      </c>
      <c r="I80">
        <v>0</v>
      </c>
      <c r="J80">
        <v>0</v>
      </c>
      <c r="K80" t="s">
        <v>10</v>
      </c>
    </row>
    <row r="81" spans="1:11" x14ac:dyDescent="0.25">
      <c r="A81" t="s">
        <v>333</v>
      </c>
      <c r="B81" t="s">
        <v>522</v>
      </c>
      <c r="C81">
        <v>186.28</v>
      </c>
      <c r="D81">
        <v>196.6602</v>
      </c>
      <c r="E81">
        <v>246.26</v>
      </c>
      <c r="F81">
        <v>254.4204</v>
      </c>
      <c r="G81">
        <v>322.87029999999999</v>
      </c>
      <c r="H81">
        <v>357.4443</v>
      </c>
      <c r="I81">
        <v>0</v>
      </c>
      <c r="J81">
        <v>0</v>
      </c>
      <c r="K81" t="s">
        <v>10</v>
      </c>
    </row>
    <row r="82" spans="1:11" x14ac:dyDescent="0.25">
      <c r="A82" t="s">
        <v>333</v>
      </c>
      <c r="B82" t="s">
        <v>594</v>
      </c>
      <c r="C82">
        <v>478.28</v>
      </c>
      <c r="D82">
        <v>490.38369999999998</v>
      </c>
      <c r="E82">
        <v>599.73749999999995</v>
      </c>
      <c r="F82">
        <v>621.99879999999996</v>
      </c>
      <c r="G82">
        <v>664.40989999999999</v>
      </c>
      <c r="H82">
        <v>767.29179999999997</v>
      </c>
      <c r="I82">
        <v>0</v>
      </c>
      <c r="J82">
        <v>0</v>
      </c>
      <c r="K82" t="s">
        <v>10</v>
      </c>
    </row>
    <row r="83" spans="1:11" x14ac:dyDescent="0.25">
      <c r="A83" t="s">
        <v>333</v>
      </c>
      <c r="B83" t="s">
        <v>639</v>
      </c>
      <c r="C83">
        <v>276.6096</v>
      </c>
      <c r="D83">
        <v>287.25720000000001</v>
      </c>
      <c r="E83">
        <v>326.74680000000001</v>
      </c>
      <c r="F83">
        <v>340.81439999999998</v>
      </c>
      <c r="G83">
        <v>365.11919999999998</v>
      </c>
      <c r="H83">
        <v>408.14299999999997</v>
      </c>
      <c r="I83">
        <v>0</v>
      </c>
      <c r="J83">
        <v>0</v>
      </c>
      <c r="K83" t="s">
        <v>10</v>
      </c>
    </row>
    <row r="84" spans="1:11" x14ac:dyDescent="0.25">
      <c r="A84" t="s">
        <v>333</v>
      </c>
      <c r="B84" t="s">
        <v>675</v>
      </c>
      <c r="C84">
        <v>157.6001</v>
      </c>
      <c r="D84">
        <v>171.6962</v>
      </c>
      <c r="E84">
        <v>208.11</v>
      </c>
      <c r="F84">
        <v>227.4562</v>
      </c>
      <c r="G84">
        <v>279.1123</v>
      </c>
      <c r="H84">
        <v>304.93470000000002</v>
      </c>
      <c r="I84">
        <v>0</v>
      </c>
      <c r="J84">
        <v>0</v>
      </c>
      <c r="K84" t="s">
        <v>10</v>
      </c>
    </row>
    <row r="85" spans="1:11" x14ac:dyDescent="0.25">
      <c r="A85" t="s">
        <v>333</v>
      </c>
      <c r="B85" t="s">
        <v>729</v>
      </c>
      <c r="C85">
        <v>172.7885</v>
      </c>
      <c r="D85">
        <v>185.6027</v>
      </c>
      <c r="E85">
        <v>192.44</v>
      </c>
      <c r="F85">
        <v>203.76</v>
      </c>
      <c r="G85">
        <v>272.31389999999999</v>
      </c>
      <c r="H85">
        <v>296.77670000000001</v>
      </c>
      <c r="I85">
        <v>0</v>
      </c>
      <c r="J85">
        <v>0</v>
      </c>
      <c r="K85" t="s">
        <v>10</v>
      </c>
    </row>
    <row r="86" spans="1:11" x14ac:dyDescent="0.25">
      <c r="A86" t="s">
        <v>333</v>
      </c>
      <c r="B86" t="s">
        <v>738</v>
      </c>
      <c r="C86">
        <v>154.86000000000001</v>
      </c>
      <c r="D86">
        <v>160.19999999999999</v>
      </c>
      <c r="E86">
        <v>188.6302</v>
      </c>
      <c r="F86">
        <v>206.0386</v>
      </c>
      <c r="G86">
        <v>246.2381</v>
      </c>
      <c r="H86">
        <v>265.48570000000001</v>
      </c>
      <c r="I86">
        <v>0</v>
      </c>
      <c r="J86">
        <v>0</v>
      </c>
      <c r="K86" t="s">
        <v>10</v>
      </c>
    </row>
    <row r="87" spans="1:11" x14ac:dyDescent="0.25">
      <c r="A87" t="s">
        <v>333</v>
      </c>
      <c r="B87" t="s">
        <v>783</v>
      </c>
      <c r="C87">
        <v>126.23</v>
      </c>
      <c r="D87">
        <v>134.5214</v>
      </c>
      <c r="E87">
        <v>207.946</v>
      </c>
      <c r="F87">
        <v>215.91139999999999</v>
      </c>
      <c r="G87">
        <v>277.0299</v>
      </c>
      <c r="H87">
        <v>302.43579999999997</v>
      </c>
      <c r="I87">
        <v>0</v>
      </c>
      <c r="J87">
        <v>0</v>
      </c>
      <c r="K87" t="s">
        <v>10</v>
      </c>
    </row>
    <row r="88" spans="1:11" x14ac:dyDescent="0.25">
      <c r="A88" t="s">
        <v>333</v>
      </c>
      <c r="B88" t="s">
        <v>846</v>
      </c>
      <c r="C88">
        <v>181.37610000000001</v>
      </c>
      <c r="D88">
        <v>188.42420000000001</v>
      </c>
      <c r="E88">
        <v>211.88</v>
      </c>
      <c r="F88">
        <v>216.34880000000001</v>
      </c>
      <c r="G88">
        <v>284.68830000000003</v>
      </c>
      <c r="H88">
        <v>311.6259</v>
      </c>
      <c r="I88">
        <v>0</v>
      </c>
      <c r="J88">
        <v>0</v>
      </c>
      <c r="K88" t="s">
        <v>10</v>
      </c>
    </row>
    <row r="89" spans="1:11" x14ac:dyDescent="0.25">
      <c r="A89" t="s">
        <v>333</v>
      </c>
      <c r="B89" t="s">
        <v>864</v>
      </c>
      <c r="C89">
        <v>270.59210000000002</v>
      </c>
      <c r="D89">
        <v>281.00810000000001</v>
      </c>
      <c r="E89">
        <v>327.09930000000003</v>
      </c>
      <c r="F89">
        <v>343.39240000000001</v>
      </c>
      <c r="G89">
        <v>401.78429999999997</v>
      </c>
      <c r="H89">
        <v>452.14109999999999</v>
      </c>
      <c r="I89">
        <v>0</v>
      </c>
      <c r="J89">
        <v>0</v>
      </c>
      <c r="K89" t="s">
        <v>10</v>
      </c>
    </row>
    <row r="90" spans="1:11" x14ac:dyDescent="0.25">
      <c r="A90" t="s">
        <v>333</v>
      </c>
      <c r="B90" t="s">
        <v>909</v>
      </c>
      <c r="C90">
        <v>114.4641</v>
      </c>
      <c r="D90">
        <v>127.08</v>
      </c>
      <c r="E90">
        <v>163.51060000000001</v>
      </c>
      <c r="F90">
        <v>176.11240000000001</v>
      </c>
      <c r="G90">
        <v>206.9365</v>
      </c>
      <c r="H90">
        <v>218.32380000000001</v>
      </c>
      <c r="I90">
        <v>0</v>
      </c>
      <c r="J90">
        <v>0</v>
      </c>
      <c r="K90" t="s">
        <v>10</v>
      </c>
    </row>
    <row r="91" spans="1:11" x14ac:dyDescent="0.25">
      <c r="A91" t="s">
        <v>37</v>
      </c>
      <c r="B91" t="s">
        <v>82</v>
      </c>
      <c r="C91">
        <v>139.72999999999999</v>
      </c>
      <c r="D91">
        <v>147.22999999999999</v>
      </c>
      <c r="E91">
        <v>201.29</v>
      </c>
      <c r="F91">
        <v>213.63</v>
      </c>
      <c r="G91">
        <v>274.95</v>
      </c>
      <c r="H91">
        <v>299.94</v>
      </c>
      <c r="I91">
        <v>0</v>
      </c>
      <c r="J91">
        <v>0</v>
      </c>
      <c r="K91" t="s">
        <v>10</v>
      </c>
    </row>
    <row r="92" spans="1:11" x14ac:dyDescent="0.25">
      <c r="A92" t="s">
        <v>37</v>
      </c>
      <c r="B92" t="s">
        <v>109</v>
      </c>
      <c r="C92">
        <v>158.98500000000001</v>
      </c>
      <c r="D92">
        <v>184.45500000000001</v>
      </c>
      <c r="E92">
        <v>233.45</v>
      </c>
      <c r="F92">
        <v>256.41000000000003</v>
      </c>
      <c r="G92">
        <v>242.19</v>
      </c>
      <c r="H92">
        <v>260.62799999999999</v>
      </c>
      <c r="I92">
        <v>0</v>
      </c>
      <c r="J92">
        <v>0</v>
      </c>
      <c r="K92" t="s">
        <v>10</v>
      </c>
    </row>
    <row r="93" spans="1:11" x14ac:dyDescent="0.25">
      <c r="A93" t="s">
        <v>37</v>
      </c>
      <c r="B93" t="s">
        <v>136</v>
      </c>
      <c r="C93">
        <v>171.72</v>
      </c>
      <c r="D93">
        <v>185.69</v>
      </c>
      <c r="E93">
        <v>232.44749999999999</v>
      </c>
      <c r="F93">
        <v>245.09</v>
      </c>
      <c r="G93">
        <v>281.88</v>
      </c>
      <c r="H93">
        <v>308.25599999999997</v>
      </c>
      <c r="I93">
        <v>0</v>
      </c>
      <c r="J93">
        <v>0</v>
      </c>
      <c r="K93" t="s">
        <v>10</v>
      </c>
    </row>
    <row r="94" spans="1:11" x14ac:dyDescent="0.25">
      <c r="A94" t="s">
        <v>37</v>
      </c>
      <c r="B94" t="s">
        <v>190</v>
      </c>
      <c r="C94">
        <v>174.91</v>
      </c>
      <c r="D94">
        <v>191.23</v>
      </c>
      <c r="E94">
        <v>214.45</v>
      </c>
      <c r="F94">
        <v>221.79</v>
      </c>
      <c r="G94">
        <v>253.755</v>
      </c>
      <c r="H94">
        <v>274.50599999999997</v>
      </c>
      <c r="I94">
        <v>0</v>
      </c>
      <c r="J94">
        <v>0</v>
      </c>
      <c r="K94" t="s">
        <v>10</v>
      </c>
    </row>
    <row r="95" spans="1:11" x14ac:dyDescent="0.25">
      <c r="A95" t="s">
        <v>37</v>
      </c>
      <c r="B95" t="s">
        <v>199</v>
      </c>
      <c r="C95">
        <v>338.98500000000001</v>
      </c>
      <c r="D95">
        <v>370.08</v>
      </c>
      <c r="E95">
        <v>434.94749999999999</v>
      </c>
      <c r="F95">
        <v>462.09</v>
      </c>
      <c r="G95">
        <v>534.69000000000005</v>
      </c>
      <c r="H95">
        <v>611.62800000000004</v>
      </c>
      <c r="I95">
        <v>0</v>
      </c>
      <c r="J95">
        <v>0</v>
      </c>
      <c r="K95" t="s">
        <v>10</v>
      </c>
    </row>
    <row r="96" spans="1:11" x14ac:dyDescent="0.25">
      <c r="A96" t="s">
        <v>37</v>
      </c>
      <c r="B96" t="s">
        <v>208</v>
      </c>
      <c r="C96">
        <v>101.59</v>
      </c>
      <c r="D96">
        <v>102.27</v>
      </c>
      <c r="E96">
        <v>142.83000000000001</v>
      </c>
      <c r="F96">
        <v>146.83000000000001</v>
      </c>
      <c r="G96">
        <v>203.39</v>
      </c>
      <c r="H96">
        <v>214.06800000000001</v>
      </c>
      <c r="I96">
        <v>0</v>
      </c>
      <c r="J96">
        <v>0</v>
      </c>
      <c r="K96" t="s">
        <v>10</v>
      </c>
    </row>
    <row r="97" spans="1:11" x14ac:dyDescent="0.25">
      <c r="A97" t="s">
        <v>37</v>
      </c>
      <c r="B97" t="s">
        <v>217</v>
      </c>
      <c r="C97">
        <v>102.735</v>
      </c>
      <c r="D97">
        <v>139.45500000000001</v>
      </c>
      <c r="E97">
        <v>161.29</v>
      </c>
      <c r="F97">
        <v>173.63</v>
      </c>
      <c r="G97">
        <v>215.23</v>
      </c>
      <c r="H97">
        <v>228.27600000000001</v>
      </c>
      <c r="I97">
        <v>0</v>
      </c>
      <c r="J97">
        <v>0</v>
      </c>
      <c r="K97" t="s">
        <v>10</v>
      </c>
    </row>
    <row r="98" spans="1:11" x14ac:dyDescent="0.25">
      <c r="A98" t="s">
        <v>37</v>
      </c>
      <c r="B98" t="s">
        <v>235</v>
      </c>
      <c r="C98">
        <v>338.98500000000001</v>
      </c>
      <c r="D98">
        <v>370.08</v>
      </c>
      <c r="E98">
        <v>460.62</v>
      </c>
      <c r="F98">
        <v>470.16</v>
      </c>
      <c r="G98">
        <v>534.69000000000005</v>
      </c>
      <c r="H98">
        <v>611.62800000000004</v>
      </c>
      <c r="I98">
        <v>0</v>
      </c>
      <c r="J98">
        <v>0</v>
      </c>
      <c r="K98" t="s">
        <v>10</v>
      </c>
    </row>
    <row r="99" spans="1:11" x14ac:dyDescent="0.25">
      <c r="A99" t="s">
        <v>37</v>
      </c>
      <c r="B99" t="s">
        <v>244</v>
      </c>
      <c r="C99">
        <v>115.84</v>
      </c>
      <c r="D99">
        <v>127.16</v>
      </c>
      <c r="E99">
        <v>168.12</v>
      </c>
      <c r="F99">
        <v>184.42</v>
      </c>
      <c r="G99">
        <v>231.78</v>
      </c>
      <c r="H99">
        <v>248.136</v>
      </c>
      <c r="I99">
        <v>0</v>
      </c>
      <c r="J99">
        <v>0</v>
      </c>
      <c r="K99" t="s">
        <v>10</v>
      </c>
    </row>
    <row r="100" spans="1:11" x14ac:dyDescent="0.25">
      <c r="A100" t="s">
        <v>37</v>
      </c>
      <c r="B100" t="s">
        <v>253</v>
      </c>
      <c r="C100">
        <v>126.72</v>
      </c>
      <c r="D100">
        <v>132.09</v>
      </c>
      <c r="E100">
        <v>151.79</v>
      </c>
      <c r="F100">
        <v>159.13</v>
      </c>
      <c r="G100">
        <v>253.755</v>
      </c>
      <c r="H100">
        <v>274.50599999999997</v>
      </c>
      <c r="I100">
        <v>0</v>
      </c>
      <c r="J100">
        <v>0</v>
      </c>
      <c r="K100" t="s">
        <v>10</v>
      </c>
    </row>
    <row r="101" spans="1:11" x14ac:dyDescent="0.25">
      <c r="A101" t="s">
        <v>37</v>
      </c>
      <c r="B101" t="s">
        <v>279</v>
      </c>
      <c r="C101">
        <v>130</v>
      </c>
      <c r="D101">
        <v>158.87</v>
      </c>
      <c r="E101">
        <v>206.45</v>
      </c>
      <c r="F101">
        <v>213.79</v>
      </c>
      <c r="G101">
        <v>260.39</v>
      </c>
      <c r="H101">
        <v>282.46800000000002</v>
      </c>
      <c r="I101">
        <v>0</v>
      </c>
      <c r="J101">
        <v>0</v>
      </c>
      <c r="K101" t="s">
        <v>10</v>
      </c>
    </row>
    <row r="102" spans="1:11" x14ac:dyDescent="0.25">
      <c r="A102" t="s">
        <v>37</v>
      </c>
      <c r="B102" t="s">
        <v>315</v>
      </c>
      <c r="C102">
        <v>414.19</v>
      </c>
      <c r="D102">
        <v>451.83</v>
      </c>
      <c r="E102">
        <v>531.45000000000005</v>
      </c>
      <c r="F102">
        <v>554.53499999999997</v>
      </c>
      <c r="G102">
        <v>630.11</v>
      </c>
      <c r="H102">
        <v>726.13199999999995</v>
      </c>
      <c r="I102">
        <v>0</v>
      </c>
      <c r="J102">
        <v>0</v>
      </c>
      <c r="K102" t="s">
        <v>10</v>
      </c>
    </row>
    <row r="103" spans="1:11" x14ac:dyDescent="0.25">
      <c r="A103" t="s">
        <v>37</v>
      </c>
      <c r="B103" t="s">
        <v>333</v>
      </c>
      <c r="C103">
        <v>101.72</v>
      </c>
      <c r="D103">
        <v>114.36</v>
      </c>
      <c r="E103">
        <v>141.31</v>
      </c>
      <c r="F103">
        <v>160.91999999999999</v>
      </c>
      <c r="G103">
        <v>193.56</v>
      </c>
      <c r="H103">
        <v>220.6584</v>
      </c>
      <c r="I103">
        <v>0</v>
      </c>
      <c r="J103">
        <v>0</v>
      </c>
      <c r="K103" t="s">
        <v>10</v>
      </c>
    </row>
    <row r="104" spans="1:11" x14ac:dyDescent="0.25">
      <c r="A104" t="s">
        <v>37</v>
      </c>
      <c r="B104" t="s">
        <v>351</v>
      </c>
      <c r="C104">
        <v>224.64</v>
      </c>
      <c r="D104">
        <v>243.98</v>
      </c>
      <c r="E104">
        <v>303.31</v>
      </c>
      <c r="F104">
        <v>327.92</v>
      </c>
      <c r="G104">
        <v>388.755</v>
      </c>
      <c r="H104">
        <v>436.50599999999997</v>
      </c>
      <c r="I104">
        <v>0</v>
      </c>
      <c r="J104">
        <v>0</v>
      </c>
      <c r="K104" t="s">
        <v>10</v>
      </c>
    </row>
    <row r="105" spans="1:11" x14ac:dyDescent="0.25">
      <c r="A105" t="s">
        <v>37</v>
      </c>
      <c r="B105" t="s">
        <v>360</v>
      </c>
      <c r="C105">
        <v>216.72</v>
      </c>
      <c r="D105">
        <v>243.31</v>
      </c>
      <c r="E105">
        <v>253.17</v>
      </c>
      <c r="F105">
        <v>258.17</v>
      </c>
      <c r="G105">
        <v>388.755</v>
      </c>
      <c r="H105">
        <v>436.50599999999997</v>
      </c>
      <c r="I105">
        <v>0</v>
      </c>
      <c r="J105">
        <v>0</v>
      </c>
      <c r="K105" t="s">
        <v>10</v>
      </c>
    </row>
    <row r="106" spans="1:11" x14ac:dyDescent="0.25">
      <c r="A106" t="s">
        <v>37</v>
      </c>
      <c r="B106" t="s">
        <v>369</v>
      </c>
      <c r="C106">
        <v>362.97</v>
      </c>
      <c r="D106">
        <v>392.23</v>
      </c>
      <c r="E106">
        <v>488.64</v>
      </c>
      <c r="F106">
        <v>503.91</v>
      </c>
      <c r="G106">
        <v>579.69000000000005</v>
      </c>
      <c r="H106">
        <v>665.62800000000004</v>
      </c>
      <c r="I106">
        <v>0</v>
      </c>
      <c r="J106">
        <v>0</v>
      </c>
      <c r="K106" t="s">
        <v>10</v>
      </c>
    </row>
    <row r="107" spans="1:11" x14ac:dyDescent="0.25">
      <c r="A107" t="s">
        <v>37</v>
      </c>
      <c r="B107" t="s">
        <v>450</v>
      </c>
      <c r="C107">
        <v>219.25</v>
      </c>
      <c r="D107">
        <v>226.89</v>
      </c>
      <c r="E107">
        <v>310.29000000000002</v>
      </c>
      <c r="F107">
        <v>321.58999999999997</v>
      </c>
      <c r="G107">
        <v>383.95</v>
      </c>
      <c r="H107">
        <v>430.74</v>
      </c>
      <c r="I107">
        <v>0</v>
      </c>
      <c r="J107">
        <v>0</v>
      </c>
      <c r="K107" t="s">
        <v>10</v>
      </c>
    </row>
    <row r="108" spans="1:11" x14ac:dyDescent="0.25">
      <c r="A108" t="s">
        <v>37</v>
      </c>
      <c r="B108" t="s">
        <v>522</v>
      </c>
      <c r="C108">
        <v>126.11</v>
      </c>
      <c r="D108">
        <v>137.43</v>
      </c>
      <c r="E108">
        <v>173.45</v>
      </c>
      <c r="F108">
        <v>184.75</v>
      </c>
      <c r="G108">
        <v>227.11</v>
      </c>
      <c r="H108">
        <v>242.53200000000001</v>
      </c>
      <c r="I108">
        <v>0</v>
      </c>
      <c r="J108">
        <v>0</v>
      </c>
      <c r="K108" t="s">
        <v>10</v>
      </c>
    </row>
    <row r="109" spans="1:11" x14ac:dyDescent="0.25">
      <c r="A109" t="s">
        <v>37</v>
      </c>
      <c r="B109" t="s">
        <v>594</v>
      </c>
      <c r="C109">
        <v>406.20479999999998</v>
      </c>
      <c r="D109">
        <v>418.47750000000002</v>
      </c>
      <c r="E109">
        <v>549.95000000000005</v>
      </c>
      <c r="F109">
        <v>561.25</v>
      </c>
      <c r="G109">
        <v>625.005</v>
      </c>
      <c r="H109">
        <v>720.00599999999997</v>
      </c>
      <c r="I109">
        <v>0</v>
      </c>
      <c r="J109">
        <v>0</v>
      </c>
      <c r="K109" t="s">
        <v>10</v>
      </c>
    </row>
    <row r="110" spans="1:11" x14ac:dyDescent="0.25">
      <c r="A110" t="s">
        <v>37</v>
      </c>
      <c r="B110" t="s">
        <v>639</v>
      </c>
      <c r="C110">
        <v>261.72000000000003</v>
      </c>
      <c r="D110">
        <v>267.56</v>
      </c>
      <c r="E110">
        <v>236.12</v>
      </c>
      <c r="F110">
        <v>247.42</v>
      </c>
      <c r="G110">
        <v>330.06</v>
      </c>
      <c r="H110">
        <v>366.072</v>
      </c>
      <c r="I110">
        <v>0</v>
      </c>
      <c r="J110">
        <v>0</v>
      </c>
      <c r="K110" t="s">
        <v>10</v>
      </c>
    </row>
    <row r="111" spans="1:11" x14ac:dyDescent="0.25">
      <c r="A111" t="s">
        <v>37</v>
      </c>
      <c r="B111" t="s">
        <v>648</v>
      </c>
      <c r="C111">
        <v>239.19</v>
      </c>
      <c r="D111">
        <v>251.83</v>
      </c>
      <c r="E111">
        <v>311.45</v>
      </c>
      <c r="F111">
        <v>327.75</v>
      </c>
      <c r="G111">
        <v>388.755</v>
      </c>
      <c r="H111">
        <v>436.50599999999997</v>
      </c>
      <c r="I111">
        <v>0</v>
      </c>
      <c r="J111">
        <v>0</v>
      </c>
      <c r="K111" t="s">
        <v>10</v>
      </c>
    </row>
    <row r="112" spans="1:11" x14ac:dyDescent="0.25">
      <c r="A112" t="s">
        <v>37</v>
      </c>
      <c r="B112" t="s">
        <v>702</v>
      </c>
      <c r="C112">
        <v>203.98500000000001</v>
      </c>
      <c r="D112">
        <v>223.16</v>
      </c>
      <c r="E112">
        <v>245.5</v>
      </c>
      <c r="F112">
        <v>252.5</v>
      </c>
      <c r="G112">
        <v>351.78</v>
      </c>
      <c r="H112">
        <v>392.13600000000002</v>
      </c>
      <c r="I112">
        <v>0</v>
      </c>
      <c r="J112">
        <v>0</v>
      </c>
      <c r="K112" t="s">
        <v>10</v>
      </c>
    </row>
    <row r="113" spans="1:11" x14ac:dyDescent="0.25">
      <c r="A113" t="s">
        <v>37</v>
      </c>
      <c r="B113" t="s">
        <v>729</v>
      </c>
      <c r="C113">
        <v>154.04</v>
      </c>
      <c r="D113">
        <v>165.36</v>
      </c>
      <c r="E113">
        <v>213.81</v>
      </c>
      <c r="F113">
        <v>228.42</v>
      </c>
      <c r="G113">
        <v>280.77999999999997</v>
      </c>
      <c r="H113">
        <v>306.93599999999998</v>
      </c>
      <c r="I113">
        <v>0</v>
      </c>
      <c r="J113">
        <v>0</v>
      </c>
      <c r="K113" t="s">
        <v>10</v>
      </c>
    </row>
    <row r="114" spans="1:11" x14ac:dyDescent="0.25">
      <c r="A114" t="s">
        <v>37</v>
      </c>
      <c r="B114" t="s">
        <v>747</v>
      </c>
      <c r="C114">
        <v>197.58670000000001</v>
      </c>
      <c r="D114">
        <v>206.95500000000001</v>
      </c>
      <c r="E114">
        <v>262.47370000000001</v>
      </c>
      <c r="F114">
        <v>284.53500000000003</v>
      </c>
      <c r="G114">
        <v>315.63</v>
      </c>
      <c r="H114">
        <v>348.75599999999997</v>
      </c>
      <c r="I114">
        <v>0</v>
      </c>
      <c r="J114">
        <v>0</v>
      </c>
      <c r="K114" t="s">
        <v>10</v>
      </c>
    </row>
    <row r="115" spans="1:11" x14ac:dyDescent="0.25">
      <c r="A115" t="s">
        <v>37</v>
      </c>
      <c r="B115" t="s">
        <v>765</v>
      </c>
      <c r="C115">
        <v>452.97</v>
      </c>
      <c r="D115">
        <v>502.76</v>
      </c>
      <c r="E115">
        <v>569.94749999999999</v>
      </c>
      <c r="F115">
        <v>593.91</v>
      </c>
      <c r="G115">
        <v>731.88</v>
      </c>
      <c r="H115">
        <v>848.25599999999997</v>
      </c>
      <c r="I115">
        <v>0</v>
      </c>
      <c r="J115">
        <v>0</v>
      </c>
      <c r="K115" t="s">
        <v>10</v>
      </c>
    </row>
    <row r="116" spans="1:11" x14ac:dyDescent="0.25">
      <c r="A116" t="s">
        <v>37</v>
      </c>
      <c r="B116" t="s">
        <v>783</v>
      </c>
      <c r="C116">
        <v>177.57329999999999</v>
      </c>
      <c r="D116">
        <v>195.70500000000001</v>
      </c>
      <c r="E116">
        <v>251.22370000000001</v>
      </c>
      <c r="F116">
        <v>263.20499999999998</v>
      </c>
      <c r="G116">
        <v>310.005</v>
      </c>
      <c r="H116">
        <v>342.00599999999997</v>
      </c>
      <c r="I116">
        <v>0</v>
      </c>
      <c r="J116">
        <v>0</v>
      </c>
      <c r="K116" t="s">
        <v>10</v>
      </c>
    </row>
    <row r="117" spans="1:11" x14ac:dyDescent="0.25">
      <c r="A117" t="s">
        <v>37</v>
      </c>
      <c r="B117" t="s">
        <v>792</v>
      </c>
      <c r="C117">
        <v>265.86</v>
      </c>
      <c r="D117">
        <v>297.51330000000002</v>
      </c>
      <c r="E117">
        <v>448.09870000000001</v>
      </c>
      <c r="F117">
        <v>470.16</v>
      </c>
      <c r="G117">
        <v>529.06500000000005</v>
      </c>
      <c r="H117">
        <v>604.87800000000004</v>
      </c>
      <c r="I117">
        <v>0</v>
      </c>
      <c r="J117">
        <v>0</v>
      </c>
      <c r="K117" t="s">
        <v>10</v>
      </c>
    </row>
    <row r="118" spans="1:11" x14ac:dyDescent="0.25">
      <c r="A118" t="s">
        <v>37</v>
      </c>
      <c r="B118" t="s">
        <v>819</v>
      </c>
      <c r="C118">
        <v>212.70670000000001</v>
      </c>
      <c r="D118">
        <v>217.04669999999999</v>
      </c>
      <c r="E118">
        <v>274.64330000000001</v>
      </c>
      <c r="F118">
        <v>289.25330000000002</v>
      </c>
      <c r="G118">
        <v>316.61329999999998</v>
      </c>
      <c r="H118">
        <v>349.93599999999998</v>
      </c>
      <c r="I118">
        <v>0</v>
      </c>
      <c r="J118">
        <v>0</v>
      </c>
      <c r="K118" t="s">
        <v>10</v>
      </c>
    </row>
    <row r="119" spans="1:11" x14ac:dyDescent="0.25">
      <c r="A119" t="s">
        <v>333</v>
      </c>
      <c r="B119" t="s">
        <v>217</v>
      </c>
      <c r="C119">
        <v>171.72</v>
      </c>
      <c r="D119">
        <v>184.45500000000001</v>
      </c>
      <c r="E119">
        <v>221.97669999999999</v>
      </c>
      <c r="F119">
        <v>217.92</v>
      </c>
      <c r="G119">
        <v>260.27999999999997</v>
      </c>
      <c r="H119">
        <v>282.33600000000001</v>
      </c>
      <c r="I119">
        <v>0</v>
      </c>
      <c r="J119">
        <v>0</v>
      </c>
      <c r="K119" t="s">
        <v>10</v>
      </c>
    </row>
    <row r="120" spans="1:11" x14ac:dyDescent="0.25">
      <c r="A120" t="s">
        <v>333</v>
      </c>
      <c r="B120" t="s">
        <v>441</v>
      </c>
      <c r="C120">
        <v>128.3733</v>
      </c>
      <c r="D120">
        <v>116.98</v>
      </c>
      <c r="E120">
        <v>209.94749999999999</v>
      </c>
      <c r="F120">
        <v>218.20500000000001</v>
      </c>
      <c r="G120">
        <v>281.565</v>
      </c>
      <c r="H120">
        <v>307.87799999999999</v>
      </c>
      <c r="I120">
        <v>0</v>
      </c>
      <c r="J120">
        <v>0</v>
      </c>
      <c r="K120" t="s">
        <v>10</v>
      </c>
    </row>
    <row r="121" spans="1:11" x14ac:dyDescent="0.25">
      <c r="A121" t="s">
        <v>333</v>
      </c>
      <c r="B121" t="s">
        <v>468</v>
      </c>
      <c r="C121">
        <v>204.97329999999999</v>
      </c>
      <c r="D121">
        <v>212.58</v>
      </c>
      <c r="E121">
        <v>305.57249999999999</v>
      </c>
      <c r="F121">
        <v>318.28500000000003</v>
      </c>
      <c r="G121">
        <v>349.065</v>
      </c>
      <c r="H121">
        <v>388.87799999999999</v>
      </c>
      <c r="I121">
        <v>0</v>
      </c>
      <c r="J121">
        <v>0</v>
      </c>
      <c r="K121" t="s">
        <v>10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F4412-5326-44F5-87C5-6A6754C259E3}">
  <sheetPr>
    <tabColor theme="8"/>
  </sheetPr>
  <dimension ref="A1:J124"/>
  <sheetViews>
    <sheetView zoomScale="70" zoomScaleNormal="70" workbookViewId="0">
      <selection activeCell="D77" sqref="D77"/>
    </sheetView>
  </sheetViews>
  <sheetFormatPr baseColWidth="10" defaultColWidth="11.42578125" defaultRowHeight="15" x14ac:dyDescent="0.25"/>
  <cols>
    <col min="2" max="2" width="15.5703125" customWidth="1"/>
    <col min="3" max="3" width="9.85546875" style="1" customWidth="1"/>
    <col min="4" max="4" width="10.5703125" style="1" customWidth="1"/>
    <col min="5" max="5" width="10.140625" style="1" customWidth="1"/>
    <col min="6" max="6" width="10.42578125" style="1" customWidth="1"/>
    <col min="7" max="7" width="9.5703125" style="1" customWidth="1"/>
    <col min="8" max="8" width="11.85546875" style="1" customWidth="1"/>
    <col min="9" max="9" width="14" style="1" customWidth="1"/>
    <col min="10" max="10" width="14.42578125" style="1" customWidth="1"/>
  </cols>
  <sheetData>
    <row r="1" spans="1:10" x14ac:dyDescent="0.25">
      <c r="A1" t="s">
        <v>1</v>
      </c>
      <c r="B1" t="s">
        <v>2</v>
      </c>
      <c r="C1" s="1" t="s">
        <v>21</v>
      </c>
      <c r="D1" s="1" t="s">
        <v>29</v>
      </c>
      <c r="E1" s="1" t="s">
        <v>31</v>
      </c>
      <c r="F1" s="1" t="s">
        <v>33</v>
      </c>
      <c r="G1" s="1" t="s">
        <v>23</v>
      </c>
      <c r="H1" s="1" t="s">
        <v>25</v>
      </c>
      <c r="I1" s="1" t="s">
        <v>27</v>
      </c>
      <c r="J1" s="1" t="s">
        <v>35</v>
      </c>
    </row>
    <row r="2" spans="1:10" hidden="1" x14ac:dyDescent="0.25">
      <c r="A2" t="s">
        <v>37</v>
      </c>
      <c r="B2" s="1" t="s">
        <v>46</v>
      </c>
      <c r="C2" s="1">
        <v>217.04004</v>
      </c>
      <c r="D2" s="1">
        <v>229.80006</v>
      </c>
      <c r="E2" s="1">
        <v>289.2191400000001</v>
      </c>
      <c r="F2" s="1">
        <v>308.73024000000004</v>
      </c>
      <c r="G2" s="1">
        <v>377.39016000000004</v>
      </c>
      <c r="H2" s="1">
        <v>421.36819200000008</v>
      </c>
      <c r="I2" s="1">
        <v>0</v>
      </c>
      <c r="J2" s="1">
        <v>0</v>
      </c>
    </row>
    <row r="3" spans="1:10" hidden="1" x14ac:dyDescent="0.25">
      <c r="A3" t="s">
        <v>37</v>
      </c>
      <c r="B3" s="1" t="s">
        <v>657</v>
      </c>
      <c r="C3" s="1">
        <v>200.66508000000005</v>
      </c>
      <c r="D3" s="1">
        <v>211.84506000000005</v>
      </c>
      <c r="E3" s="1">
        <v>267.30207000000001</v>
      </c>
      <c r="F3" s="1">
        <v>278.80524000000008</v>
      </c>
      <c r="G3" s="1">
        <v>341.81532000000004</v>
      </c>
      <c r="H3" s="1">
        <v>378.67838400000005</v>
      </c>
      <c r="I3" s="1">
        <v>0</v>
      </c>
      <c r="J3" s="1">
        <v>0</v>
      </c>
    </row>
    <row r="4" spans="1:10" hidden="1" x14ac:dyDescent="0.25">
      <c r="A4" t="s">
        <v>37</v>
      </c>
      <c r="B4" s="1" t="s">
        <v>684</v>
      </c>
      <c r="C4" s="1">
        <v>205.07004000000001</v>
      </c>
      <c r="D4" s="1">
        <v>220.20012000000006</v>
      </c>
      <c r="E4" s="1">
        <v>267.30207000000001</v>
      </c>
      <c r="F4" s="1">
        <v>280.05012000000005</v>
      </c>
      <c r="G4" s="1">
        <v>347.80032000000006</v>
      </c>
      <c r="H4" s="1">
        <v>385.86038400000001</v>
      </c>
      <c r="I4" s="1">
        <v>0</v>
      </c>
      <c r="J4" s="1">
        <v>0</v>
      </c>
    </row>
    <row r="5" spans="1:10" hidden="1" x14ac:dyDescent="0.25">
      <c r="A5" t="s">
        <v>37</v>
      </c>
      <c r="B5" s="1" t="s">
        <v>118</v>
      </c>
      <c r="C5" s="1">
        <v>152.78508000000005</v>
      </c>
      <c r="D5" s="1">
        <v>160.35012000000003</v>
      </c>
      <c r="E5" s="1">
        <v>221.44500000000005</v>
      </c>
      <c r="F5" s="1">
        <v>235.80900000000003</v>
      </c>
      <c r="G5" s="1">
        <v>245.72016000000005</v>
      </c>
      <c r="H5" s="1">
        <v>263.36419200000006</v>
      </c>
      <c r="I5" s="1">
        <v>0</v>
      </c>
      <c r="J5" s="1">
        <v>0</v>
      </c>
    </row>
    <row r="6" spans="1:10" hidden="1" x14ac:dyDescent="0.25">
      <c r="A6" t="s">
        <v>37</v>
      </c>
      <c r="B6" s="1" t="s">
        <v>127</v>
      </c>
      <c r="C6" s="1">
        <v>169.16004000000001</v>
      </c>
      <c r="D6" s="1">
        <v>187.90506000000002</v>
      </c>
      <c r="E6" s="1">
        <v>227.43000000000004</v>
      </c>
      <c r="F6" s="1">
        <v>237.00600000000003</v>
      </c>
      <c r="G6" s="1">
        <v>305.5701600000001</v>
      </c>
      <c r="H6" s="1">
        <v>335.18419200000011</v>
      </c>
      <c r="I6" s="1">
        <v>0</v>
      </c>
      <c r="J6" s="1">
        <v>0</v>
      </c>
    </row>
    <row r="7" spans="1:10" hidden="1" x14ac:dyDescent="0.25">
      <c r="A7" t="s">
        <v>37</v>
      </c>
      <c r="B7" s="1" t="s">
        <v>100</v>
      </c>
      <c r="C7" s="1">
        <v>274.80600000000004</v>
      </c>
      <c r="D7" s="1">
        <v>297.65137499999997</v>
      </c>
      <c r="E7" s="1">
        <v>464.59743750000001</v>
      </c>
      <c r="F7" s="1">
        <v>487.76175000000006</v>
      </c>
      <c r="G7" s="1">
        <v>549.61200000000008</v>
      </c>
      <c r="H7" s="1">
        <v>628.03440000000023</v>
      </c>
      <c r="I7" s="1">
        <v>0</v>
      </c>
      <c r="J7" s="1">
        <v>0</v>
      </c>
    </row>
    <row r="8" spans="1:10" hidden="1" x14ac:dyDescent="0.25">
      <c r="A8" t="s">
        <v>37</v>
      </c>
      <c r="B8" s="1" t="s">
        <v>306</v>
      </c>
      <c r="C8" s="1">
        <v>180.30600000000004</v>
      </c>
      <c r="D8" s="1">
        <v>199.58400000000003</v>
      </c>
      <c r="E8" s="1">
        <v>244.069875</v>
      </c>
      <c r="F8" s="1">
        <v>257.41800000000001</v>
      </c>
      <c r="G8" s="1">
        <v>301.54950000000008</v>
      </c>
      <c r="H8" s="1">
        <v>330.35940000000005</v>
      </c>
      <c r="I8" s="1">
        <v>0</v>
      </c>
      <c r="J8" s="1">
        <v>0</v>
      </c>
    </row>
    <row r="9" spans="1:10" hidden="1" x14ac:dyDescent="0.25">
      <c r="A9" t="s">
        <v>37</v>
      </c>
      <c r="B9" s="1" t="s">
        <v>441</v>
      </c>
      <c r="C9" s="1">
        <v>180.30600000000004</v>
      </c>
      <c r="D9" s="1">
        <v>193.67775000000003</v>
      </c>
      <c r="E9" s="1">
        <v>255.88237500000005</v>
      </c>
      <c r="F9" s="1">
        <v>269.23050000000006</v>
      </c>
      <c r="G9" s="1">
        <v>313.36200000000008</v>
      </c>
      <c r="H9" s="1">
        <v>344.53440000000006</v>
      </c>
      <c r="I9" s="1">
        <v>0</v>
      </c>
      <c r="J9" s="1">
        <v>0</v>
      </c>
    </row>
    <row r="10" spans="1:10" hidden="1" x14ac:dyDescent="0.25">
      <c r="A10" t="s">
        <v>37</v>
      </c>
      <c r="B10" s="1" t="s">
        <v>468</v>
      </c>
      <c r="C10" s="1">
        <v>249.62174999999999</v>
      </c>
      <c r="D10" s="1">
        <v>256.30762500000003</v>
      </c>
      <c r="E10" s="1">
        <v>409.44487500000008</v>
      </c>
      <c r="F10" s="1">
        <v>316.48050000000006</v>
      </c>
      <c r="G10" s="1">
        <v>402.28649999999999</v>
      </c>
      <c r="H10" s="1">
        <v>451.24380000000002</v>
      </c>
      <c r="I10" s="1">
        <v>0</v>
      </c>
      <c r="J10" s="1">
        <v>0</v>
      </c>
    </row>
    <row r="11" spans="1:10" hidden="1" x14ac:dyDescent="0.25">
      <c r="A11" t="s">
        <v>37</v>
      </c>
      <c r="B11" s="1" t="s">
        <v>540</v>
      </c>
      <c r="C11" s="1">
        <v>166.93424999999999</v>
      </c>
      <c r="D11" s="1">
        <v>185.43262500000003</v>
      </c>
      <c r="E11" s="1">
        <v>261.78862500000002</v>
      </c>
      <c r="F11" s="1">
        <v>276.36525</v>
      </c>
      <c r="G11" s="1">
        <v>337.31774999999999</v>
      </c>
      <c r="H11" s="1">
        <v>373.28129999999999</v>
      </c>
      <c r="I11" s="1">
        <v>0</v>
      </c>
      <c r="J11" s="1">
        <v>0</v>
      </c>
    </row>
    <row r="12" spans="1:10" hidden="1" x14ac:dyDescent="0.25">
      <c r="A12" t="s">
        <v>37</v>
      </c>
      <c r="B12" s="1" t="s">
        <v>603</v>
      </c>
      <c r="C12" s="1">
        <v>165.375</v>
      </c>
      <c r="D12" s="1">
        <v>177.1875</v>
      </c>
      <c r="E12" s="1">
        <v>228.34743750000001</v>
      </c>
      <c r="F12" s="1">
        <v>245.60550000000003</v>
      </c>
      <c r="G12" s="1">
        <v>295.64325000000002</v>
      </c>
      <c r="H12" s="1">
        <v>323.27190000000002</v>
      </c>
      <c r="I12" s="1">
        <v>0</v>
      </c>
      <c r="J12" s="1">
        <v>0</v>
      </c>
    </row>
    <row r="13" spans="1:10" hidden="1" x14ac:dyDescent="0.25">
      <c r="A13" t="s">
        <v>37</v>
      </c>
      <c r="B13" s="1" t="s">
        <v>630</v>
      </c>
      <c r="C13" s="1">
        <v>180.30600000000004</v>
      </c>
      <c r="D13" s="1">
        <v>199.58400000000003</v>
      </c>
      <c r="E13" s="1">
        <v>244.069875</v>
      </c>
      <c r="F13" s="1">
        <v>257.41800000000001</v>
      </c>
      <c r="G13" s="1">
        <v>313.36200000000008</v>
      </c>
      <c r="H13" s="1">
        <v>344.53440000000006</v>
      </c>
      <c r="I13" s="1">
        <v>0</v>
      </c>
      <c r="J13" s="1">
        <v>0</v>
      </c>
    </row>
    <row r="14" spans="1:10" hidden="1" x14ac:dyDescent="0.25">
      <c r="A14" t="s">
        <v>37</v>
      </c>
      <c r="B14" s="1" t="s">
        <v>756</v>
      </c>
      <c r="C14" s="1">
        <v>274.80600000000004</v>
      </c>
      <c r="D14" s="1">
        <v>294.084</v>
      </c>
      <c r="E14" s="1">
        <v>438.97612500000002</v>
      </c>
      <c r="F14" s="1">
        <v>471.2715</v>
      </c>
      <c r="G14" s="1">
        <v>532.22400000000005</v>
      </c>
      <c r="H14" s="1">
        <v>607.16880000000003</v>
      </c>
      <c r="I14" s="1">
        <v>0</v>
      </c>
      <c r="J14" s="1">
        <v>0</v>
      </c>
    </row>
    <row r="15" spans="1:10" hidden="1" x14ac:dyDescent="0.25">
      <c r="A15" t="s">
        <v>333</v>
      </c>
      <c r="B15" s="1" t="s">
        <v>46</v>
      </c>
      <c r="C15" s="1">
        <v>322.05599999999998</v>
      </c>
      <c r="D15" s="1">
        <v>335.42775</v>
      </c>
      <c r="E15" s="1">
        <v>438.97612500000002</v>
      </c>
      <c r="F15" s="1">
        <v>458.23050000000006</v>
      </c>
      <c r="G15" s="1">
        <v>538.13025000000005</v>
      </c>
      <c r="H15" s="1">
        <v>614.25630000000001</v>
      </c>
      <c r="I15" s="1">
        <v>0</v>
      </c>
      <c r="J15" s="1">
        <v>0</v>
      </c>
    </row>
    <row r="16" spans="1:10" hidden="1" x14ac:dyDescent="0.25">
      <c r="A16" t="s">
        <v>333</v>
      </c>
      <c r="B16" s="1" t="s">
        <v>82</v>
      </c>
      <c r="C16" s="1">
        <v>153.5625</v>
      </c>
      <c r="D16" s="1">
        <v>161.83125000000001</v>
      </c>
      <c r="E16" s="1">
        <v>244.069875</v>
      </c>
      <c r="F16" s="1">
        <v>263.32425000000006</v>
      </c>
      <c r="G16" s="1">
        <v>301.54950000000008</v>
      </c>
      <c r="H16" s="1">
        <v>330.35940000000005</v>
      </c>
      <c r="I16" s="1">
        <v>0</v>
      </c>
      <c r="J16" s="1">
        <v>0</v>
      </c>
    </row>
    <row r="17" spans="1:10" hidden="1" x14ac:dyDescent="0.25">
      <c r="A17" t="s">
        <v>333</v>
      </c>
      <c r="B17" s="1" t="s">
        <v>100</v>
      </c>
      <c r="C17" s="1">
        <v>316.14975000000004</v>
      </c>
      <c r="D17" s="1">
        <v>327.18262500000003</v>
      </c>
      <c r="E17" s="1">
        <v>438.97612500000002</v>
      </c>
      <c r="F17" s="1">
        <v>452.32425000000006</v>
      </c>
      <c r="G17" s="1">
        <v>484.64325000000008</v>
      </c>
      <c r="H17" s="1">
        <v>550.07190000000003</v>
      </c>
      <c r="I17" s="1">
        <v>0</v>
      </c>
      <c r="J17" s="1">
        <v>0</v>
      </c>
    </row>
    <row r="18" spans="1:10" hidden="1" x14ac:dyDescent="0.25">
      <c r="A18" t="s">
        <v>333</v>
      </c>
      <c r="B18" s="1" t="s">
        <v>109</v>
      </c>
      <c r="C18" s="1">
        <v>202.37174999999999</v>
      </c>
      <c r="D18" s="1">
        <v>217.30275000000003</v>
      </c>
      <c r="E18" s="1">
        <v>255.88237500000005</v>
      </c>
      <c r="F18" s="1">
        <v>270.45900000000006</v>
      </c>
      <c r="G18" s="1">
        <v>301.54950000000008</v>
      </c>
      <c r="H18" s="1">
        <v>330.35940000000005</v>
      </c>
      <c r="I18" s="1">
        <v>0</v>
      </c>
      <c r="J18" s="1">
        <v>0</v>
      </c>
    </row>
    <row r="19" spans="1:10" hidden="1" x14ac:dyDescent="0.25">
      <c r="A19" t="s">
        <v>333</v>
      </c>
      <c r="B19" s="1" t="s">
        <v>127</v>
      </c>
      <c r="C19" s="1">
        <v>261.43425000000002</v>
      </c>
      <c r="D19" s="1">
        <v>274.02637499999997</v>
      </c>
      <c r="E19" s="1">
        <v>311.03493750000001</v>
      </c>
      <c r="F19" s="1">
        <v>334.19925000000006</v>
      </c>
      <c r="G19" s="1">
        <v>360.61200000000008</v>
      </c>
      <c r="H19" s="1">
        <v>401.23440000000005</v>
      </c>
      <c r="I19" s="1">
        <v>0</v>
      </c>
      <c r="J19" s="1">
        <v>0</v>
      </c>
    </row>
    <row r="20" spans="1:10" hidden="1" x14ac:dyDescent="0.25">
      <c r="A20" t="s">
        <v>333</v>
      </c>
      <c r="B20" s="1" t="s">
        <v>136</v>
      </c>
      <c r="C20" s="1">
        <v>192.11850000000004</v>
      </c>
      <c r="D20" s="1">
        <v>205.49025000000003</v>
      </c>
      <c r="E20" s="1">
        <v>255.88237500000005</v>
      </c>
      <c r="F20" s="1">
        <v>264.55275</v>
      </c>
      <c r="G20" s="1">
        <v>301.54950000000008</v>
      </c>
      <c r="H20" s="1">
        <v>330.35940000000005</v>
      </c>
      <c r="I20" s="1">
        <v>0</v>
      </c>
      <c r="J20" s="1">
        <v>0</v>
      </c>
    </row>
    <row r="21" spans="1:10" hidden="1" x14ac:dyDescent="0.25">
      <c r="A21" t="s">
        <v>333</v>
      </c>
      <c r="B21" s="1" t="s">
        <v>190</v>
      </c>
      <c r="C21" s="1">
        <v>121.2435</v>
      </c>
      <c r="D21" s="1">
        <v>128.709</v>
      </c>
      <c r="E21" s="1">
        <v>208.63237500000005</v>
      </c>
      <c r="F21" s="1">
        <v>221.98050000000001</v>
      </c>
      <c r="G21" s="1">
        <v>290.06774999999999</v>
      </c>
      <c r="H21" s="1">
        <v>316.58130000000006</v>
      </c>
      <c r="I21" s="1">
        <v>0</v>
      </c>
      <c r="J21" s="1">
        <v>0</v>
      </c>
    </row>
    <row r="22" spans="1:10" hidden="1" x14ac:dyDescent="0.25">
      <c r="A22" t="s">
        <v>333</v>
      </c>
      <c r="B22" s="1" t="s">
        <v>199</v>
      </c>
      <c r="C22" s="1">
        <v>316.14975000000004</v>
      </c>
      <c r="D22" s="1">
        <v>327.18262500000003</v>
      </c>
      <c r="E22" s="1">
        <v>214.538625</v>
      </c>
      <c r="F22" s="1">
        <v>229.11525000000003</v>
      </c>
      <c r="G22" s="1">
        <v>290.06774999999999</v>
      </c>
      <c r="H22" s="1">
        <v>316.58130000000006</v>
      </c>
      <c r="I22" s="1">
        <v>0</v>
      </c>
      <c r="J22" s="1">
        <v>0</v>
      </c>
    </row>
    <row r="23" spans="1:10" hidden="1" x14ac:dyDescent="0.25">
      <c r="A23" t="s">
        <v>333</v>
      </c>
      <c r="B23" s="1" t="s">
        <v>208</v>
      </c>
      <c r="C23" s="1">
        <v>133.05600000000001</v>
      </c>
      <c r="D23" s="1">
        <v>118.125</v>
      </c>
      <c r="E23" s="1">
        <v>147.65625</v>
      </c>
      <c r="F23" s="1">
        <v>129.9375</v>
      </c>
      <c r="G23" s="1">
        <v>225.09900000000002</v>
      </c>
      <c r="H23" s="1">
        <v>238.61880000000005</v>
      </c>
      <c r="I23" s="1">
        <v>0</v>
      </c>
      <c r="J23" s="1">
        <v>0</v>
      </c>
    </row>
    <row r="24" spans="1:10" hidden="1" x14ac:dyDescent="0.25">
      <c r="A24" t="s">
        <v>333</v>
      </c>
      <c r="B24" s="1" t="s">
        <v>235</v>
      </c>
      <c r="C24" s="1">
        <v>522.86850000000004</v>
      </c>
      <c r="D24" s="1">
        <v>533.90137500000003</v>
      </c>
      <c r="E24" s="1">
        <v>651.60112500000002</v>
      </c>
      <c r="F24" s="1">
        <v>666.17775000000006</v>
      </c>
      <c r="G24" s="1">
        <v>721.22400000000016</v>
      </c>
      <c r="H24" s="1">
        <v>833.9688000000001</v>
      </c>
      <c r="I24" s="1">
        <v>0</v>
      </c>
      <c r="J24" s="1">
        <v>0</v>
      </c>
    </row>
    <row r="25" spans="1:10" hidden="1" x14ac:dyDescent="0.25">
      <c r="A25" t="s">
        <v>333</v>
      </c>
      <c r="B25" s="1" t="s">
        <v>253</v>
      </c>
      <c r="C25" s="1">
        <v>107.87174999999999</v>
      </c>
      <c r="D25" s="1">
        <v>122.80275000000002</v>
      </c>
      <c r="E25" s="1">
        <v>137.757375</v>
      </c>
      <c r="F25" s="1">
        <v>146.42775000000003</v>
      </c>
      <c r="G25" s="1">
        <v>177.84899999999999</v>
      </c>
      <c r="H25" s="1">
        <v>202.74786000000003</v>
      </c>
      <c r="I25" s="1">
        <v>0</v>
      </c>
      <c r="J25" s="1">
        <v>0</v>
      </c>
    </row>
    <row r="26" spans="1:10" hidden="1" x14ac:dyDescent="0.25">
      <c r="A26" t="s">
        <v>333</v>
      </c>
      <c r="B26" s="1" t="s">
        <v>306</v>
      </c>
      <c r="C26" s="1">
        <v>107.87174999999999</v>
      </c>
      <c r="D26" s="1">
        <v>114.55762500000002</v>
      </c>
      <c r="E26" s="1">
        <v>192.90993750000001</v>
      </c>
      <c r="F26" s="1">
        <v>210.16800000000003</v>
      </c>
      <c r="G26" s="1">
        <v>278.25524999999999</v>
      </c>
      <c r="H26" s="1">
        <v>302.40629999999999</v>
      </c>
      <c r="I26" s="1">
        <v>0</v>
      </c>
      <c r="J26" s="1">
        <v>0</v>
      </c>
    </row>
    <row r="27" spans="1:10" hidden="1" x14ac:dyDescent="0.25">
      <c r="A27" t="s">
        <v>333</v>
      </c>
      <c r="B27" s="1" t="s">
        <v>315</v>
      </c>
      <c r="C27" s="1">
        <v>479.96550000000002</v>
      </c>
      <c r="D27" s="1">
        <v>506.70900000000006</v>
      </c>
      <c r="E27" s="1">
        <v>645.69487500000002</v>
      </c>
      <c r="F27" s="1">
        <v>666.17775000000006</v>
      </c>
      <c r="G27" s="1">
        <v>768.47400000000016</v>
      </c>
      <c r="H27" s="1">
        <v>890.66880000000026</v>
      </c>
      <c r="I27" s="1">
        <v>0</v>
      </c>
      <c r="J27" s="1">
        <v>0</v>
      </c>
    </row>
    <row r="28" spans="1:10" hidden="1" x14ac:dyDescent="0.25">
      <c r="A28" t="s">
        <v>333</v>
      </c>
      <c r="B28" s="1" t="s">
        <v>351</v>
      </c>
      <c r="C28" s="1">
        <v>296.87175000000002</v>
      </c>
      <c r="D28" s="1">
        <v>311.80275</v>
      </c>
      <c r="E28" s="1">
        <v>362.19487500000002</v>
      </c>
      <c r="F28" s="1">
        <v>381.44925000000006</v>
      </c>
      <c r="G28" s="1">
        <v>431.48699999999997</v>
      </c>
      <c r="H28" s="1">
        <v>486.28439999999989</v>
      </c>
      <c r="I28" s="1">
        <v>0</v>
      </c>
      <c r="J28" s="1">
        <v>0</v>
      </c>
    </row>
    <row r="29" spans="1:10" hidden="1" x14ac:dyDescent="0.25">
      <c r="A29" t="s">
        <v>333</v>
      </c>
      <c r="B29" s="1" t="s">
        <v>360</v>
      </c>
      <c r="C29" s="1">
        <v>296.87175000000002</v>
      </c>
      <c r="D29" s="1">
        <v>311.80275</v>
      </c>
      <c r="E29" s="1">
        <v>362.19487500000002</v>
      </c>
      <c r="F29" s="1">
        <v>381.44925000000006</v>
      </c>
      <c r="G29" s="1">
        <v>431.48699999999997</v>
      </c>
      <c r="H29" s="1">
        <v>486.28439999999989</v>
      </c>
      <c r="I29" s="1">
        <v>0</v>
      </c>
      <c r="J29" s="1">
        <v>0</v>
      </c>
    </row>
    <row r="30" spans="1:10" hidden="1" x14ac:dyDescent="0.25">
      <c r="A30" t="s">
        <v>333</v>
      </c>
      <c r="B30" s="1" t="s">
        <v>369</v>
      </c>
      <c r="C30" s="1">
        <v>463.80599999999998</v>
      </c>
      <c r="D30" s="1">
        <v>477.17775000000006</v>
      </c>
      <c r="E30" s="1">
        <v>576.81618749999996</v>
      </c>
      <c r="F30" s="1">
        <v>599.98050000000001</v>
      </c>
      <c r="G30" s="1">
        <v>650.34899999999993</v>
      </c>
      <c r="H30" s="1">
        <v>748.91879999999992</v>
      </c>
      <c r="I30" s="1">
        <v>0</v>
      </c>
      <c r="J30" s="1">
        <v>0</v>
      </c>
    </row>
    <row r="31" spans="1:10" hidden="1" x14ac:dyDescent="0.25">
      <c r="A31" t="s">
        <v>333</v>
      </c>
      <c r="B31" s="1" t="s">
        <v>387</v>
      </c>
      <c r="C31" s="1">
        <v>121.2435</v>
      </c>
      <c r="D31" s="1">
        <v>146.42775000000003</v>
      </c>
      <c r="E31" s="1">
        <v>179.101125</v>
      </c>
      <c r="F31" s="1">
        <v>168.82425000000001</v>
      </c>
      <c r="G31" s="1">
        <v>183.42450000000002</v>
      </c>
      <c r="H31" s="1">
        <v>199.28740806045349</v>
      </c>
      <c r="I31" s="1">
        <v>0</v>
      </c>
      <c r="J31" s="1">
        <v>0</v>
      </c>
    </row>
    <row r="32" spans="1:10" hidden="1" x14ac:dyDescent="0.25">
      <c r="A32" t="s">
        <v>333</v>
      </c>
      <c r="B32" s="1" t="s">
        <v>405</v>
      </c>
      <c r="C32" s="1">
        <v>115.33725</v>
      </c>
      <c r="D32" s="1">
        <v>122.80275000000002</v>
      </c>
      <c r="E32" s="1">
        <v>143.663625</v>
      </c>
      <c r="F32" s="1">
        <v>152.33400000000003</v>
      </c>
      <c r="G32" s="1">
        <v>171.61199999999999</v>
      </c>
      <c r="H32" s="1">
        <v>193.3296476426799</v>
      </c>
      <c r="I32" s="1">
        <v>0</v>
      </c>
      <c r="J32" s="1">
        <v>0</v>
      </c>
    </row>
    <row r="33" spans="1:10" hidden="1" x14ac:dyDescent="0.25">
      <c r="A33" t="s">
        <v>333</v>
      </c>
      <c r="B33" s="1" t="s">
        <v>450</v>
      </c>
      <c r="C33" s="1">
        <v>239.36849999999998</v>
      </c>
      <c r="D33" s="1">
        <v>250.401375</v>
      </c>
      <c r="E33" s="1">
        <v>311.03493750000001</v>
      </c>
      <c r="F33" s="1">
        <v>328.29300000000001</v>
      </c>
      <c r="G33" s="1">
        <v>408.19275000000005</v>
      </c>
      <c r="H33" s="1">
        <v>458.33130000000011</v>
      </c>
      <c r="I33" s="1">
        <v>0</v>
      </c>
      <c r="J33" s="1">
        <v>0</v>
      </c>
    </row>
    <row r="34" spans="1:10" hidden="1" x14ac:dyDescent="0.25">
      <c r="A34" t="s">
        <v>333</v>
      </c>
      <c r="B34" s="1" t="s">
        <v>540</v>
      </c>
      <c r="C34" s="1">
        <v>192.11850000000004</v>
      </c>
      <c r="D34" s="1">
        <v>205.49025000000003</v>
      </c>
      <c r="E34" s="1">
        <v>244.069875</v>
      </c>
      <c r="F34" s="1">
        <v>263.32425000000006</v>
      </c>
      <c r="G34" s="1">
        <v>295.97399999999999</v>
      </c>
      <c r="H34" s="1">
        <v>323.66879999999998</v>
      </c>
      <c r="I34" s="1">
        <v>0</v>
      </c>
      <c r="J34" s="1">
        <v>0</v>
      </c>
    </row>
    <row r="35" spans="1:10" hidden="1" x14ac:dyDescent="0.25">
      <c r="A35" t="s">
        <v>333</v>
      </c>
      <c r="B35" s="1" t="s">
        <v>603</v>
      </c>
      <c r="C35" s="1">
        <v>166.93424999999999</v>
      </c>
      <c r="D35" s="1">
        <v>181.86525000000003</v>
      </c>
      <c r="E35" s="1">
        <v>208.63237500000005</v>
      </c>
      <c r="F35" s="1">
        <v>227.88675000000003</v>
      </c>
      <c r="G35" s="1">
        <v>272.34900000000005</v>
      </c>
      <c r="H35" s="1">
        <v>295.31880000000007</v>
      </c>
      <c r="I35" s="1">
        <v>0</v>
      </c>
      <c r="J35" s="1">
        <v>0</v>
      </c>
    </row>
    <row r="36" spans="1:10" hidden="1" x14ac:dyDescent="0.25">
      <c r="A36" t="s">
        <v>333</v>
      </c>
      <c r="B36" s="1" t="s">
        <v>630</v>
      </c>
      <c r="C36" s="1">
        <v>202.37174999999999</v>
      </c>
      <c r="D36" s="1">
        <v>217.30275000000003</v>
      </c>
      <c r="E36" s="1">
        <v>244.069875</v>
      </c>
      <c r="F36" s="1">
        <v>263.32425000000006</v>
      </c>
      <c r="G36" s="1">
        <v>301.54950000000008</v>
      </c>
      <c r="H36" s="1">
        <v>330.35940000000005</v>
      </c>
      <c r="I36" s="1">
        <v>0</v>
      </c>
      <c r="J36" s="1">
        <v>0</v>
      </c>
    </row>
    <row r="37" spans="1:10" hidden="1" x14ac:dyDescent="0.25">
      <c r="A37" t="s">
        <v>333</v>
      </c>
      <c r="B37" s="1" t="s">
        <v>648</v>
      </c>
      <c r="C37" s="1">
        <v>180.30600000000004</v>
      </c>
      <c r="D37" s="1">
        <v>193.67775000000003</v>
      </c>
      <c r="E37" s="1">
        <v>275.59743750000001</v>
      </c>
      <c r="F37" s="1">
        <v>288.17775</v>
      </c>
      <c r="G37" s="1">
        <v>331.41149999999999</v>
      </c>
      <c r="H37" s="1">
        <v>366.19380000000001</v>
      </c>
      <c r="I37" s="1">
        <v>0</v>
      </c>
      <c r="J37" s="1">
        <v>0</v>
      </c>
    </row>
    <row r="38" spans="1:10" hidden="1" x14ac:dyDescent="0.25">
      <c r="A38" t="s">
        <v>333</v>
      </c>
      <c r="B38" s="1" t="s">
        <v>657</v>
      </c>
      <c r="C38" s="1">
        <v>202.37174999999999</v>
      </c>
      <c r="D38" s="1">
        <v>217.30275000000003</v>
      </c>
      <c r="E38" s="1">
        <v>249.97612499999997</v>
      </c>
      <c r="F38" s="1">
        <v>258.6465</v>
      </c>
      <c r="G38" s="1">
        <v>396.38024999999999</v>
      </c>
      <c r="H38" s="1">
        <v>444.15629999999999</v>
      </c>
      <c r="I38" s="1">
        <v>0</v>
      </c>
      <c r="J38" s="1">
        <v>0</v>
      </c>
    </row>
    <row r="39" spans="1:10" hidden="1" x14ac:dyDescent="0.25">
      <c r="A39" t="s">
        <v>333</v>
      </c>
      <c r="B39" s="1" t="s">
        <v>684</v>
      </c>
      <c r="C39" s="1">
        <v>274.80600000000004</v>
      </c>
      <c r="D39" s="1">
        <v>288.17775</v>
      </c>
      <c r="E39" s="1">
        <v>387.81618750000001</v>
      </c>
      <c r="F39" s="1">
        <v>412.209</v>
      </c>
      <c r="G39" s="1">
        <v>484.64325000000008</v>
      </c>
      <c r="H39" s="1">
        <v>550.07190000000003</v>
      </c>
      <c r="I39" s="1">
        <v>0</v>
      </c>
      <c r="J39" s="1">
        <v>0</v>
      </c>
    </row>
    <row r="40" spans="1:10" hidden="1" x14ac:dyDescent="0.25">
      <c r="A40" t="s">
        <v>333</v>
      </c>
      <c r="B40" s="1" t="s">
        <v>702</v>
      </c>
      <c r="C40" s="1">
        <v>322.05599999999998</v>
      </c>
      <c r="D40" s="1">
        <v>335.42775</v>
      </c>
      <c r="E40" s="1">
        <v>438.97612500000002</v>
      </c>
      <c r="F40" s="1">
        <v>458.23050000000006</v>
      </c>
      <c r="G40" s="1">
        <v>538.13025000000005</v>
      </c>
      <c r="H40" s="1">
        <v>614.25630000000001</v>
      </c>
      <c r="I40" s="1">
        <v>0</v>
      </c>
      <c r="J40" s="1">
        <v>0</v>
      </c>
    </row>
    <row r="41" spans="1:10" hidden="1" x14ac:dyDescent="0.25">
      <c r="A41" t="s">
        <v>333</v>
      </c>
      <c r="B41" s="1" t="s">
        <v>747</v>
      </c>
      <c r="C41" s="1">
        <v>137.40300000000002</v>
      </c>
      <c r="D41" s="1">
        <v>152.33400000000003</v>
      </c>
      <c r="E41" s="1">
        <v>228.34743750000001</v>
      </c>
      <c r="F41" s="1">
        <v>245.60550000000003</v>
      </c>
      <c r="G41" s="1">
        <v>307.45575000000008</v>
      </c>
      <c r="H41" s="1">
        <v>337.44690000000008</v>
      </c>
      <c r="I41" s="1">
        <v>0</v>
      </c>
      <c r="J41" s="1">
        <v>0</v>
      </c>
    </row>
    <row r="42" spans="1:10" hidden="1" x14ac:dyDescent="0.25">
      <c r="A42" t="s">
        <v>333</v>
      </c>
      <c r="B42" s="1" t="s">
        <v>756</v>
      </c>
      <c r="C42" s="1">
        <v>231.90299999999999</v>
      </c>
      <c r="D42" s="1">
        <v>246.834</v>
      </c>
      <c r="E42" s="1">
        <v>344.47612500000002</v>
      </c>
      <c r="F42" s="1">
        <v>369.63675000000006</v>
      </c>
      <c r="G42" s="1">
        <v>408.19275000000005</v>
      </c>
      <c r="H42" s="1">
        <v>458.33130000000011</v>
      </c>
      <c r="I42" s="1">
        <v>0</v>
      </c>
      <c r="J42" s="1">
        <v>0</v>
      </c>
    </row>
    <row r="43" spans="1:10" hidden="1" x14ac:dyDescent="0.25">
      <c r="A43" t="s">
        <v>333</v>
      </c>
      <c r="B43" s="1" t="s">
        <v>765</v>
      </c>
      <c r="C43" s="1">
        <v>544.93425000000002</v>
      </c>
      <c r="D43" s="1">
        <v>571.67775000000006</v>
      </c>
      <c r="E43" s="1">
        <v>712.65993750000018</v>
      </c>
      <c r="F43" s="1">
        <v>737.05275000000006</v>
      </c>
      <c r="G43" s="1">
        <v>839.34899999999993</v>
      </c>
      <c r="H43" s="1">
        <v>975.71879999999987</v>
      </c>
      <c r="I43" s="1">
        <v>0</v>
      </c>
      <c r="J43" s="1">
        <v>0</v>
      </c>
    </row>
    <row r="44" spans="1:10" hidden="1" x14ac:dyDescent="0.25">
      <c r="A44" t="s">
        <v>333</v>
      </c>
      <c r="B44" s="1" t="s">
        <v>792</v>
      </c>
      <c r="C44" s="1">
        <v>344.12174999999991</v>
      </c>
      <c r="D44" s="1">
        <v>359.05275</v>
      </c>
      <c r="E44" s="1">
        <v>450.78862500000002</v>
      </c>
      <c r="F44" s="1">
        <v>465.36525000000006</v>
      </c>
      <c r="G44" s="1">
        <v>502.36199999999997</v>
      </c>
      <c r="H44" s="1">
        <v>571.33439999999996</v>
      </c>
      <c r="I44" s="1">
        <v>0</v>
      </c>
      <c r="J44" s="1">
        <v>0</v>
      </c>
    </row>
    <row r="45" spans="1:10" hidden="1" x14ac:dyDescent="0.25">
      <c r="A45" t="s">
        <v>333</v>
      </c>
      <c r="B45" s="1" t="s">
        <v>819</v>
      </c>
      <c r="C45" s="1">
        <v>286.61849999999998</v>
      </c>
      <c r="D45" s="1">
        <v>297.65137499999997</v>
      </c>
      <c r="E45" s="1">
        <v>403.53862499999997</v>
      </c>
      <c r="F45" s="1">
        <v>424.02150000000006</v>
      </c>
      <c r="G45" s="1">
        <v>496.45575000000008</v>
      </c>
      <c r="H45" s="1">
        <v>564.2469000000001</v>
      </c>
      <c r="I45" s="1">
        <v>0</v>
      </c>
      <c r="J45" s="1">
        <v>0</v>
      </c>
    </row>
    <row r="46" spans="1:10" hidden="1" x14ac:dyDescent="0.25">
      <c r="A46" t="s">
        <v>333</v>
      </c>
      <c r="B46" s="1" t="s">
        <v>828</v>
      </c>
      <c r="C46" s="1">
        <v>221.64975000000004</v>
      </c>
      <c r="D46" s="1">
        <v>232.68262500000003</v>
      </c>
      <c r="E46" s="1">
        <v>285.41362500000002</v>
      </c>
      <c r="F46" s="1">
        <v>298.76175000000006</v>
      </c>
      <c r="G46" s="1">
        <v>360.61200000000008</v>
      </c>
      <c r="H46" s="1">
        <v>401.23440000000005</v>
      </c>
      <c r="I46" s="1">
        <v>0</v>
      </c>
      <c r="J46" s="1">
        <v>0</v>
      </c>
    </row>
    <row r="47" spans="1:10" hidden="1" x14ac:dyDescent="0.25">
      <c r="A47" t="s">
        <v>333</v>
      </c>
      <c r="B47" s="1" t="s">
        <v>855</v>
      </c>
      <c r="C47" s="1">
        <v>202.37174999999999</v>
      </c>
      <c r="D47" s="1">
        <v>217.30275000000003</v>
      </c>
      <c r="E47" s="1">
        <v>255.88237500000005</v>
      </c>
      <c r="F47" s="1">
        <v>270.45900000000006</v>
      </c>
      <c r="G47" s="1">
        <v>301.54950000000008</v>
      </c>
      <c r="H47" s="1">
        <v>330.35940000000005</v>
      </c>
      <c r="I47" s="1">
        <v>0</v>
      </c>
      <c r="J47" s="1">
        <v>0</v>
      </c>
    </row>
    <row r="48" spans="1:10" hidden="1" x14ac:dyDescent="0.25">
      <c r="A48" t="s">
        <v>333</v>
      </c>
      <c r="B48" s="1" t="s">
        <v>882</v>
      </c>
      <c r="C48" s="1">
        <v>268.89975000000004</v>
      </c>
      <c r="D48" s="1">
        <v>279.93262499999997</v>
      </c>
      <c r="E48" s="1">
        <v>379.91362500000002</v>
      </c>
      <c r="F48" s="1">
        <v>405.07425000000006</v>
      </c>
      <c r="G48" s="1">
        <v>437.39325000000008</v>
      </c>
      <c r="H48" s="1">
        <v>493.37190000000004</v>
      </c>
      <c r="I48" s="1">
        <v>0</v>
      </c>
      <c r="J48" s="1">
        <v>0</v>
      </c>
    </row>
    <row r="49" spans="1:10" hidden="1" x14ac:dyDescent="0.25">
      <c r="A49" t="s">
        <v>46</v>
      </c>
      <c r="B49" s="1" t="s">
        <v>118</v>
      </c>
      <c r="C49" s="1">
        <v>0</v>
      </c>
      <c r="D49" s="1">
        <v>337.54455000000002</v>
      </c>
      <c r="E49" s="1">
        <v>410.70609562500005</v>
      </c>
      <c r="F49" s="1">
        <v>431.61552000000012</v>
      </c>
      <c r="G49" s="1">
        <v>520.34156999999993</v>
      </c>
      <c r="H49" s="1">
        <v>592.90988399999981</v>
      </c>
      <c r="I49" s="1">
        <v>0</v>
      </c>
      <c r="J49" s="1">
        <v>0</v>
      </c>
    </row>
    <row r="50" spans="1:10" hidden="1" x14ac:dyDescent="0.25">
      <c r="A50" t="s">
        <v>46</v>
      </c>
      <c r="B50" s="1" t="s">
        <v>136</v>
      </c>
      <c r="C50" s="1">
        <v>0</v>
      </c>
      <c r="D50" s="1">
        <v>212.625</v>
      </c>
      <c r="E50" s="1">
        <v>236.25</v>
      </c>
      <c r="F50" s="1">
        <v>253.96875</v>
      </c>
      <c r="G50" s="1">
        <v>295.3125</v>
      </c>
      <c r="H50" s="1">
        <v>322.875</v>
      </c>
      <c r="I50" s="1">
        <v>0</v>
      </c>
      <c r="J50" s="1">
        <v>0</v>
      </c>
    </row>
    <row r="51" spans="1:10" x14ac:dyDescent="0.25">
      <c r="A51" t="s">
        <v>46</v>
      </c>
      <c r="B51" s="1" t="s">
        <v>37</v>
      </c>
      <c r="C51" s="1">
        <v>0</v>
      </c>
      <c r="D51" s="1">
        <v>283.79767500000003</v>
      </c>
      <c r="E51" s="1">
        <v>346.05356625000002</v>
      </c>
      <c r="F51" s="1">
        <v>364.36176</v>
      </c>
      <c r="G51" s="1">
        <v>441.07969499999996</v>
      </c>
      <c r="H51" s="1">
        <v>497.79563400000001</v>
      </c>
      <c r="I51" s="1">
        <v>0</v>
      </c>
      <c r="J51" s="1">
        <v>0</v>
      </c>
    </row>
    <row r="52" spans="1:10" hidden="1" x14ac:dyDescent="0.25">
      <c r="A52" t="s">
        <v>46</v>
      </c>
      <c r="B52" s="1" t="s">
        <v>333</v>
      </c>
      <c r="C52" s="1">
        <v>0</v>
      </c>
      <c r="D52" s="1">
        <v>312.73830000000004</v>
      </c>
      <c r="E52" s="1">
        <v>386.96297062500003</v>
      </c>
      <c r="F52" s="1">
        <v>416.49552000000006</v>
      </c>
      <c r="G52" s="1">
        <v>502.52926500000001</v>
      </c>
      <c r="H52" s="1">
        <v>571.5351179999999</v>
      </c>
      <c r="I52" s="1">
        <v>0</v>
      </c>
      <c r="J52" s="1">
        <v>0</v>
      </c>
    </row>
    <row r="53" spans="1:10" hidden="1" x14ac:dyDescent="0.25">
      <c r="A53" t="s">
        <v>46</v>
      </c>
      <c r="B53" s="1" t="s">
        <v>351</v>
      </c>
      <c r="C53" s="1">
        <v>0</v>
      </c>
      <c r="D53" s="1">
        <v>88.59375</v>
      </c>
      <c r="E53" s="1">
        <v>95.681250000000006</v>
      </c>
      <c r="F53" s="1">
        <v>101.58750000000001</v>
      </c>
      <c r="G53" s="1">
        <v>107.49375000000001</v>
      </c>
      <c r="H53" s="1">
        <v>113.74338662790699</v>
      </c>
      <c r="I53" s="1">
        <v>0</v>
      </c>
      <c r="J53" s="1">
        <v>0</v>
      </c>
    </row>
    <row r="54" spans="1:10" hidden="1" x14ac:dyDescent="0.25">
      <c r="A54" t="s">
        <v>46</v>
      </c>
      <c r="B54" s="1" t="s">
        <v>360</v>
      </c>
      <c r="C54" s="1">
        <v>0</v>
      </c>
      <c r="D54" s="1">
        <v>402.05733750000002</v>
      </c>
      <c r="E54" s="1">
        <v>493.80703312499998</v>
      </c>
      <c r="F54" s="1">
        <v>522.33551999999997</v>
      </c>
      <c r="G54" s="1">
        <v>621.4220775</v>
      </c>
      <c r="H54" s="1">
        <v>714.20649300000002</v>
      </c>
      <c r="I54" s="1">
        <v>0</v>
      </c>
      <c r="J54" s="1">
        <v>0</v>
      </c>
    </row>
    <row r="55" spans="1:10" hidden="1" x14ac:dyDescent="0.25">
      <c r="A55" t="s">
        <v>46</v>
      </c>
      <c r="B55" s="1" t="s">
        <v>405</v>
      </c>
      <c r="C55" s="1">
        <v>0</v>
      </c>
      <c r="D55" s="1">
        <v>296.20080000000002</v>
      </c>
      <c r="E55" s="1">
        <v>365.83950375000001</v>
      </c>
      <c r="F55" s="1">
        <v>386.25552000000005</v>
      </c>
      <c r="G55" s="1">
        <v>473.70676500000002</v>
      </c>
      <c r="H55" s="1">
        <v>536.94811800000002</v>
      </c>
      <c r="I55" s="1">
        <v>0</v>
      </c>
      <c r="J55" s="1">
        <v>0</v>
      </c>
    </row>
    <row r="56" spans="1:10" hidden="1" x14ac:dyDescent="0.25">
      <c r="A56" t="s">
        <v>46</v>
      </c>
      <c r="B56" s="1" t="s">
        <v>450</v>
      </c>
      <c r="C56" s="1">
        <v>0</v>
      </c>
      <c r="D56" s="1">
        <v>153.5625</v>
      </c>
      <c r="E56" s="1">
        <v>189</v>
      </c>
      <c r="F56" s="1">
        <v>212.625</v>
      </c>
      <c r="G56" s="1">
        <v>265.78125</v>
      </c>
      <c r="H56" s="1">
        <v>287.4375</v>
      </c>
      <c r="I56" s="1">
        <v>0</v>
      </c>
      <c r="J56" s="1">
        <v>0</v>
      </c>
    </row>
    <row r="57" spans="1:10" hidden="1" x14ac:dyDescent="0.25">
      <c r="A57" t="s">
        <v>46</v>
      </c>
      <c r="B57" s="1" t="s">
        <v>639</v>
      </c>
      <c r="C57" s="1">
        <v>0</v>
      </c>
      <c r="D57" s="1">
        <v>129.9375</v>
      </c>
      <c r="E57" s="1">
        <v>147.65625</v>
      </c>
      <c r="F57" s="1">
        <v>159.46875</v>
      </c>
      <c r="G57" s="1">
        <v>177.1875</v>
      </c>
      <c r="H57" s="1">
        <v>196.875</v>
      </c>
      <c r="I57" s="1">
        <v>0</v>
      </c>
      <c r="J57" s="1">
        <v>0</v>
      </c>
    </row>
    <row r="58" spans="1:10" hidden="1" x14ac:dyDescent="0.25">
      <c r="A58" t="s">
        <v>46</v>
      </c>
      <c r="B58" s="1" t="s">
        <v>657</v>
      </c>
      <c r="C58" s="1">
        <v>0</v>
      </c>
      <c r="D58" s="1">
        <v>135.84375</v>
      </c>
      <c r="E58" s="1">
        <v>153.5625</v>
      </c>
      <c r="F58" s="1">
        <v>159.46875</v>
      </c>
      <c r="G58" s="1">
        <v>171.28125</v>
      </c>
      <c r="H58" s="1">
        <v>183.96875</v>
      </c>
      <c r="I58" s="1">
        <v>0</v>
      </c>
      <c r="J58" s="1">
        <v>0</v>
      </c>
    </row>
    <row r="59" spans="1:10" hidden="1" x14ac:dyDescent="0.25">
      <c r="A59" t="s">
        <v>46</v>
      </c>
      <c r="B59" s="1" t="s">
        <v>702</v>
      </c>
      <c r="C59" s="1">
        <v>0</v>
      </c>
      <c r="D59" s="1">
        <v>147.65625</v>
      </c>
      <c r="E59" s="1">
        <v>165.375</v>
      </c>
      <c r="F59" s="1">
        <v>177.1875</v>
      </c>
      <c r="G59" s="1">
        <v>212.625</v>
      </c>
      <c r="H59" s="1">
        <v>223.65</v>
      </c>
      <c r="I59" s="1">
        <v>0</v>
      </c>
      <c r="J59" s="1">
        <v>0</v>
      </c>
    </row>
    <row r="60" spans="1:10" hidden="1" x14ac:dyDescent="0.25">
      <c r="A60" t="s">
        <v>46</v>
      </c>
      <c r="B60" s="1" t="s">
        <v>819</v>
      </c>
      <c r="C60" s="1">
        <v>0</v>
      </c>
      <c r="D60" s="1">
        <v>118.125</v>
      </c>
      <c r="E60" s="1">
        <v>141.75</v>
      </c>
      <c r="F60" s="1">
        <v>200.8125</v>
      </c>
      <c r="G60" s="1">
        <v>248.0625</v>
      </c>
      <c r="H60" s="1">
        <v>266.17499999999995</v>
      </c>
      <c r="I60" s="1">
        <v>0</v>
      </c>
      <c r="J60" s="1">
        <v>0</v>
      </c>
    </row>
    <row r="61" spans="1:10" hidden="1" x14ac:dyDescent="0.25">
      <c r="A61" t="s">
        <v>46</v>
      </c>
      <c r="B61" s="1" t="s">
        <v>846</v>
      </c>
      <c r="C61" s="1">
        <v>0</v>
      </c>
      <c r="D61" s="1">
        <v>304.46955000000003</v>
      </c>
      <c r="E61" s="1">
        <v>383.00578312500005</v>
      </c>
      <c r="F61" s="1">
        <v>408.93552</v>
      </c>
      <c r="G61" s="1">
        <v>502.52926500000001</v>
      </c>
      <c r="H61" s="1">
        <v>571.5351179999999</v>
      </c>
      <c r="I61" s="1">
        <v>0</v>
      </c>
      <c r="J61" s="1">
        <v>0</v>
      </c>
    </row>
    <row r="62" spans="1:10" hidden="1" x14ac:dyDescent="0.25">
      <c r="A62" t="s">
        <v>46</v>
      </c>
      <c r="B62" s="1" t="s">
        <v>909</v>
      </c>
      <c r="C62" s="1">
        <v>0</v>
      </c>
      <c r="D62" s="1">
        <v>304.46955000000003</v>
      </c>
      <c r="E62" s="1">
        <v>383.00578312500005</v>
      </c>
      <c r="F62" s="1">
        <v>408.93552</v>
      </c>
      <c r="G62" s="1">
        <v>487.91625749999992</v>
      </c>
      <c r="H62" s="1">
        <v>553.99950899999988</v>
      </c>
      <c r="I62" s="1">
        <v>0</v>
      </c>
      <c r="J62" s="1">
        <v>0</v>
      </c>
    </row>
    <row r="63" spans="1:10" x14ac:dyDescent="0.25">
      <c r="A63" t="s">
        <v>37</v>
      </c>
      <c r="B63" s="1" t="s">
        <v>37</v>
      </c>
      <c r="C63" s="1">
        <v>70.98</v>
      </c>
      <c r="D63" s="1">
        <v>76.891500000000008</v>
      </c>
      <c r="E63" s="1">
        <v>85.176000000000002</v>
      </c>
      <c r="F63" s="1">
        <v>89.90100000000001</v>
      </c>
      <c r="G63" s="1">
        <v>112.7175</v>
      </c>
      <c r="H63" s="1">
        <v>128.49795</v>
      </c>
      <c r="I63" s="1">
        <v>0</v>
      </c>
      <c r="J63" s="1">
        <v>0</v>
      </c>
    </row>
    <row r="64" spans="1:10" hidden="1" x14ac:dyDescent="0.25">
      <c r="A64" t="s">
        <v>37</v>
      </c>
      <c r="B64" s="1" t="s">
        <v>387</v>
      </c>
      <c r="C64" s="1">
        <v>112.28209440000001</v>
      </c>
      <c r="D64" s="1">
        <v>125.29650000000001</v>
      </c>
      <c r="E64" s="1">
        <v>168.5985</v>
      </c>
      <c r="F64" s="1">
        <v>176.97750000000002</v>
      </c>
      <c r="G64" s="1">
        <v>230.3139888</v>
      </c>
      <c r="H64" s="1">
        <v>244.87678656</v>
      </c>
      <c r="I64" s="1">
        <v>0</v>
      </c>
      <c r="J64" s="1">
        <v>0</v>
      </c>
    </row>
    <row r="65" spans="1:10" hidden="1" x14ac:dyDescent="0.25">
      <c r="A65" t="s">
        <v>37</v>
      </c>
      <c r="B65" s="1" t="s">
        <v>405</v>
      </c>
      <c r="C65" s="1">
        <v>88.168500000000009</v>
      </c>
      <c r="D65" s="1">
        <v>99.172500000000014</v>
      </c>
      <c r="E65" s="1">
        <v>120.036</v>
      </c>
      <c r="F65" s="1">
        <v>127.48050000000001</v>
      </c>
      <c r="G65" s="1">
        <v>166.03649999999999</v>
      </c>
      <c r="H65" s="1">
        <v>189.28161000000003</v>
      </c>
      <c r="I65" s="1">
        <v>0</v>
      </c>
      <c r="J65" s="1">
        <v>0</v>
      </c>
    </row>
    <row r="66" spans="1:10" hidden="1" x14ac:dyDescent="0.25">
      <c r="A66" t="s">
        <v>37</v>
      </c>
      <c r="B66" s="1" t="s">
        <v>432</v>
      </c>
      <c r="C66" s="1">
        <v>141.30900000000003</v>
      </c>
      <c r="D66" s="1">
        <v>128.92950000000002</v>
      </c>
      <c r="E66" s="1">
        <v>197.27867565000003</v>
      </c>
      <c r="F66" s="1">
        <v>196.791</v>
      </c>
      <c r="G66" s="1">
        <v>240.6117672</v>
      </c>
      <c r="H66" s="1">
        <v>257.23412064000001</v>
      </c>
      <c r="I66" s="1">
        <v>0</v>
      </c>
      <c r="J66" s="1">
        <v>0</v>
      </c>
    </row>
    <row r="67" spans="1:10" hidden="1" x14ac:dyDescent="0.25">
      <c r="A67" t="s">
        <v>37</v>
      </c>
      <c r="B67" s="1" t="s">
        <v>675</v>
      </c>
      <c r="C67" s="1">
        <v>118.76474400000002</v>
      </c>
      <c r="D67" s="1">
        <v>131.86311600000002</v>
      </c>
      <c r="E67" s="1">
        <v>181.22500200000005</v>
      </c>
      <c r="F67" s="1">
        <v>194.30023200000002</v>
      </c>
      <c r="G67" s="1">
        <v>232.06797600000004</v>
      </c>
      <c r="H67" s="1">
        <v>246.98157120000005</v>
      </c>
      <c r="I67" s="1">
        <v>0</v>
      </c>
      <c r="J67" s="1">
        <v>0</v>
      </c>
    </row>
    <row r="68" spans="1:10" hidden="1" x14ac:dyDescent="0.25">
      <c r="A68" t="s">
        <v>37</v>
      </c>
      <c r="B68" s="1" t="s">
        <v>738</v>
      </c>
      <c r="C68" s="1">
        <v>151.65150000000006</v>
      </c>
      <c r="D68" s="1">
        <v>157.48425000000006</v>
      </c>
      <c r="E68" s="1">
        <v>241.03256100000004</v>
      </c>
      <c r="F68" s="1">
        <v>260.04732600000006</v>
      </c>
      <c r="G68" s="1">
        <v>303.62963400000001</v>
      </c>
      <c r="H68" s="1">
        <v>332.85556080000003</v>
      </c>
      <c r="I68" s="1">
        <v>0</v>
      </c>
      <c r="J68" s="1">
        <v>0</v>
      </c>
    </row>
    <row r="69" spans="1:10" hidden="1" x14ac:dyDescent="0.25">
      <c r="A69" t="s">
        <v>37</v>
      </c>
      <c r="B69" s="1" t="s">
        <v>828</v>
      </c>
      <c r="C69" s="1">
        <v>176.13892799999999</v>
      </c>
      <c r="D69" s="1">
        <v>161.55300000000005</v>
      </c>
      <c r="E69" s="1">
        <v>238.42914900000005</v>
      </c>
      <c r="F69" s="1">
        <v>251.46878399999997</v>
      </c>
      <c r="G69" s="1">
        <v>289.133712</v>
      </c>
      <c r="H69" s="1">
        <v>315.46045439999995</v>
      </c>
      <c r="I69" s="1">
        <v>0</v>
      </c>
      <c r="J69" s="1">
        <v>0</v>
      </c>
    </row>
    <row r="70" spans="1:10" hidden="1" x14ac:dyDescent="0.25">
      <c r="A70" t="s">
        <v>37</v>
      </c>
      <c r="B70" s="1" t="s">
        <v>846</v>
      </c>
      <c r="C70" s="1">
        <v>100.59367500000002</v>
      </c>
      <c r="D70" s="1">
        <v>110.06131500000002</v>
      </c>
      <c r="E70" s="1">
        <v>130.18005000000005</v>
      </c>
      <c r="F70" s="1">
        <v>124.26277500000003</v>
      </c>
      <c r="G70" s="1">
        <v>213.68463480000005</v>
      </c>
      <c r="H70" s="1">
        <v>224.92156176000009</v>
      </c>
      <c r="I70" s="1">
        <v>0</v>
      </c>
      <c r="J70" s="1">
        <v>0</v>
      </c>
    </row>
    <row r="71" spans="1:10" hidden="1" x14ac:dyDescent="0.25">
      <c r="A71" t="s">
        <v>37</v>
      </c>
      <c r="B71" s="1" t="s">
        <v>855</v>
      </c>
      <c r="C71" s="1">
        <v>192.97236000000004</v>
      </c>
      <c r="D71" s="1">
        <v>218.26854000000009</v>
      </c>
      <c r="E71" s="1">
        <v>257.01963000000006</v>
      </c>
      <c r="F71" s="1">
        <v>270.42707999999999</v>
      </c>
      <c r="G71" s="1">
        <v>314.75471999999991</v>
      </c>
      <c r="H71" s="1">
        <v>346.2056639999999</v>
      </c>
      <c r="I71" s="1">
        <v>0</v>
      </c>
      <c r="J71" s="1">
        <v>0</v>
      </c>
    </row>
    <row r="72" spans="1:10" hidden="1" x14ac:dyDescent="0.25">
      <c r="A72" t="s">
        <v>37</v>
      </c>
      <c r="B72" s="1" t="s">
        <v>864</v>
      </c>
      <c r="C72" s="1">
        <v>184.68582720000003</v>
      </c>
      <c r="D72" s="1">
        <v>199.61948160000006</v>
      </c>
      <c r="E72" s="1">
        <v>206.75550000000004</v>
      </c>
      <c r="F72" s="1">
        <v>212.66280000000003</v>
      </c>
      <c r="G72" s="1">
        <v>301.60310880000003</v>
      </c>
      <c r="H72" s="1">
        <v>330.42373056000002</v>
      </c>
      <c r="I72" s="1">
        <v>0</v>
      </c>
      <c r="J72" s="1">
        <v>0</v>
      </c>
    </row>
    <row r="73" spans="1:10" hidden="1" x14ac:dyDescent="0.25">
      <c r="A73" t="s">
        <v>37</v>
      </c>
      <c r="B73" s="1" t="s">
        <v>882</v>
      </c>
      <c r="C73" s="1">
        <v>343.35703500000005</v>
      </c>
      <c r="D73" s="1">
        <v>358.25485500000002</v>
      </c>
      <c r="E73" s="1">
        <v>443.89374750000013</v>
      </c>
      <c r="F73" s="1">
        <v>458.43797999999998</v>
      </c>
      <c r="G73" s="1">
        <v>531.04128000000003</v>
      </c>
      <c r="H73" s="1">
        <v>605.74953600000003</v>
      </c>
      <c r="I73" s="1">
        <v>0</v>
      </c>
      <c r="J73" s="1">
        <v>0</v>
      </c>
    </row>
    <row r="74" spans="1:10" hidden="1" x14ac:dyDescent="0.25">
      <c r="A74" t="s">
        <v>37</v>
      </c>
      <c r="B74" s="1" t="s">
        <v>909</v>
      </c>
      <c r="C74" s="1">
        <v>96.915646800000019</v>
      </c>
      <c r="D74" s="1">
        <v>110.19112020000001</v>
      </c>
      <c r="E74" s="1">
        <v>110.23803000000002</v>
      </c>
      <c r="F74" s="1">
        <v>116.10175500000001</v>
      </c>
      <c r="G74" s="1">
        <v>187.96756860000005</v>
      </c>
      <c r="H74" s="1">
        <v>214.28302820400009</v>
      </c>
      <c r="I74" s="1">
        <v>0</v>
      </c>
      <c r="J74" s="1">
        <v>0</v>
      </c>
    </row>
    <row r="75" spans="1:10" hidden="1" x14ac:dyDescent="0.25">
      <c r="A75" t="s">
        <v>333</v>
      </c>
      <c r="B75" s="1" t="s">
        <v>118</v>
      </c>
      <c r="C75" s="1">
        <v>248.290434</v>
      </c>
      <c r="D75" s="1">
        <v>263.14180200000004</v>
      </c>
      <c r="E75" s="1">
        <v>309.37608450000005</v>
      </c>
      <c r="F75" s="1">
        <v>326.54210400000005</v>
      </c>
      <c r="G75" s="1">
        <v>394.26622200000003</v>
      </c>
      <c r="H75" s="1">
        <v>441.61946640000008</v>
      </c>
      <c r="I75" s="1">
        <v>0</v>
      </c>
      <c r="J75" s="1">
        <v>0</v>
      </c>
    </row>
    <row r="76" spans="1:10" hidden="1" x14ac:dyDescent="0.25">
      <c r="A76" t="s">
        <v>333</v>
      </c>
      <c r="B76" s="1" t="s">
        <v>244</v>
      </c>
      <c r="C76" s="1">
        <v>153.77046719999998</v>
      </c>
      <c r="D76" s="1">
        <v>168.57140160000003</v>
      </c>
      <c r="E76" s="1">
        <v>191.22947760000002</v>
      </c>
      <c r="F76" s="1">
        <v>208.33720320000003</v>
      </c>
      <c r="G76" s="1">
        <v>252.08426880000002</v>
      </c>
      <c r="H76" s="1">
        <v>271.00112256</v>
      </c>
      <c r="I76" s="1">
        <v>0</v>
      </c>
      <c r="J76" s="1">
        <v>0</v>
      </c>
    </row>
    <row r="77" spans="1:10" x14ac:dyDescent="0.25">
      <c r="A77" t="s">
        <v>333</v>
      </c>
      <c r="B77" s="1" t="s">
        <v>37</v>
      </c>
      <c r="C77" s="1">
        <v>131.87327999999999</v>
      </c>
      <c r="D77" s="1">
        <v>136.95433500000001</v>
      </c>
      <c r="E77" s="1">
        <v>140.49</v>
      </c>
      <c r="F77" s="1">
        <v>149.85599999999999</v>
      </c>
      <c r="G77" s="1">
        <v>187.64781000000002</v>
      </c>
      <c r="H77" s="1">
        <v>213.91850340000008</v>
      </c>
      <c r="I77" s="1">
        <v>0</v>
      </c>
      <c r="J77" s="1">
        <v>0</v>
      </c>
    </row>
    <row r="78" spans="1:10" hidden="1" x14ac:dyDescent="0.25">
      <c r="A78" t="s">
        <v>333</v>
      </c>
      <c r="B78" s="1" t="s">
        <v>279</v>
      </c>
      <c r="C78" s="1">
        <v>173.89511999999999</v>
      </c>
      <c r="D78" s="1">
        <v>186.79143000000002</v>
      </c>
      <c r="E78" s="1">
        <v>212.60683499999999</v>
      </c>
      <c r="F78" s="1">
        <v>226.65300000000002</v>
      </c>
      <c r="G78" s="1">
        <v>274.05797999999999</v>
      </c>
      <c r="H78" s="1">
        <v>297.369576</v>
      </c>
      <c r="I78" s="1">
        <v>0</v>
      </c>
      <c r="J78" s="1">
        <v>0</v>
      </c>
    </row>
    <row r="79" spans="1:10" hidden="1" x14ac:dyDescent="0.25">
      <c r="A79" t="s">
        <v>333</v>
      </c>
      <c r="B79" s="1" t="s">
        <v>333</v>
      </c>
      <c r="C79" s="1">
        <v>81.229680000000002</v>
      </c>
      <c r="D79" s="1">
        <v>86.082885000000005</v>
      </c>
      <c r="E79" s="1">
        <v>104.33850000000001</v>
      </c>
      <c r="F79" s="1">
        <v>120.68154</v>
      </c>
      <c r="G79" s="1">
        <v>157.18122</v>
      </c>
      <c r="H79" s="1">
        <v>179.1865908</v>
      </c>
      <c r="I79" s="1">
        <v>0</v>
      </c>
      <c r="J79" s="1">
        <v>0</v>
      </c>
    </row>
    <row r="80" spans="1:10" hidden="1" x14ac:dyDescent="0.25">
      <c r="A80" t="s">
        <v>333</v>
      </c>
      <c r="B80" s="1" t="s">
        <v>432</v>
      </c>
      <c r="C80" s="1">
        <v>117.41624999999999</v>
      </c>
      <c r="D80" s="1">
        <v>123.00749999999999</v>
      </c>
      <c r="E80" s="1">
        <v>163.95781499999998</v>
      </c>
      <c r="F80" s="1">
        <v>150.95850000000002</v>
      </c>
      <c r="G80" s="1">
        <v>213.09371999999999</v>
      </c>
      <c r="H80" s="1">
        <v>224.21246399999998</v>
      </c>
      <c r="I80" s="1">
        <v>0</v>
      </c>
      <c r="J80" s="1">
        <v>0</v>
      </c>
    </row>
    <row r="81" spans="1:10" hidden="1" x14ac:dyDescent="0.25">
      <c r="A81" t="s">
        <v>333</v>
      </c>
      <c r="B81" s="1" t="s">
        <v>522</v>
      </c>
      <c r="C81" s="1">
        <v>195.59400000000002</v>
      </c>
      <c r="D81" s="1">
        <v>206.49318479999999</v>
      </c>
      <c r="E81" s="1">
        <v>258.57299999999998</v>
      </c>
      <c r="F81" s="1">
        <v>267.14136960000002</v>
      </c>
      <c r="G81" s="1">
        <v>339.01378560000001</v>
      </c>
      <c r="H81" s="1">
        <v>375.31654271999997</v>
      </c>
      <c r="I81" s="1">
        <v>0</v>
      </c>
      <c r="J81" s="1">
        <v>0</v>
      </c>
    </row>
    <row r="82" spans="1:10" hidden="1" x14ac:dyDescent="0.25">
      <c r="A82" t="s">
        <v>333</v>
      </c>
      <c r="B82" s="1" t="s">
        <v>594</v>
      </c>
      <c r="C82" s="1">
        <v>502.19400000000002</v>
      </c>
      <c r="D82" s="1">
        <v>514.90288080000005</v>
      </c>
      <c r="E82" s="1">
        <v>629.7243876</v>
      </c>
      <c r="F82" s="1">
        <v>653.09872319999999</v>
      </c>
      <c r="G82" s="1">
        <v>697.63034879999998</v>
      </c>
      <c r="H82" s="1">
        <v>805.65641856000002</v>
      </c>
      <c r="I82" s="1">
        <v>0</v>
      </c>
      <c r="J82" s="1">
        <v>0</v>
      </c>
    </row>
    <row r="83" spans="1:10" hidden="1" x14ac:dyDescent="0.25">
      <c r="A83" t="s">
        <v>333</v>
      </c>
      <c r="B83" s="1" t="s">
        <v>639</v>
      </c>
      <c r="C83" s="1">
        <v>290.44008000000002</v>
      </c>
      <c r="D83" s="1">
        <v>301.62006000000002</v>
      </c>
      <c r="E83" s="1">
        <v>343.0841400000001</v>
      </c>
      <c r="F83" s="1">
        <v>357.85512000000006</v>
      </c>
      <c r="G83" s="1">
        <v>383.37516000000005</v>
      </c>
      <c r="H83" s="1">
        <v>428.55019200000004</v>
      </c>
      <c r="I83" s="1">
        <v>0</v>
      </c>
      <c r="J83" s="1">
        <v>0</v>
      </c>
    </row>
    <row r="84" spans="1:10" hidden="1" x14ac:dyDescent="0.25">
      <c r="A84" t="s">
        <v>333</v>
      </c>
      <c r="B84" s="1" t="s">
        <v>675</v>
      </c>
      <c r="C84" s="1">
        <v>165.48006719999998</v>
      </c>
      <c r="D84" s="1">
        <v>180.2810016</v>
      </c>
      <c r="E84" s="1">
        <v>218.51550000000003</v>
      </c>
      <c r="F84" s="1">
        <v>238.82900160000003</v>
      </c>
      <c r="G84" s="1">
        <v>293.06786880000004</v>
      </c>
      <c r="H84" s="1">
        <v>320.18144255999999</v>
      </c>
      <c r="I84" s="1">
        <v>0</v>
      </c>
      <c r="J84" s="1">
        <v>0</v>
      </c>
    </row>
    <row r="85" spans="1:10" hidden="1" x14ac:dyDescent="0.25">
      <c r="A85" t="s">
        <v>333</v>
      </c>
      <c r="B85" s="1" t="s">
        <v>729</v>
      </c>
      <c r="C85" s="1">
        <v>181.42790400000004</v>
      </c>
      <c r="D85" s="1">
        <v>194.88285600000003</v>
      </c>
      <c r="E85" s="1">
        <v>202.06200000000004</v>
      </c>
      <c r="F85" s="1">
        <v>213.94800000000006</v>
      </c>
      <c r="G85" s="1">
        <v>285.92961600000007</v>
      </c>
      <c r="H85" s="1">
        <v>311.61553920000006</v>
      </c>
      <c r="I85" s="1">
        <v>0</v>
      </c>
      <c r="J85" s="1">
        <v>0</v>
      </c>
    </row>
    <row r="86" spans="1:10" hidden="1" x14ac:dyDescent="0.25">
      <c r="A86" t="s">
        <v>333</v>
      </c>
      <c r="B86" s="1" t="s">
        <v>738</v>
      </c>
      <c r="C86" s="1">
        <v>162.60300000000001</v>
      </c>
      <c r="D86" s="1">
        <v>168.21</v>
      </c>
      <c r="E86" s="1">
        <v>198.06166800000003</v>
      </c>
      <c r="F86" s="1">
        <v>216.34048799999999</v>
      </c>
      <c r="G86" s="1">
        <v>258.54998400000005</v>
      </c>
      <c r="H86" s="1">
        <v>278.75998080000005</v>
      </c>
      <c r="I86" s="1">
        <v>0</v>
      </c>
      <c r="J86" s="1">
        <v>0</v>
      </c>
    </row>
    <row r="87" spans="1:10" hidden="1" x14ac:dyDescent="0.25">
      <c r="A87" t="s">
        <v>333</v>
      </c>
      <c r="B87" s="1" t="s">
        <v>783</v>
      </c>
      <c r="C87" s="1">
        <v>132.54150000000001</v>
      </c>
      <c r="D87" s="1">
        <v>141.24746160000001</v>
      </c>
      <c r="E87" s="1">
        <v>218.34332520000001</v>
      </c>
      <c r="F87" s="1">
        <v>226.70696160000003</v>
      </c>
      <c r="G87" s="1">
        <v>290.88134880000001</v>
      </c>
      <c r="H87" s="1">
        <v>317.55761856000004</v>
      </c>
      <c r="I87" s="1">
        <v>0</v>
      </c>
      <c r="J87" s="1">
        <v>0</v>
      </c>
    </row>
    <row r="88" spans="1:10" hidden="1" x14ac:dyDescent="0.25">
      <c r="A88" t="s">
        <v>333</v>
      </c>
      <c r="B88" s="1" t="s">
        <v>846</v>
      </c>
      <c r="C88" s="1">
        <v>190.44493439999997</v>
      </c>
      <c r="D88" s="1">
        <v>197.8454016</v>
      </c>
      <c r="E88" s="1">
        <v>222.47400000000002</v>
      </c>
      <c r="F88" s="1">
        <v>227.16623999999999</v>
      </c>
      <c r="G88" s="1">
        <v>298.9226688</v>
      </c>
      <c r="H88" s="1">
        <v>327.20720255999998</v>
      </c>
      <c r="I88" s="1">
        <v>0</v>
      </c>
      <c r="J88" s="1">
        <v>0</v>
      </c>
    </row>
    <row r="89" spans="1:10" hidden="1" x14ac:dyDescent="0.25">
      <c r="A89" t="s">
        <v>333</v>
      </c>
      <c r="B89" s="1" t="s">
        <v>864</v>
      </c>
      <c r="C89" s="1">
        <v>284.12173440000004</v>
      </c>
      <c r="D89" s="1">
        <v>295.05850079999999</v>
      </c>
      <c r="E89" s="1">
        <v>343.45427760000007</v>
      </c>
      <c r="F89" s="1">
        <v>360.56200320000011</v>
      </c>
      <c r="G89" s="1">
        <v>421.87346880000001</v>
      </c>
      <c r="H89" s="1">
        <v>474.74816256000003</v>
      </c>
      <c r="I89" s="1">
        <v>0</v>
      </c>
      <c r="J89" s="1">
        <v>0</v>
      </c>
    </row>
    <row r="90" spans="1:10" hidden="1" x14ac:dyDescent="0.25">
      <c r="A90" t="s">
        <v>333</v>
      </c>
      <c r="B90" s="1" t="s">
        <v>909</v>
      </c>
      <c r="C90" s="1">
        <v>120.18733440000001</v>
      </c>
      <c r="D90" s="1">
        <v>133.434</v>
      </c>
      <c r="E90" s="1">
        <v>171.6861552</v>
      </c>
      <c r="F90" s="1">
        <v>184.91800319999999</v>
      </c>
      <c r="G90" s="1">
        <v>217.28333760000001</v>
      </c>
      <c r="H90" s="1">
        <v>229.24000512000001</v>
      </c>
      <c r="I90" s="1">
        <v>0</v>
      </c>
      <c r="J90" s="1">
        <v>0</v>
      </c>
    </row>
    <row r="91" spans="1:10" hidden="1" x14ac:dyDescent="0.25">
      <c r="A91" t="s">
        <v>37</v>
      </c>
      <c r="B91" s="1" t="s">
        <v>82</v>
      </c>
      <c r="C91" s="1">
        <v>146.7165</v>
      </c>
      <c r="D91" s="1">
        <v>154.5915</v>
      </c>
      <c r="E91" s="1">
        <v>211.3545</v>
      </c>
      <c r="F91" s="1">
        <v>224.3115</v>
      </c>
      <c r="G91" s="1">
        <v>288.69749999999999</v>
      </c>
      <c r="H91" s="1">
        <v>314.93700000000001</v>
      </c>
      <c r="I91" s="1">
        <v>0</v>
      </c>
      <c r="J91" s="1">
        <v>0</v>
      </c>
    </row>
    <row r="92" spans="1:10" hidden="1" x14ac:dyDescent="0.25">
      <c r="A92" t="s">
        <v>37</v>
      </c>
      <c r="B92" s="1" t="s">
        <v>109</v>
      </c>
      <c r="C92" s="1">
        <v>166.93424999999999</v>
      </c>
      <c r="D92" s="1">
        <v>193.67775000000003</v>
      </c>
      <c r="E92" s="1">
        <v>245.1225</v>
      </c>
      <c r="F92" s="1">
        <v>269.23050000000001</v>
      </c>
      <c r="G92" s="1">
        <v>254.29949999999999</v>
      </c>
      <c r="H92" s="1">
        <v>273.65940000000001</v>
      </c>
      <c r="I92" s="1">
        <v>0</v>
      </c>
      <c r="J92" s="1">
        <v>0</v>
      </c>
    </row>
    <row r="93" spans="1:10" hidden="1" x14ac:dyDescent="0.25">
      <c r="A93" t="s">
        <v>37</v>
      </c>
      <c r="B93" s="1" t="s">
        <v>136</v>
      </c>
      <c r="C93" s="1">
        <v>180.30599999999998</v>
      </c>
      <c r="D93" s="1">
        <v>194.97450000000001</v>
      </c>
      <c r="E93" s="1">
        <v>244.069875</v>
      </c>
      <c r="F93" s="1">
        <v>257.34450000000004</v>
      </c>
      <c r="G93" s="1">
        <v>295.97399999999999</v>
      </c>
      <c r="H93" s="1">
        <v>323.66879999999998</v>
      </c>
      <c r="I93" s="1">
        <v>0</v>
      </c>
      <c r="J93" s="1">
        <v>0</v>
      </c>
    </row>
    <row r="94" spans="1:10" hidden="1" x14ac:dyDescent="0.25">
      <c r="A94" t="s">
        <v>37</v>
      </c>
      <c r="B94" s="1" t="s">
        <v>190</v>
      </c>
      <c r="C94" s="1">
        <v>183.65550000000002</v>
      </c>
      <c r="D94" s="1">
        <v>200.79149999999998</v>
      </c>
      <c r="E94" s="1">
        <v>225.17249999999999</v>
      </c>
      <c r="F94" s="1">
        <v>232.87950000000001</v>
      </c>
      <c r="G94" s="1">
        <v>266.44274999999999</v>
      </c>
      <c r="H94" s="1">
        <v>288.23129999999998</v>
      </c>
      <c r="I94" s="1">
        <v>0</v>
      </c>
      <c r="J94" s="1">
        <v>0</v>
      </c>
    </row>
    <row r="95" spans="1:10" hidden="1" x14ac:dyDescent="0.25">
      <c r="A95" t="s">
        <v>37</v>
      </c>
      <c r="B95" s="1" t="s">
        <v>199</v>
      </c>
      <c r="C95" s="1">
        <v>355.93425000000002</v>
      </c>
      <c r="D95" s="1">
        <v>388.584</v>
      </c>
      <c r="E95" s="1">
        <v>456.69487500000002</v>
      </c>
      <c r="F95" s="1">
        <v>485.19450000000001</v>
      </c>
      <c r="G95" s="1">
        <v>561.42449999999997</v>
      </c>
      <c r="H95" s="1">
        <v>642.20939999999996</v>
      </c>
      <c r="I95" s="1">
        <v>0</v>
      </c>
      <c r="J95" s="1">
        <v>0</v>
      </c>
    </row>
    <row r="96" spans="1:10" hidden="1" x14ac:dyDescent="0.25">
      <c r="A96" t="s">
        <v>37</v>
      </c>
      <c r="B96" s="1" t="s">
        <v>208</v>
      </c>
      <c r="C96" s="1">
        <v>106.66950000000001</v>
      </c>
      <c r="D96" s="1">
        <v>107.3835</v>
      </c>
      <c r="E96" s="1">
        <v>149.97150000000002</v>
      </c>
      <c r="F96" s="1">
        <v>154.17150000000001</v>
      </c>
      <c r="G96" s="1">
        <v>213.55949999999999</v>
      </c>
      <c r="H96" s="1">
        <v>224.77140000000003</v>
      </c>
      <c r="I96" s="1">
        <v>0</v>
      </c>
      <c r="J96" s="1">
        <v>0</v>
      </c>
    </row>
    <row r="97" spans="1:10" hidden="1" x14ac:dyDescent="0.25">
      <c r="A97" t="s">
        <v>37</v>
      </c>
      <c r="B97" s="1" t="s">
        <v>217</v>
      </c>
      <c r="C97" s="1">
        <v>107.87174999999999</v>
      </c>
      <c r="D97" s="1">
        <v>146.42775</v>
      </c>
      <c r="E97" s="1">
        <v>169.3545</v>
      </c>
      <c r="F97" s="1">
        <v>182.3115</v>
      </c>
      <c r="G97" s="1">
        <v>225.9915</v>
      </c>
      <c r="H97" s="1">
        <v>239.68979999999999</v>
      </c>
      <c r="I97" s="1">
        <v>0</v>
      </c>
      <c r="J97" s="1">
        <v>0</v>
      </c>
    </row>
    <row r="98" spans="1:10" hidden="1" x14ac:dyDescent="0.25">
      <c r="A98" t="s">
        <v>37</v>
      </c>
      <c r="B98" s="1" t="s">
        <v>235</v>
      </c>
      <c r="C98" s="1">
        <v>355.93425000000002</v>
      </c>
      <c r="D98" s="1">
        <v>388.584</v>
      </c>
      <c r="E98" s="1">
        <v>483.65100000000001</v>
      </c>
      <c r="F98" s="1">
        <v>493.66800000000006</v>
      </c>
      <c r="G98" s="1">
        <v>561.42449999999997</v>
      </c>
      <c r="H98" s="1">
        <v>642.20939999999996</v>
      </c>
      <c r="I98" s="1">
        <v>0</v>
      </c>
      <c r="J98" s="1">
        <v>0</v>
      </c>
    </row>
    <row r="99" spans="1:10" hidden="1" x14ac:dyDescent="0.25">
      <c r="A99" t="s">
        <v>37</v>
      </c>
      <c r="B99" s="1" t="s">
        <v>244</v>
      </c>
      <c r="C99" s="1">
        <v>121.63200000000001</v>
      </c>
      <c r="D99" s="1">
        <v>133.518</v>
      </c>
      <c r="E99" s="1">
        <v>176.52600000000001</v>
      </c>
      <c r="F99" s="1">
        <v>193.64099999999999</v>
      </c>
      <c r="G99" s="1">
        <v>243.369</v>
      </c>
      <c r="H99" s="1">
        <v>260.54280000000006</v>
      </c>
      <c r="I99" s="1">
        <v>0</v>
      </c>
      <c r="J99" s="1">
        <v>0</v>
      </c>
    </row>
    <row r="100" spans="1:10" hidden="1" x14ac:dyDescent="0.25">
      <c r="A100" t="s">
        <v>37</v>
      </c>
      <c r="B100" s="1" t="s">
        <v>253</v>
      </c>
      <c r="C100" s="1">
        <v>133.05600000000001</v>
      </c>
      <c r="D100" s="1">
        <v>138.69450000000001</v>
      </c>
      <c r="E100" s="1">
        <v>159.37950000000001</v>
      </c>
      <c r="F100" s="1">
        <v>167.0865</v>
      </c>
      <c r="G100" s="1">
        <v>266.44274999999999</v>
      </c>
      <c r="H100" s="1">
        <v>288.23129999999998</v>
      </c>
      <c r="I100" s="1">
        <v>0</v>
      </c>
      <c r="J100" s="1">
        <v>0</v>
      </c>
    </row>
    <row r="101" spans="1:10" hidden="1" x14ac:dyDescent="0.25">
      <c r="A101" t="s">
        <v>37</v>
      </c>
      <c r="B101" s="1" t="s">
        <v>279</v>
      </c>
      <c r="C101" s="1">
        <v>136.5</v>
      </c>
      <c r="D101" s="1">
        <v>166.8135</v>
      </c>
      <c r="E101" s="1">
        <v>216.77250000000001</v>
      </c>
      <c r="F101" s="1">
        <v>224.4795</v>
      </c>
      <c r="G101" s="1">
        <v>273.40949999999998</v>
      </c>
      <c r="H101" s="1">
        <v>296.59139999999996</v>
      </c>
      <c r="I101" s="1">
        <v>0</v>
      </c>
      <c r="J101" s="1">
        <v>0</v>
      </c>
    </row>
    <row r="102" spans="1:10" hidden="1" x14ac:dyDescent="0.25">
      <c r="A102" t="s">
        <v>37</v>
      </c>
      <c r="B102" s="1" t="s">
        <v>315</v>
      </c>
      <c r="C102" s="1">
        <v>434.89949999999999</v>
      </c>
      <c r="D102" s="1">
        <v>474.42149999999998</v>
      </c>
      <c r="E102" s="1">
        <v>558.02250000000004</v>
      </c>
      <c r="F102" s="1">
        <v>582.26175000000001</v>
      </c>
      <c r="G102" s="1">
        <v>661.6155</v>
      </c>
      <c r="H102" s="1">
        <v>762.43859999999995</v>
      </c>
      <c r="I102" s="1">
        <v>0</v>
      </c>
      <c r="J102" s="1">
        <v>0</v>
      </c>
    </row>
    <row r="103" spans="1:10" hidden="1" x14ac:dyDescent="0.25">
      <c r="A103" t="s">
        <v>37</v>
      </c>
      <c r="B103" s="1" t="s">
        <v>333</v>
      </c>
      <c r="C103" s="1">
        <v>106.806</v>
      </c>
      <c r="D103" s="1">
        <v>120.078</v>
      </c>
      <c r="E103" s="1">
        <v>148.37550000000002</v>
      </c>
      <c r="F103" s="1">
        <v>168.96600000000001</v>
      </c>
      <c r="G103" s="1">
        <v>203.238</v>
      </c>
      <c r="H103" s="1">
        <v>231.69132000000005</v>
      </c>
      <c r="I103" s="1">
        <v>0</v>
      </c>
      <c r="J103" s="1">
        <v>0</v>
      </c>
    </row>
    <row r="104" spans="1:10" hidden="1" x14ac:dyDescent="0.25">
      <c r="A104" t="s">
        <v>37</v>
      </c>
      <c r="B104" s="1" t="s">
        <v>351</v>
      </c>
      <c r="C104" s="1">
        <v>235.87199999999999</v>
      </c>
      <c r="D104" s="1">
        <v>256.17899999999997</v>
      </c>
      <c r="E104" s="1">
        <v>318.47550000000001</v>
      </c>
      <c r="F104" s="1">
        <v>344.31600000000003</v>
      </c>
      <c r="G104" s="1">
        <v>408.19274999999999</v>
      </c>
      <c r="H104" s="1">
        <v>458.33130000000006</v>
      </c>
      <c r="I104" s="1">
        <v>0</v>
      </c>
      <c r="J104" s="1">
        <v>0</v>
      </c>
    </row>
    <row r="105" spans="1:10" hidden="1" x14ac:dyDescent="0.25">
      <c r="A105" t="s">
        <v>37</v>
      </c>
      <c r="B105" s="1" t="s">
        <v>360</v>
      </c>
      <c r="C105" s="1">
        <v>227.55599999999998</v>
      </c>
      <c r="D105" s="1">
        <v>255.47550000000001</v>
      </c>
      <c r="E105" s="1">
        <v>265.82850000000002</v>
      </c>
      <c r="F105" s="1">
        <v>271.07850000000002</v>
      </c>
      <c r="G105" s="1">
        <v>408.19274999999999</v>
      </c>
      <c r="H105" s="1">
        <v>458.33130000000006</v>
      </c>
      <c r="I105" s="1">
        <v>0</v>
      </c>
      <c r="J105" s="1">
        <v>0</v>
      </c>
    </row>
    <row r="106" spans="1:10" hidden="1" x14ac:dyDescent="0.25">
      <c r="A106" t="s">
        <v>37</v>
      </c>
      <c r="B106" s="1" t="s">
        <v>369</v>
      </c>
      <c r="C106" s="1">
        <v>381.11849999999998</v>
      </c>
      <c r="D106" s="1">
        <v>411.84150000000005</v>
      </c>
      <c r="E106" s="1">
        <v>513.072</v>
      </c>
      <c r="F106" s="1">
        <v>529.10550000000001</v>
      </c>
      <c r="G106" s="1">
        <v>608.67449999999997</v>
      </c>
      <c r="H106" s="1">
        <v>698.90940000000001</v>
      </c>
      <c r="I106" s="1">
        <v>0</v>
      </c>
      <c r="J106" s="1">
        <v>0</v>
      </c>
    </row>
    <row r="107" spans="1:10" hidden="1" x14ac:dyDescent="0.25">
      <c r="A107" t="s">
        <v>37</v>
      </c>
      <c r="B107" s="1" t="s">
        <v>450</v>
      </c>
      <c r="C107" s="1">
        <v>230.21250000000001</v>
      </c>
      <c r="D107" s="1">
        <v>238.2345</v>
      </c>
      <c r="E107" s="1">
        <v>325.80450000000002</v>
      </c>
      <c r="F107" s="1">
        <v>337.66949999999997</v>
      </c>
      <c r="G107" s="1">
        <v>403.14749999999998</v>
      </c>
      <c r="H107" s="1">
        <v>452.27699999999999</v>
      </c>
      <c r="I107" s="1">
        <v>0</v>
      </c>
      <c r="J107" s="1">
        <v>0</v>
      </c>
    </row>
    <row r="108" spans="1:10" hidden="1" x14ac:dyDescent="0.25">
      <c r="A108" t="s">
        <v>37</v>
      </c>
      <c r="B108" s="1" t="s">
        <v>522</v>
      </c>
      <c r="C108" s="1">
        <v>132.41550000000001</v>
      </c>
      <c r="D108" s="1">
        <v>144.3015</v>
      </c>
      <c r="E108" s="1">
        <v>182.1225</v>
      </c>
      <c r="F108" s="1">
        <v>193.98750000000001</v>
      </c>
      <c r="G108" s="1">
        <v>238.46550000000002</v>
      </c>
      <c r="H108" s="1">
        <v>254.65860000000004</v>
      </c>
      <c r="I108" s="1">
        <v>0</v>
      </c>
      <c r="J108" s="1">
        <v>0</v>
      </c>
    </row>
    <row r="109" spans="1:10" hidden="1" x14ac:dyDescent="0.25">
      <c r="A109" t="s">
        <v>37</v>
      </c>
      <c r="B109" s="1" t="s">
        <v>594</v>
      </c>
      <c r="C109" s="1">
        <v>426.51504000000006</v>
      </c>
      <c r="D109" s="1">
        <v>439.40137500000003</v>
      </c>
      <c r="E109" s="1">
        <v>577.4475000000001</v>
      </c>
      <c r="F109" s="1">
        <v>589.3125</v>
      </c>
      <c r="G109" s="1">
        <v>656.25524999999993</v>
      </c>
      <c r="H109" s="1">
        <v>756.0062999999999</v>
      </c>
      <c r="I109" s="1">
        <v>0</v>
      </c>
      <c r="J109" s="1">
        <v>0</v>
      </c>
    </row>
    <row r="110" spans="1:10" hidden="1" x14ac:dyDescent="0.25">
      <c r="A110" t="s">
        <v>37</v>
      </c>
      <c r="B110" s="1" t="s">
        <v>639</v>
      </c>
      <c r="C110" s="1">
        <v>274.80599999999998</v>
      </c>
      <c r="D110" s="1">
        <v>280.93799999999999</v>
      </c>
      <c r="E110" s="1">
        <v>247.92600000000002</v>
      </c>
      <c r="F110" s="1">
        <v>259.791</v>
      </c>
      <c r="G110" s="1">
        <v>346.56300000000005</v>
      </c>
      <c r="H110" s="1">
        <v>384.37560000000002</v>
      </c>
      <c r="I110" s="1">
        <v>0</v>
      </c>
      <c r="J110" s="1">
        <v>0</v>
      </c>
    </row>
    <row r="111" spans="1:10" hidden="1" x14ac:dyDescent="0.25">
      <c r="A111" t="s">
        <v>37</v>
      </c>
      <c r="B111" s="1" t="s">
        <v>648</v>
      </c>
      <c r="C111" s="1">
        <v>251.14950000000002</v>
      </c>
      <c r="D111" s="1">
        <v>264.42150000000004</v>
      </c>
      <c r="E111" s="1">
        <v>327.02249999999998</v>
      </c>
      <c r="F111" s="1">
        <v>344.13749999999999</v>
      </c>
      <c r="G111" s="1">
        <v>408.19274999999999</v>
      </c>
      <c r="H111" s="1">
        <v>458.33130000000006</v>
      </c>
      <c r="I111" s="1">
        <v>0</v>
      </c>
      <c r="J111" s="1">
        <v>0</v>
      </c>
    </row>
    <row r="112" spans="1:10" hidden="1" x14ac:dyDescent="0.25">
      <c r="A112" t="s">
        <v>37</v>
      </c>
      <c r="B112" s="1" t="s">
        <v>702</v>
      </c>
      <c r="C112" s="1">
        <v>214.18424999999999</v>
      </c>
      <c r="D112" s="1">
        <v>234.31800000000001</v>
      </c>
      <c r="E112" s="1">
        <v>257.77500000000003</v>
      </c>
      <c r="F112" s="1">
        <v>265.125</v>
      </c>
      <c r="G112" s="1">
        <v>369.36899999999997</v>
      </c>
      <c r="H112" s="1">
        <v>411.74279999999999</v>
      </c>
      <c r="I112" s="1">
        <v>0</v>
      </c>
      <c r="J112" s="1">
        <v>0</v>
      </c>
    </row>
    <row r="113" spans="1:10" hidden="1" x14ac:dyDescent="0.25">
      <c r="A113" t="s">
        <v>37</v>
      </c>
      <c r="B113" s="1" t="s">
        <v>729</v>
      </c>
      <c r="C113" s="1">
        <v>161.74199999999999</v>
      </c>
      <c r="D113" s="1">
        <v>173.62800000000001</v>
      </c>
      <c r="E113" s="1">
        <v>224.50050000000002</v>
      </c>
      <c r="F113" s="1">
        <v>239.84100000000001</v>
      </c>
      <c r="G113" s="1">
        <v>294.81899999999996</v>
      </c>
      <c r="H113" s="1">
        <v>322.28280000000001</v>
      </c>
      <c r="I113" s="1">
        <v>0</v>
      </c>
      <c r="J113" s="1">
        <v>0</v>
      </c>
    </row>
    <row r="114" spans="1:10" hidden="1" x14ac:dyDescent="0.25">
      <c r="A114" t="s">
        <v>37</v>
      </c>
      <c r="B114" s="1" t="s">
        <v>747</v>
      </c>
      <c r="C114" s="1">
        <v>207.46599999999998</v>
      </c>
      <c r="D114" s="1">
        <v>217.30275000000003</v>
      </c>
      <c r="E114" s="1">
        <v>275.59743750000001</v>
      </c>
      <c r="F114" s="1">
        <v>298.76175000000001</v>
      </c>
      <c r="G114" s="1">
        <v>331.41149999999999</v>
      </c>
      <c r="H114" s="1">
        <v>366.19380000000001</v>
      </c>
      <c r="I114" s="1">
        <v>0</v>
      </c>
      <c r="J114" s="1">
        <v>0</v>
      </c>
    </row>
    <row r="115" spans="1:10" hidden="1" x14ac:dyDescent="0.25">
      <c r="A115" t="s">
        <v>37</v>
      </c>
      <c r="B115" s="1" t="s">
        <v>765</v>
      </c>
      <c r="C115" s="1">
        <v>475.61849999999998</v>
      </c>
      <c r="D115" s="1">
        <v>527.89800000000002</v>
      </c>
      <c r="E115" s="1">
        <v>598.44487500000002</v>
      </c>
      <c r="F115" s="1">
        <v>623.60550000000001</v>
      </c>
      <c r="G115" s="1">
        <v>768.47399999999993</v>
      </c>
      <c r="H115" s="1">
        <v>890.66879999999992</v>
      </c>
      <c r="I115" s="1">
        <v>0</v>
      </c>
      <c r="J115" s="1">
        <v>0</v>
      </c>
    </row>
    <row r="116" spans="1:10" hidden="1" x14ac:dyDescent="0.25">
      <c r="A116" t="s">
        <v>37</v>
      </c>
      <c r="B116" s="1" t="s">
        <v>783</v>
      </c>
      <c r="C116" s="1">
        <v>186.452</v>
      </c>
      <c r="D116" s="1">
        <v>205.49025000000003</v>
      </c>
      <c r="E116" s="1">
        <v>263.78493750000001</v>
      </c>
      <c r="F116" s="1">
        <v>276.36525</v>
      </c>
      <c r="G116" s="1">
        <v>325.50524999999999</v>
      </c>
      <c r="H116" s="1">
        <v>359.10629999999998</v>
      </c>
      <c r="I116" s="1">
        <v>0</v>
      </c>
      <c r="J116" s="1">
        <v>0</v>
      </c>
    </row>
    <row r="117" spans="1:10" hidden="1" x14ac:dyDescent="0.25">
      <c r="A117" t="s">
        <v>37</v>
      </c>
      <c r="B117" s="1" t="s">
        <v>792</v>
      </c>
      <c r="C117" s="1">
        <v>279.15300000000002</v>
      </c>
      <c r="D117" s="1">
        <v>312.38900000000001</v>
      </c>
      <c r="E117" s="1">
        <v>470.50368750000001</v>
      </c>
      <c r="F117" s="1">
        <v>493.66800000000006</v>
      </c>
      <c r="G117" s="1">
        <v>555.51824999999997</v>
      </c>
      <c r="H117" s="1">
        <v>635.12189999999998</v>
      </c>
      <c r="I117" s="1">
        <v>0</v>
      </c>
      <c r="J117" s="1">
        <v>0</v>
      </c>
    </row>
    <row r="118" spans="1:10" hidden="1" x14ac:dyDescent="0.25">
      <c r="A118" t="s">
        <v>37</v>
      </c>
      <c r="B118" s="1" t="s">
        <v>819</v>
      </c>
      <c r="C118" s="1">
        <v>223.34199999999998</v>
      </c>
      <c r="D118" s="1">
        <v>227.899</v>
      </c>
      <c r="E118" s="1">
        <v>288.37549999999999</v>
      </c>
      <c r="F118" s="1">
        <v>303.71600000000001</v>
      </c>
      <c r="G118" s="1">
        <v>332.44399999999996</v>
      </c>
      <c r="H118" s="1">
        <v>367.43279999999993</v>
      </c>
      <c r="I118" s="1">
        <v>0</v>
      </c>
      <c r="J118" s="1">
        <v>0</v>
      </c>
    </row>
    <row r="119" spans="1:10" hidden="1" x14ac:dyDescent="0.25">
      <c r="A119" t="s">
        <v>333</v>
      </c>
      <c r="B119" s="1" t="s">
        <v>217</v>
      </c>
      <c r="C119" s="1">
        <v>180.30599999999998</v>
      </c>
      <c r="D119" s="1">
        <v>193.67775000000003</v>
      </c>
      <c r="E119" s="1">
        <v>233.07550000000001</v>
      </c>
      <c r="F119" s="1">
        <v>228.816</v>
      </c>
      <c r="G119" s="1">
        <v>273.29400000000004</v>
      </c>
      <c r="H119" s="1">
        <v>296.45280000000002</v>
      </c>
      <c r="I119" s="1">
        <v>0</v>
      </c>
      <c r="J119" s="1">
        <v>0</v>
      </c>
    </row>
    <row r="120" spans="1:10" hidden="1" x14ac:dyDescent="0.25">
      <c r="A120" t="s">
        <v>333</v>
      </c>
      <c r="B120" s="1" t="s">
        <v>441</v>
      </c>
      <c r="C120" s="1">
        <v>134.792</v>
      </c>
      <c r="D120" s="1">
        <v>122.82899999999999</v>
      </c>
      <c r="E120" s="1">
        <v>220.444875</v>
      </c>
      <c r="F120" s="1">
        <v>229.11525000000003</v>
      </c>
      <c r="G120" s="1">
        <v>295.64325000000002</v>
      </c>
      <c r="H120" s="1">
        <v>323.27190000000002</v>
      </c>
      <c r="I120" s="1">
        <v>0</v>
      </c>
      <c r="J120" s="1">
        <v>0</v>
      </c>
    </row>
    <row r="121" spans="1:10" hidden="1" x14ac:dyDescent="0.25">
      <c r="A121" t="s">
        <v>333</v>
      </c>
      <c r="B121" s="1" t="s">
        <v>468</v>
      </c>
      <c r="C121" s="1">
        <v>215.22200000000001</v>
      </c>
      <c r="D121" s="1">
        <v>223.20900000000003</v>
      </c>
      <c r="E121" s="1">
        <v>320.85112500000002</v>
      </c>
      <c r="F121" s="1">
        <v>334.19925000000006</v>
      </c>
      <c r="G121" s="1">
        <v>366.51824999999997</v>
      </c>
      <c r="H121" s="1">
        <v>408.32189999999997</v>
      </c>
      <c r="I121" s="1">
        <v>0</v>
      </c>
      <c r="J121" s="1">
        <v>0</v>
      </c>
    </row>
    <row r="122" spans="1:10" hidden="1" x14ac:dyDescent="0.25">
      <c r="A122" t="s">
        <v>333</v>
      </c>
      <c r="B122" s="1" t="s">
        <v>2371</v>
      </c>
      <c r="C122" s="1">
        <v>305.55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</row>
    <row r="123" spans="1:10" hidden="1" x14ac:dyDescent="0.25">
      <c r="A123" t="s">
        <v>333</v>
      </c>
      <c r="B123" t="s">
        <v>549</v>
      </c>
      <c r="C123" s="1">
        <v>0</v>
      </c>
      <c r="D123" s="1">
        <v>0</v>
      </c>
      <c r="E123" s="1">
        <v>0</v>
      </c>
      <c r="F123" s="1">
        <v>0</v>
      </c>
      <c r="G123" s="1">
        <v>252.58800000000002</v>
      </c>
      <c r="H123" s="1">
        <v>0</v>
      </c>
      <c r="I123" s="1">
        <v>0</v>
      </c>
      <c r="J123" s="1">
        <v>0</v>
      </c>
    </row>
    <row r="124" spans="1:10" hidden="1" x14ac:dyDescent="0.25">
      <c r="A124" t="s">
        <v>37</v>
      </c>
      <c r="B124" t="s">
        <v>549</v>
      </c>
      <c r="C124" s="1">
        <v>0</v>
      </c>
      <c r="D124" s="1">
        <v>0</v>
      </c>
      <c r="E124" s="1">
        <v>0</v>
      </c>
      <c r="F124" s="1">
        <v>0</v>
      </c>
      <c r="G124" s="1">
        <v>179.08800000000002</v>
      </c>
      <c r="H124" s="1">
        <v>0</v>
      </c>
      <c r="I124" s="1">
        <v>0</v>
      </c>
      <c r="J124" s="1">
        <v>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5C2A4-9F1C-4917-BDBC-420EFF9EC84E}">
  <sheetPr>
    <tabColor theme="8"/>
  </sheetPr>
  <dimension ref="A1:K110"/>
  <sheetViews>
    <sheetView workbookViewId="0">
      <selection activeCell="F5" sqref="F5"/>
    </sheetView>
  </sheetViews>
  <sheetFormatPr baseColWidth="10" defaultColWidth="11.42578125" defaultRowHeight="15" x14ac:dyDescent="0.25"/>
  <cols>
    <col min="1" max="1" width="10.5703125" bestFit="1" customWidth="1"/>
    <col min="2" max="2" width="23.85546875" bestFit="1" customWidth="1"/>
    <col min="3" max="5" width="11.5703125" bestFit="1" customWidth="1"/>
    <col min="6" max="6" width="12.5703125" bestFit="1" customWidth="1"/>
    <col min="7" max="9" width="13.5703125" bestFit="1" customWidth="1"/>
    <col min="10" max="10" width="14" bestFit="1" customWidth="1"/>
    <col min="11" max="11" width="13.42578125" bestFit="1" customWidth="1"/>
  </cols>
  <sheetData>
    <row r="1" spans="1:11" x14ac:dyDescent="0.25">
      <c r="A1" t="s">
        <v>1</v>
      </c>
      <c r="B1" t="s">
        <v>2</v>
      </c>
      <c r="C1" t="s">
        <v>21</v>
      </c>
      <c r="D1" t="s">
        <v>29</v>
      </c>
      <c r="E1" t="s">
        <v>31</v>
      </c>
      <c r="F1" t="s">
        <v>33</v>
      </c>
      <c r="G1" t="s">
        <v>23</v>
      </c>
      <c r="H1" t="s">
        <v>25</v>
      </c>
      <c r="I1" t="s">
        <v>27</v>
      </c>
      <c r="J1" t="s">
        <v>35</v>
      </c>
      <c r="K1" t="s">
        <v>2786</v>
      </c>
    </row>
    <row r="2" spans="1:11" x14ac:dyDescent="0.25">
      <c r="A2" t="s">
        <v>46</v>
      </c>
      <c r="B2" t="s">
        <v>450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t="s">
        <v>8</v>
      </c>
    </row>
    <row r="3" spans="1:11" x14ac:dyDescent="0.25">
      <c r="A3" t="s">
        <v>46</v>
      </c>
      <c r="B3" t="s">
        <v>639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 t="s">
        <v>8</v>
      </c>
    </row>
    <row r="4" spans="1:11" x14ac:dyDescent="0.25">
      <c r="A4" t="s">
        <v>46</v>
      </c>
      <c r="B4" t="s">
        <v>702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t="s">
        <v>8</v>
      </c>
    </row>
    <row r="5" spans="1:11" x14ac:dyDescent="0.25">
      <c r="A5" t="s">
        <v>37</v>
      </c>
      <c r="B5" t="s">
        <v>46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527.25</v>
      </c>
      <c r="J5">
        <v>527.25</v>
      </c>
      <c r="K5" t="s">
        <v>8</v>
      </c>
    </row>
    <row r="6" spans="1:11" x14ac:dyDescent="0.25">
      <c r="A6" t="s">
        <v>37</v>
      </c>
      <c r="B6" t="s">
        <v>82</v>
      </c>
      <c r="C6">
        <v>0</v>
      </c>
      <c r="D6">
        <v>0</v>
      </c>
      <c r="E6">
        <v>193.83</v>
      </c>
      <c r="F6">
        <v>193.83</v>
      </c>
      <c r="G6">
        <v>0</v>
      </c>
      <c r="H6">
        <v>0</v>
      </c>
      <c r="I6">
        <v>410.7</v>
      </c>
      <c r="J6">
        <v>410.7</v>
      </c>
      <c r="K6" t="s">
        <v>8</v>
      </c>
    </row>
    <row r="7" spans="1:11" x14ac:dyDescent="0.25">
      <c r="A7" t="s">
        <v>37</v>
      </c>
      <c r="B7" t="s">
        <v>100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610.5</v>
      </c>
      <c r="J7">
        <v>610.5</v>
      </c>
      <c r="K7" t="s">
        <v>8</v>
      </c>
    </row>
    <row r="8" spans="1:11" x14ac:dyDescent="0.25">
      <c r="A8" t="s">
        <v>37</v>
      </c>
      <c r="B8" t="s">
        <v>109</v>
      </c>
      <c r="C8">
        <v>0</v>
      </c>
      <c r="D8">
        <v>0</v>
      </c>
      <c r="E8">
        <v>226</v>
      </c>
      <c r="F8">
        <v>0</v>
      </c>
      <c r="G8">
        <v>0</v>
      </c>
      <c r="H8">
        <v>0</v>
      </c>
      <c r="I8">
        <v>444</v>
      </c>
      <c r="J8">
        <v>444</v>
      </c>
      <c r="K8" t="s">
        <v>8</v>
      </c>
    </row>
    <row r="9" spans="1:11" x14ac:dyDescent="0.25">
      <c r="A9" t="s">
        <v>37</v>
      </c>
      <c r="B9" t="s">
        <v>118</v>
      </c>
      <c r="C9">
        <v>0</v>
      </c>
      <c r="D9">
        <v>0</v>
      </c>
      <c r="E9">
        <v>173.17</v>
      </c>
      <c r="F9">
        <v>173.17</v>
      </c>
      <c r="G9">
        <v>0</v>
      </c>
      <c r="H9">
        <v>0</v>
      </c>
      <c r="I9">
        <v>332.8</v>
      </c>
      <c r="J9">
        <v>338.55</v>
      </c>
      <c r="K9" t="s">
        <v>8</v>
      </c>
    </row>
    <row r="10" spans="1:11" x14ac:dyDescent="0.25">
      <c r="A10" t="s">
        <v>37</v>
      </c>
      <c r="B10" t="s">
        <v>127</v>
      </c>
      <c r="C10">
        <v>0</v>
      </c>
      <c r="D10">
        <v>0</v>
      </c>
      <c r="E10">
        <v>221</v>
      </c>
      <c r="F10">
        <v>221</v>
      </c>
      <c r="G10">
        <v>0</v>
      </c>
      <c r="H10">
        <v>0</v>
      </c>
      <c r="I10">
        <v>444</v>
      </c>
      <c r="J10">
        <v>454</v>
      </c>
      <c r="K10" t="s">
        <v>8</v>
      </c>
    </row>
    <row r="11" spans="1:11" x14ac:dyDescent="0.25">
      <c r="A11" t="s">
        <v>37</v>
      </c>
      <c r="B11" t="s">
        <v>136</v>
      </c>
      <c r="C11">
        <v>0</v>
      </c>
      <c r="D11">
        <v>0</v>
      </c>
      <c r="E11">
        <v>0</v>
      </c>
      <c r="F11">
        <v>231.33</v>
      </c>
      <c r="G11">
        <v>0</v>
      </c>
      <c r="H11">
        <v>0</v>
      </c>
      <c r="I11">
        <v>432.9</v>
      </c>
      <c r="J11">
        <v>432.9</v>
      </c>
      <c r="K11" t="s">
        <v>8</v>
      </c>
    </row>
    <row r="12" spans="1:11" x14ac:dyDescent="0.25">
      <c r="A12" t="s">
        <v>37</v>
      </c>
      <c r="B12" t="s">
        <v>190</v>
      </c>
      <c r="C12">
        <v>0</v>
      </c>
      <c r="D12">
        <v>0</v>
      </c>
      <c r="E12">
        <v>212</v>
      </c>
      <c r="F12">
        <v>212</v>
      </c>
      <c r="G12">
        <v>0</v>
      </c>
      <c r="H12">
        <v>0</v>
      </c>
      <c r="I12">
        <v>418.4</v>
      </c>
      <c r="J12">
        <v>428</v>
      </c>
      <c r="K12" t="s">
        <v>8</v>
      </c>
    </row>
    <row r="13" spans="1:11" x14ac:dyDescent="0.25">
      <c r="A13" t="s">
        <v>37</v>
      </c>
      <c r="B13" t="s">
        <v>199</v>
      </c>
      <c r="C13">
        <v>0</v>
      </c>
      <c r="D13">
        <v>0</v>
      </c>
      <c r="E13">
        <v>0</v>
      </c>
      <c r="F13">
        <v>438.33</v>
      </c>
      <c r="G13">
        <v>0</v>
      </c>
      <c r="H13">
        <v>0</v>
      </c>
      <c r="I13">
        <v>610.5</v>
      </c>
      <c r="J13">
        <v>610.5</v>
      </c>
      <c r="K13" t="s">
        <v>8</v>
      </c>
    </row>
    <row r="14" spans="1:11" x14ac:dyDescent="0.25">
      <c r="A14" t="s">
        <v>37</v>
      </c>
      <c r="B14" t="s">
        <v>208</v>
      </c>
      <c r="C14">
        <v>0</v>
      </c>
      <c r="D14">
        <v>0</v>
      </c>
      <c r="E14">
        <v>142</v>
      </c>
      <c r="F14">
        <v>142</v>
      </c>
      <c r="G14">
        <v>0</v>
      </c>
      <c r="H14">
        <v>0</v>
      </c>
      <c r="I14">
        <v>295.39999999999998</v>
      </c>
      <c r="J14">
        <v>270.5</v>
      </c>
      <c r="K14" t="s">
        <v>8</v>
      </c>
    </row>
    <row r="15" spans="1:11" x14ac:dyDescent="0.25">
      <c r="A15" t="s">
        <v>37</v>
      </c>
      <c r="B15" t="s">
        <v>217</v>
      </c>
      <c r="C15">
        <v>0</v>
      </c>
      <c r="D15">
        <v>0</v>
      </c>
      <c r="E15">
        <v>153.83000000000001</v>
      </c>
      <c r="F15">
        <v>153.83000000000001</v>
      </c>
      <c r="G15">
        <v>0</v>
      </c>
      <c r="H15">
        <v>0</v>
      </c>
      <c r="I15">
        <v>272.60000000000002</v>
      </c>
      <c r="J15">
        <v>277.5</v>
      </c>
      <c r="K15" t="s">
        <v>8</v>
      </c>
    </row>
    <row r="16" spans="1:11" x14ac:dyDescent="0.25">
      <c r="A16" t="s">
        <v>37</v>
      </c>
      <c r="B16" t="s">
        <v>235</v>
      </c>
      <c r="C16">
        <v>0</v>
      </c>
      <c r="D16">
        <v>0</v>
      </c>
      <c r="E16">
        <v>458.17</v>
      </c>
      <c r="F16">
        <v>0</v>
      </c>
      <c r="G16">
        <v>0</v>
      </c>
      <c r="H16">
        <v>0</v>
      </c>
      <c r="I16">
        <v>782.55</v>
      </c>
      <c r="J16">
        <v>782.55</v>
      </c>
      <c r="K16" t="s">
        <v>8</v>
      </c>
    </row>
    <row r="17" spans="1:11" x14ac:dyDescent="0.25">
      <c r="A17" t="s">
        <v>37</v>
      </c>
      <c r="B17" t="s">
        <v>244</v>
      </c>
      <c r="C17">
        <v>0</v>
      </c>
      <c r="D17">
        <v>0</v>
      </c>
      <c r="E17">
        <v>160.66999999999999</v>
      </c>
      <c r="F17">
        <v>160.66999999999999</v>
      </c>
      <c r="G17">
        <v>0</v>
      </c>
      <c r="H17">
        <v>0</v>
      </c>
      <c r="I17">
        <v>314.8</v>
      </c>
      <c r="J17">
        <v>321</v>
      </c>
      <c r="K17" t="s">
        <v>8</v>
      </c>
    </row>
    <row r="18" spans="1:11" x14ac:dyDescent="0.25">
      <c r="A18" t="s">
        <v>37</v>
      </c>
      <c r="B18" t="s">
        <v>253</v>
      </c>
      <c r="C18">
        <v>0</v>
      </c>
      <c r="D18">
        <v>0</v>
      </c>
      <c r="E18">
        <v>149.33000000000001</v>
      </c>
      <c r="F18">
        <v>149.33000000000001</v>
      </c>
      <c r="G18">
        <v>0</v>
      </c>
      <c r="H18">
        <v>0</v>
      </c>
      <c r="I18">
        <v>344.1</v>
      </c>
      <c r="J18">
        <v>344.1</v>
      </c>
      <c r="K18" t="s">
        <v>8</v>
      </c>
    </row>
    <row r="19" spans="1:11" x14ac:dyDescent="0.25">
      <c r="A19" t="s">
        <v>37</v>
      </c>
      <c r="B19" t="s">
        <v>37</v>
      </c>
      <c r="C19">
        <v>0</v>
      </c>
      <c r="D19">
        <v>0</v>
      </c>
      <c r="E19">
        <v>77.67</v>
      </c>
      <c r="F19">
        <v>77.67</v>
      </c>
      <c r="G19">
        <v>0</v>
      </c>
      <c r="H19">
        <v>0</v>
      </c>
      <c r="I19">
        <v>134.19999999999999</v>
      </c>
      <c r="J19">
        <v>136.5</v>
      </c>
      <c r="K19" t="s">
        <v>8</v>
      </c>
    </row>
    <row r="20" spans="1:11" x14ac:dyDescent="0.25">
      <c r="A20" t="s">
        <v>37</v>
      </c>
      <c r="B20" t="s">
        <v>279</v>
      </c>
      <c r="C20">
        <v>0</v>
      </c>
      <c r="D20">
        <v>0</v>
      </c>
      <c r="E20">
        <v>199</v>
      </c>
      <c r="F20">
        <v>199</v>
      </c>
      <c r="G20">
        <v>0</v>
      </c>
      <c r="H20">
        <v>0</v>
      </c>
      <c r="I20">
        <v>374.8</v>
      </c>
      <c r="J20">
        <v>373.5</v>
      </c>
      <c r="K20" t="s">
        <v>8</v>
      </c>
    </row>
    <row r="21" spans="1:11" x14ac:dyDescent="0.25">
      <c r="A21" t="s">
        <v>37</v>
      </c>
      <c r="B21" t="s">
        <v>306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405.15</v>
      </c>
      <c r="J21">
        <v>405.15</v>
      </c>
      <c r="K21" t="s">
        <v>8</v>
      </c>
    </row>
    <row r="22" spans="1:11" x14ac:dyDescent="0.25">
      <c r="A22" t="s">
        <v>37</v>
      </c>
      <c r="B22" t="s">
        <v>315</v>
      </c>
      <c r="C22">
        <v>0</v>
      </c>
      <c r="D22">
        <v>0</v>
      </c>
      <c r="E22">
        <v>529</v>
      </c>
      <c r="F22">
        <v>0</v>
      </c>
      <c r="G22">
        <v>0</v>
      </c>
      <c r="H22">
        <v>0</v>
      </c>
      <c r="I22">
        <v>841.8</v>
      </c>
      <c r="J22">
        <v>849.15</v>
      </c>
      <c r="K22" t="s">
        <v>8</v>
      </c>
    </row>
    <row r="23" spans="1:11" x14ac:dyDescent="0.25">
      <c r="A23" t="s">
        <v>37</v>
      </c>
      <c r="B23" t="s">
        <v>333</v>
      </c>
      <c r="C23">
        <v>0</v>
      </c>
      <c r="D23">
        <v>0</v>
      </c>
      <c r="E23">
        <v>142.16999999999999</v>
      </c>
      <c r="F23">
        <v>142.16999999999999</v>
      </c>
      <c r="G23">
        <v>0</v>
      </c>
      <c r="H23">
        <v>0</v>
      </c>
      <c r="I23">
        <v>250.6</v>
      </c>
      <c r="J23">
        <v>245.75</v>
      </c>
      <c r="K23" t="s">
        <v>8</v>
      </c>
    </row>
    <row r="24" spans="1:11" x14ac:dyDescent="0.25">
      <c r="A24" t="s">
        <v>37</v>
      </c>
      <c r="B24" t="s">
        <v>351</v>
      </c>
      <c r="C24">
        <v>0</v>
      </c>
      <c r="D24">
        <v>0</v>
      </c>
      <c r="E24">
        <v>299.17</v>
      </c>
      <c r="F24">
        <v>299.17</v>
      </c>
      <c r="G24">
        <v>0</v>
      </c>
      <c r="H24">
        <v>0</v>
      </c>
      <c r="I24">
        <v>555</v>
      </c>
      <c r="J24">
        <v>555</v>
      </c>
      <c r="K24" t="s">
        <v>8</v>
      </c>
    </row>
    <row r="25" spans="1:11" x14ac:dyDescent="0.25">
      <c r="A25" t="s">
        <v>37</v>
      </c>
      <c r="B25" t="s">
        <v>360</v>
      </c>
      <c r="C25">
        <v>0</v>
      </c>
      <c r="D25">
        <v>0</v>
      </c>
      <c r="E25">
        <v>298.33</v>
      </c>
      <c r="F25">
        <v>298.33</v>
      </c>
      <c r="G25">
        <v>0</v>
      </c>
      <c r="H25">
        <v>0</v>
      </c>
      <c r="I25">
        <v>549.45000000000005</v>
      </c>
      <c r="J25">
        <v>549.45000000000005</v>
      </c>
      <c r="K25" t="s">
        <v>8</v>
      </c>
    </row>
    <row r="26" spans="1:11" x14ac:dyDescent="0.25">
      <c r="A26" t="s">
        <v>37</v>
      </c>
      <c r="B26" t="s">
        <v>369</v>
      </c>
      <c r="C26">
        <v>0</v>
      </c>
      <c r="D26">
        <v>0</v>
      </c>
      <c r="E26">
        <v>484.5</v>
      </c>
      <c r="F26">
        <v>0</v>
      </c>
      <c r="G26">
        <v>0</v>
      </c>
      <c r="H26">
        <v>0</v>
      </c>
      <c r="I26">
        <v>704.85</v>
      </c>
      <c r="J26">
        <v>704.85</v>
      </c>
      <c r="K26" t="s">
        <v>8</v>
      </c>
    </row>
    <row r="27" spans="1:11" x14ac:dyDescent="0.25">
      <c r="A27" t="s">
        <v>37</v>
      </c>
      <c r="B27" t="s">
        <v>387</v>
      </c>
      <c r="C27">
        <v>0</v>
      </c>
      <c r="D27">
        <v>0</v>
      </c>
      <c r="E27">
        <v>152.83000000000001</v>
      </c>
      <c r="F27">
        <v>152.83000000000001</v>
      </c>
      <c r="G27">
        <v>0</v>
      </c>
      <c r="H27">
        <v>0</v>
      </c>
      <c r="I27">
        <v>299.7</v>
      </c>
      <c r="J27">
        <v>299.7</v>
      </c>
      <c r="K27" t="s">
        <v>8</v>
      </c>
    </row>
    <row r="28" spans="1:11" x14ac:dyDescent="0.25">
      <c r="A28" t="s">
        <v>37</v>
      </c>
      <c r="B28" t="s">
        <v>405</v>
      </c>
      <c r="C28">
        <v>0</v>
      </c>
      <c r="D28">
        <v>0</v>
      </c>
      <c r="E28">
        <v>104</v>
      </c>
      <c r="F28">
        <v>104</v>
      </c>
      <c r="G28">
        <v>0</v>
      </c>
      <c r="H28">
        <v>0</v>
      </c>
      <c r="I28">
        <v>200.8</v>
      </c>
      <c r="J28">
        <v>203.5</v>
      </c>
      <c r="K28" t="s">
        <v>8</v>
      </c>
    </row>
    <row r="29" spans="1:11" x14ac:dyDescent="0.25">
      <c r="A29" t="s">
        <v>37</v>
      </c>
      <c r="B29" t="s">
        <v>432</v>
      </c>
      <c r="C29">
        <v>0</v>
      </c>
      <c r="D29">
        <v>0</v>
      </c>
      <c r="E29">
        <v>0</v>
      </c>
      <c r="F29">
        <v>182.17</v>
      </c>
      <c r="G29">
        <v>0</v>
      </c>
      <c r="H29">
        <v>0</v>
      </c>
      <c r="I29">
        <v>294.14999999999998</v>
      </c>
      <c r="J29">
        <v>294.14999999999998</v>
      </c>
      <c r="K29" t="s">
        <v>8</v>
      </c>
    </row>
    <row r="30" spans="1:11" x14ac:dyDescent="0.25">
      <c r="A30" t="s">
        <v>37</v>
      </c>
      <c r="B30" t="s">
        <v>441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410.7</v>
      </c>
      <c r="J30">
        <v>410.7</v>
      </c>
      <c r="K30" t="s">
        <v>8</v>
      </c>
    </row>
    <row r="31" spans="1:11" x14ac:dyDescent="0.25">
      <c r="A31" t="s">
        <v>37</v>
      </c>
      <c r="B31" t="s">
        <v>450</v>
      </c>
      <c r="C31">
        <v>0</v>
      </c>
      <c r="D31">
        <v>0</v>
      </c>
      <c r="E31">
        <v>302.83</v>
      </c>
      <c r="F31">
        <v>302.83</v>
      </c>
      <c r="G31">
        <v>0</v>
      </c>
      <c r="H31">
        <v>0</v>
      </c>
      <c r="I31">
        <v>479.4</v>
      </c>
      <c r="J31">
        <v>489.25</v>
      </c>
      <c r="K31" t="s">
        <v>8</v>
      </c>
    </row>
    <row r="32" spans="1:11" x14ac:dyDescent="0.25">
      <c r="A32" t="s">
        <v>37</v>
      </c>
      <c r="B32" t="s">
        <v>468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532.79999999999995</v>
      </c>
      <c r="J32">
        <v>532.79999999999995</v>
      </c>
      <c r="K32" t="s">
        <v>8</v>
      </c>
    </row>
    <row r="33" spans="1:11" x14ac:dyDescent="0.25">
      <c r="A33" t="s">
        <v>37</v>
      </c>
      <c r="B33" t="s">
        <v>522</v>
      </c>
      <c r="C33">
        <v>0</v>
      </c>
      <c r="D33">
        <v>0</v>
      </c>
      <c r="E33">
        <v>166</v>
      </c>
      <c r="F33">
        <v>166</v>
      </c>
      <c r="G33">
        <v>0</v>
      </c>
      <c r="H33">
        <v>0</v>
      </c>
      <c r="I33">
        <v>305.2</v>
      </c>
      <c r="J33">
        <v>311.5</v>
      </c>
      <c r="K33" t="s">
        <v>8</v>
      </c>
    </row>
    <row r="34" spans="1:11" x14ac:dyDescent="0.25">
      <c r="A34" t="s">
        <v>37</v>
      </c>
      <c r="B34" t="s">
        <v>540</v>
      </c>
      <c r="C34">
        <v>0</v>
      </c>
      <c r="D34">
        <v>0</v>
      </c>
      <c r="F34">
        <v>0</v>
      </c>
      <c r="G34">
        <v>0</v>
      </c>
      <c r="H34">
        <v>0</v>
      </c>
      <c r="I34">
        <v>399.6</v>
      </c>
      <c r="J34">
        <v>399.6</v>
      </c>
      <c r="K34" t="s">
        <v>8</v>
      </c>
    </row>
    <row r="35" spans="1:11" x14ac:dyDescent="0.25">
      <c r="A35" t="s">
        <v>37</v>
      </c>
      <c r="B35" t="s">
        <v>594</v>
      </c>
      <c r="C35">
        <v>0</v>
      </c>
      <c r="D35">
        <v>0</v>
      </c>
      <c r="E35">
        <v>537.5</v>
      </c>
      <c r="F35">
        <v>537.5</v>
      </c>
      <c r="G35">
        <v>0</v>
      </c>
      <c r="H35">
        <v>0</v>
      </c>
      <c r="I35">
        <v>743.7</v>
      </c>
      <c r="J35">
        <v>728.75</v>
      </c>
      <c r="K35" t="s">
        <v>8</v>
      </c>
    </row>
    <row r="36" spans="1:11" x14ac:dyDescent="0.25">
      <c r="A36" t="s">
        <v>37</v>
      </c>
      <c r="B36" t="s">
        <v>603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388.5</v>
      </c>
      <c r="J36">
        <v>388.5</v>
      </c>
      <c r="K36" t="s">
        <v>8</v>
      </c>
    </row>
    <row r="37" spans="1:11" x14ac:dyDescent="0.25">
      <c r="A37" t="s">
        <v>37</v>
      </c>
      <c r="B37" t="s">
        <v>630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416.25</v>
      </c>
      <c r="J37">
        <v>416.25</v>
      </c>
      <c r="K37" t="s">
        <v>8</v>
      </c>
    </row>
    <row r="38" spans="1:11" x14ac:dyDescent="0.25">
      <c r="A38" t="s">
        <v>37</v>
      </c>
      <c r="B38" t="s">
        <v>639</v>
      </c>
      <c r="C38">
        <v>0</v>
      </c>
      <c r="D38">
        <v>0</v>
      </c>
      <c r="E38">
        <v>233.67</v>
      </c>
      <c r="F38">
        <v>233.67</v>
      </c>
      <c r="G38">
        <v>0</v>
      </c>
      <c r="H38">
        <v>0</v>
      </c>
      <c r="I38">
        <v>500.4</v>
      </c>
      <c r="J38">
        <v>510.5</v>
      </c>
      <c r="K38" t="s">
        <v>8</v>
      </c>
    </row>
    <row r="39" spans="1:11" x14ac:dyDescent="0.25">
      <c r="A39" t="s">
        <v>37</v>
      </c>
      <c r="B39" t="s">
        <v>648</v>
      </c>
      <c r="C39">
        <v>0</v>
      </c>
      <c r="D39">
        <v>0</v>
      </c>
      <c r="E39">
        <v>309</v>
      </c>
      <c r="F39">
        <v>309</v>
      </c>
      <c r="G39">
        <v>0</v>
      </c>
      <c r="H39">
        <v>0</v>
      </c>
      <c r="I39">
        <v>488.4</v>
      </c>
      <c r="J39">
        <v>488.4</v>
      </c>
      <c r="K39" t="s">
        <v>8</v>
      </c>
    </row>
    <row r="40" spans="1:11" x14ac:dyDescent="0.25">
      <c r="A40" t="s">
        <v>37</v>
      </c>
      <c r="B40" t="s">
        <v>657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444</v>
      </c>
      <c r="J40">
        <v>444</v>
      </c>
      <c r="K40" t="s">
        <v>8</v>
      </c>
    </row>
    <row r="41" spans="1:11" x14ac:dyDescent="0.25">
      <c r="A41" t="s">
        <v>37</v>
      </c>
      <c r="B41" t="s">
        <v>675</v>
      </c>
      <c r="C41">
        <v>0</v>
      </c>
      <c r="D41">
        <v>0</v>
      </c>
      <c r="E41">
        <v>160.83000000000001</v>
      </c>
      <c r="F41">
        <v>160.83000000000001</v>
      </c>
      <c r="G41">
        <v>0</v>
      </c>
      <c r="H41">
        <v>0</v>
      </c>
      <c r="I41">
        <v>289</v>
      </c>
      <c r="J41">
        <v>293.75</v>
      </c>
      <c r="K41" t="s">
        <v>8</v>
      </c>
    </row>
    <row r="42" spans="1:11" x14ac:dyDescent="0.25">
      <c r="A42" t="s">
        <v>37</v>
      </c>
      <c r="B42" t="s">
        <v>684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455.1</v>
      </c>
      <c r="J42">
        <v>455.1</v>
      </c>
      <c r="K42" t="s">
        <v>8</v>
      </c>
    </row>
    <row r="43" spans="1:11" x14ac:dyDescent="0.25">
      <c r="A43" t="s">
        <v>37</v>
      </c>
      <c r="B43" t="s">
        <v>702</v>
      </c>
      <c r="C43">
        <v>0</v>
      </c>
      <c r="D43">
        <v>0</v>
      </c>
      <c r="E43">
        <v>270.67</v>
      </c>
      <c r="F43">
        <v>270.67</v>
      </c>
      <c r="G43">
        <v>0</v>
      </c>
      <c r="H43">
        <v>0</v>
      </c>
      <c r="I43">
        <v>523.79999999999995</v>
      </c>
      <c r="J43">
        <v>536</v>
      </c>
      <c r="K43" t="s">
        <v>8</v>
      </c>
    </row>
    <row r="44" spans="1:11" x14ac:dyDescent="0.25">
      <c r="A44" t="s">
        <v>37</v>
      </c>
      <c r="B44" t="s">
        <v>729</v>
      </c>
      <c r="C44">
        <v>0</v>
      </c>
      <c r="D44">
        <v>0</v>
      </c>
      <c r="E44">
        <v>214.67</v>
      </c>
      <c r="F44">
        <v>214.67</v>
      </c>
      <c r="G44">
        <v>0</v>
      </c>
      <c r="H44">
        <v>0</v>
      </c>
      <c r="I44">
        <v>404.6</v>
      </c>
      <c r="J44">
        <v>412</v>
      </c>
      <c r="K44" t="s">
        <v>8</v>
      </c>
    </row>
    <row r="45" spans="1:11" x14ac:dyDescent="0.25">
      <c r="A45" t="s">
        <v>37</v>
      </c>
      <c r="B45" t="s">
        <v>738</v>
      </c>
      <c r="C45">
        <v>0</v>
      </c>
      <c r="D45">
        <v>0</v>
      </c>
      <c r="E45">
        <v>217.67</v>
      </c>
      <c r="F45">
        <v>217.67</v>
      </c>
      <c r="G45">
        <v>0</v>
      </c>
      <c r="H45">
        <v>0</v>
      </c>
      <c r="I45">
        <v>377.2</v>
      </c>
      <c r="J45">
        <v>384</v>
      </c>
      <c r="K45" t="s">
        <v>8</v>
      </c>
    </row>
    <row r="46" spans="1:11" x14ac:dyDescent="0.25">
      <c r="A46" t="s">
        <v>37</v>
      </c>
      <c r="B46" t="s">
        <v>747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421.8</v>
      </c>
      <c r="J46">
        <v>421.8</v>
      </c>
      <c r="K46" t="s">
        <v>8</v>
      </c>
    </row>
    <row r="47" spans="1:11" x14ac:dyDescent="0.25">
      <c r="A47" t="s">
        <v>37</v>
      </c>
      <c r="B47" t="s">
        <v>756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566.1</v>
      </c>
      <c r="J47">
        <v>566.1</v>
      </c>
      <c r="K47" t="s">
        <v>8</v>
      </c>
    </row>
    <row r="48" spans="1:11" x14ac:dyDescent="0.25">
      <c r="A48" t="s">
        <v>37</v>
      </c>
      <c r="B48" t="s">
        <v>765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1015.65</v>
      </c>
      <c r="J48">
        <v>1015.65</v>
      </c>
      <c r="K48" t="s">
        <v>8</v>
      </c>
    </row>
    <row r="49" spans="1:11" x14ac:dyDescent="0.25">
      <c r="A49" t="s">
        <v>37</v>
      </c>
      <c r="B49" t="s">
        <v>783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421.8</v>
      </c>
      <c r="J49">
        <v>421.8</v>
      </c>
      <c r="K49" t="s">
        <v>8</v>
      </c>
    </row>
    <row r="50" spans="1:11" x14ac:dyDescent="0.25">
      <c r="A50" t="s">
        <v>37</v>
      </c>
      <c r="B50" t="s">
        <v>792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616.04999999999995</v>
      </c>
      <c r="J50">
        <v>637.25</v>
      </c>
      <c r="K50" t="s">
        <v>8</v>
      </c>
    </row>
    <row r="51" spans="1:11" x14ac:dyDescent="0.25">
      <c r="A51" t="s">
        <v>37</v>
      </c>
      <c r="B51" t="s">
        <v>819</v>
      </c>
      <c r="C51">
        <v>0</v>
      </c>
      <c r="D51">
        <v>0</v>
      </c>
      <c r="E51">
        <v>270.5</v>
      </c>
      <c r="F51">
        <v>270.5</v>
      </c>
      <c r="G51">
        <v>0</v>
      </c>
      <c r="H51">
        <v>0</v>
      </c>
      <c r="I51">
        <v>447.6</v>
      </c>
      <c r="J51">
        <v>458.25</v>
      </c>
      <c r="K51" t="s">
        <v>8</v>
      </c>
    </row>
    <row r="52" spans="1:11" x14ac:dyDescent="0.25">
      <c r="A52" t="s">
        <v>37</v>
      </c>
      <c r="B52" t="s">
        <v>828</v>
      </c>
      <c r="C52">
        <v>0</v>
      </c>
      <c r="D52">
        <v>0</v>
      </c>
      <c r="E52">
        <v>215.17</v>
      </c>
      <c r="F52">
        <v>0</v>
      </c>
      <c r="G52">
        <v>0</v>
      </c>
      <c r="H52">
        <v>0</v>
      </c>
      <c r="I52">
        <v>344.1</v>
      </c>
      <c r="J52">
        <v>344.1</v>
      </c>
      <c r="K52" t="s">
        <v>8</v>
      </c>
    </row>
    <row r="53" spans="1:11" x14ac:dyDescent="0.25">
      <c r="A53" t="s">
        <v>37</v>
      </c>
      <c r="B53" t="s">
        <v>846</v>
      </c>
      <c r="C53">
        <v>0</v>
      </c>
      <c r="D53">
        <v>0</v>
      </c>
      <c r="E53">
        <v>124.17</v>
      </c>
      <c r="F53">
        <v>124.17</v>
      </c>
      <c r="G53">
        <v>0</v>
      </c>
      <c r="H53">
        <v>0</v>
      </c>
      <c r="I53">
        <v>256</v>
      </c>
      <c r="J53">
        <v>258.75</v>
      </c>
      <c r="K53" t="s">
        <v>8</v>
      </c>
    </row>
    <row r="54" spans="1:11" x14ac:dyDescent="0.25">
      <c r="A54" t="s">
        <v>37</v>
      </c>
      <c r="B54" t="s">
        <v>855</v>
      </c>
      <c r="C54">
        <v>0</v>
      </c>
      <c r="D54">
        <v>0</v>
      </c>
      <c r="E54">
        <v>239</v>
      </c>
      <c r="F54">
        <v>239</v>
      </c>
      <c r="G54">
        <v>0</v>
      </c>
      <c r="H54">
        <v>0</v>
      </c>
      <c r="I54">
        <v>416.25</v>
      </c>
      <c r="J54">
        <v>416.25</v>
      </c>
      <c r="K54" t="s">
        <v>8</v>
      </c>
    </row>
    <row r="55" spans="1:11" x14ac:dyDescent="0.25">
      <c r="A55" t="s">
        <v>37</v>
      </c>
      <c r="B55" t="s">
        <v>864</v>
      </c>
      <c r="C55">
        <v>0</v>
      </c>
      <c r="D55">
        <v>0</v>
      </c>
      <c r="E55">
        <v>221.17</v>
      </c>
      <c r="F55">
        <v>221.17</v>
      </c>
      <c r="G55">
        <v>0</v>
      </c>
      <c r="H55">
        <v>0</v>
      </c>
      <c r="I55">
        <v>377.4</v>
      </c>
      <c r="J55">
        <v>377.4</v>
      </c>
      <c r="K55" t="s">
        <v>8</v>
      </c>
    </row>
    <row r="56" spans="1:11" x14ac:dyDescent="0.25">
      <c r="A56" t="s">
        <v>37</v>
      </c>
      <c r="B56" t="s">
        <v>882</v>
      </c>
      <c r="C56">
        <v>0</v>
      </c>
      <c r="D56">
        <v>0</v>
      </c>
      <c r="E56">
        <v>419.67</v>
      </c>
      <c r="F56">
        <v>0</v>
      </c>
      <c r="G56">
        <v>0</v>
      </c>
      <c r="H56">
        <v>0</v>
      </c>
      <c r="I56">
        <v>588.29999999999995</v>
      </c>
      <c r="J56">
        <v>588.29999999999995</v>
      </c>
      <c r="K56" t="s">
        <v>8</v>
      </c>
    </row>
    <row r="57" spans="1:11" x14ac:dyDescent="0.25">
      <c r="A57" t="s">
        <v>37</v>
      </c>
      <c r="B57" t="s">
        <v>909</v>
      </c>
      <c r="C57">
        <v>0</v>
      </c>
      <c r="D57">
        <v>0</v>
      </c>
      <c r="E57">
        <v>117.83</v>
      </c>
      <c r="F57">
        <v>117.83</v>
      </c>
      <c r="G57">
        <v>0</v>
      </c>
      <c r="H57">
        <v>0</v>
      </c>
      <c r="I57">
        <v>222</v>
      </c>
      <c r="J57">
        <v>222</v>
      </c>
      <c r="K57" t="s">
        <v>8</v>
      </c>
    </row>
    <row r="58" spans="1:11" x14ac:dyDescent="0.25">
      <c r="A58" t="s">
        <v>333</v>
      </c>
      <c r="B58" t="s">
        <v>46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627.15</v>
      </c>
      <c r="J58">
        <v>627.15</v>
      </c>
      <c r="K58" t="s">
        <v>8</v>
      </c>
    </row>
    <row r="59" spans="1:11" x14ac:dyDescent="0.25">
      <c r="A59" t="s">
        <v>333</v>
      </c>
      <c r="B59" t="s">
        <v>82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377.4</v>
      </c>
      <c r="J59">
        <v>377.4</v>
      </c>
      <c r="K59" t="s">
        <v>8</v>
      </c>
    </row>
    <row r="60" spans="1:11" x14ac:dyDescent="0.25">
      <c r="A60" t="s">
        <v>333</v>
      </c>
      <c r="B60" t="s">
        <v>100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604.95000000000005</v>
      </c>
      <c r="J60">
        <v>604.95000000000005</v>
      </c>
      <c r="K60" t="s">
        <v>8</v>
      </c>
    </row>
    <row r="61" spans="1:11" x14ac:dyDescent="0.25">
      <c r="A61" t="s">
        <v>333</v>
      </c>
      <c r="B61" t="s">
        <v>109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455.1</v>
      </c>
      <c r="J61">
        <v>455.1</v>
      </c>
      <c r="K61" t="s">
        <v>8</v>
      </c>
    </row>
    <row r="62" spans="1:11" x14ac:dyDescent="0.25">
      <c r="A62" t="s">
        <v>333</v>
      </c>
      <c r="B62" t="s">
        <v>118</v>
      </c>
      <c r="C62">
        <v>0</v>
      </c>
      <c r="D62">
        <v>0</v>
      </c>
      <c r="E62">
        <v>285.92</v>
      </c>
      <c r="F62">
        <v>285.92</v>
      </c>
      <c r="G62">
        <v>0</v>
      </c>
      <c r="H62">
        <v>0</v>
      </c>
      <c r="I62">
        <v>452.1</v>
      </c>
      <c r="J62">
        <v>460.65</v>
      </c>
      <c r="K62" t="s">
        <v>8</v>
      </c>
    </row>
    <row r="63" spans="1:11" x14ac:dyDescent="0.25">
      <c r="A63" t="s">
        <v>333</v>
      </c>
      <c r="B63" t="s">
        <v>127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555</v>
      </c>
      <c r="J63">
        <v>555</v>
      </c>
      <c r="K63" t="s">
        <v>8</v>
      </c>
    </row>
    <row r="64" spans="1:11" x14ac:dyDescent="0.25">
      <c r="A64" t="s">
        <v>333</v>
      </c>
      <c r="B64" t="s">
        <v>136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471.75</v>
      </c>
      <c r="J64">
        <v>471.75</v>
      </c>
      <c r="K64" t="s">
        <v>8</v>
      </c>
    </row>
    <row r="65" spans="1:11" x14ac:dyDescent="0.25">
      <c r="A65" t="s">
        <v>333</v>
      </c>
      <c r="B65" t="s">
        <v>190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340.9</v>
      </c>
      <c r="J65">
        <v>346.13</v>
      </c>
      <c r="K65" t="s">
        <v>8</v>
      </c>
    </row>
    <row r="66" spans="1:11" x14ac:dyDescent="0.25">
      <c r="A66" t="s">
        <v>333</v>
      </c>
      <c r="B66" t="s">
        <v>199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366.3</v>
      </c>
      <c r="J66">
        <v>366.3</v>
      </c>
      <c r="K66" t="s">
        <v>8</v>
      </c>
    </row>
    <row r="67" spans="1:11" x14ac:dyDescent="0.25">
      <c r="A67" t="s">
        <v>333</v>
      </c>
      <c r="B67" t="s">
        <v>208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271.95</v>
      </c>
      <c r="J67">
        <v>206.13</v>
      </c>
      <c r="K67" t="s">
        <v>8</v>
      </c>
    </row>
    <row r="68" spans="1:11" x14ac:dyDescent="0.25">
      <c r="A68" t="s">
        <v>333</v>
      </c>
      <c r="B68" t="s">
        <v>217</v>
      </c>
      <c r="C68">
        <v>0</v>
      </c>
      <c r="D68">
        <v>0</v>
      </c>
      <c r="E68">
        <v>214.92</v>
      </c>
      <c r="F68">
        <v>0</v>
      </c>
      <c r="G68">
        <v>0</v>
      </c>
      <c r="H68">
        <v>0</v>
      </c>
      <c r="I68">
        <v>388.5</v>
      </c>
      <c r="J68">
        <v>388.5</v>
      </c>
      <c r="K68" t="s">
        <v>8</v>
      </c>
    </row>
    <row r="69" spans="1:11" x14ac:dyDescent="0.25">
      <c r="A69" t="s">
        <v>333</v>
      </c>
      <c r="B69" t="s">
        <v>235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826.95</v>
      </c>
      <c r="J69">
        <v>826.95</v>
      </c>
      <c r="K69" t="s">
        <v>8</v>
      </c>
    </row>
    <row r="70" spans="1:11" x14ac:dyDescent="0.25">
      <c r="A70" t="s">
        <v>333</v>
      </c>
      <c r="B70" t="s">
        <v>244</v>
      </c>
      <c r="C70">
        <v>0</v>
      </c>
      <c r="D70">
        <v>0</v>
      </c>
      <c r="E70">
        <v>162.58000000000001</v>
      </c>
      <c r="F70">
        <v>162.58000000000001</v>
      </c>
      <c r="G70">
        <v>0</v>
      </c>
      <c r="H70">
        <v>0</v>
      </c>
      <c r="I70">
        <v>294.10000000000002</v>
      </c>
      <c r="J70">
        <v>296.38</v>
      </c>
      <c r="K70" t="s">
        <v>8</v>
      </c>
    </row>
    <row r="71" spans="1:11" x14ac:dyDescent="0.25">
      <c r="A71" t="s">
        <v>333</v>
      </c>
      <c r="B71" t="s">
        <v>253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266.39999999999998</v>
      </c>
      <c r="J71">
        <v>266.39999999999998</v>
      </c>
      <c r="K71" t="s">
        <v>8</v>
      </c>
    </row>
    <row r="72" spans="1:11" x14ac:dyDescent="0.25">
      <c r="A72" t="s">
        <v>333</v>
      </c>
      <c r="B72" t="s">
        <v>37</v>
      </c>
      <c r="C72">
        <v>0</v>
      </c>
      <c r="D72">
        <v>0</v>
      </c>
      <c r="E72">
        <v>134.41999999999999</v>
      </c>
      <c r="G72">
        <v>0</v>
      </c>
      <c r="H72">
        <v>0</v>
      </c>
      <c r="I72">
        <v>252.3</v>
      </c>
      <c r="J72">
        <v>256.63</v>
      </c>
      <c r="K72" t="s">
        <v>8</v>
      </c>
    </row>
    <row r="73" spans="1:11" x14ac:dyDescent="0.25">
      <c r="A73" t="s">
        <v>333</v>
      </c>
      <c r="B73" t="s">
        <v>279</v>
      </c>
      <c r="C73">
        <v>0</v>
      </c>
      <c r="D73">
        <v>0</v>
      </c>
      <c r="E73">
        <v>0</v>
      </c>
      <c r="F73">
        <v>190.25</v>
      </c>
      <c r="G73">
        <v>0</v>
      </c>
      <c r="H73">
        <v>0</v>
      </c>
      <c r="I73">
        <v>338.3</v>
      </c>
      <c r="J73">
        <v>302.88</v>
      </c>
      <c r="K73" t="s">
        <v>8</v>
      </c>
    </row>
    <row r="74" spans="1:11" x14ac:dyDescent="0.25">
      <c r="A74" t="s">
        <v>333</v>
      </c>
      <c r="B74" t="s">
        <v>306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349.65</v>
      </c>
      <c r="J74">
        <v>349.65</v>
      </c>
      <c r="K74" t="s">
        <v>8</v>
      </c>
    </row>
    <row r="75" spans="1:11" x14ac:dyDescent="0.25">
      <c r="A75" t="s">
        <v>333</v>
      </c>
      <c r="B75" t="s">
        <v>315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899.1</v>
      </c>
      <c r="J75">
        <v>899.1</v>
      </c>
      <c r="K75" t="s">
        <v>8</v>
      </c>
    </row>
    <row r="76" spans="1:11" x14ac:dyDescent="0.25">
      <c r="A76" t="s">
        <v>333</v>
      </c>
      <c r="B76" t="s">
        <v>333</v>
      </c>
      <c r="C76">
        <v>0</v>
      </c>
      <c r="D76">
        <v>0</v>
      </c>
      <c r="E76">
        <v>90.92</v>
      </c>
      <c r="F76">
        <v>0</v>
      </c>
      <c r="G76">
        <v>0</v>
      </c>
      <c r="H76">
        <v>0</v>
      </c>
      <c r="I76">
        <v>197.1</v>
      </c>
      <c r="J76">
        <v>163.88</v>
      </c>
      <c r="K76" t="s">
        <v>8</v>
      </c>
    </row>
    <row r="77" spans="1:11" x14ac:dyDescent="0.25">
      <c r="A77" t="s">
        <v>333</v>
      </c>
      <c r="B77" t="s">
        <v>351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643.79999999999995</v>
      </c>
      <c r="J77">
        <v>643.79999999999995</v>
      </c>
      <c r="K77" t="s">
        <v>8</v>
      </c>
    </row>
    <row r="78" spans="1:11" x14ac:dyDescent="0.25">
      <c r="A78" t="s">
        <v>333</v>
      </c>
      <c r="B78" t="s">
        <v>360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643.79999999999995</v>
      </c>
      <c r="J78">
        <v>643.79999999999995</v>
      </c>
      <c r="K78" t="s">
        <v>8</v>
      </c>
    </row>
    <row r="79" spans="1:11" x14ac:dyDescent="0.25">
      <c r="A79" t="s">
        <v>333</v>
      </c>
      <c r="B79" t="s">
        <v>369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754.8</v>
      </c>
      <c r="J79">
        <v>754.8</v>
      </c>
      <c r="K79" t="s">
        <v>8</v>
      </c>
    </row>
    <row r="80" spans="1:11" x14ac:dyDescent="0.25">
      <c r="A80" t="s">
        <v>333</v>
      </c>
      <c r="B80" t="s">
        <v>387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238.65</v>
      </c>
      <c r="J80">
        <v>238.65</v>
      </c>
      <c r="K80" t="s">
        <v>8</v>
      </c>
    </row>
    <row r="81" spans="1:11" x14ac:dyDescent="0.25">
      <c r="A81" t="s">
        <v>333</v>
      </c>
      <c r="B81" t="s">
        <v>405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233.1</v>
      </c>
      <c r="J81">
        <v>233.1</v>
      </c>
      <c r="K81" t="s">
        <v>8</v>
      </c>
    </row>
    <row r="82" spans="1:11" x14ac:dyDescent="0.25">
      <c r="A82" t="s">
        <v>333</v>
      </c>
      <c r="B82" t="s">
        <v>432</v>
      </c>
      <c r="C82">
        <v>0</v>
      </c>
      <c r="D82">
        <v>0</v>
      </c>
      <c r="E82">
        <v>0</v>
      </c>
      <c r="F82">
        <v>147.41999999999999</v>
      </c>
      <c r="G82">
        <v>0</v>
      </c>
      <c r="H82">
        <v>0</v>
      </c>
      <c r="I82">
        <v>244.2</v>
      </c>
      <c r="J82">
        <v>244.2</v>
      </c>
      <c r="K82" t="s">
        <v>8</v>
      </c>
    </row>
    <row r="83" spans="1:11" x14ac:dyDescent="0.25">
      <c r="A83" t="s">
        <v>333</v>
      </c>
      <c r="B83" t="s">
        <v>441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371.85</v>
      </c>
      <c r="J83">
        <v>371.85</v>
      </c>
      <c r="K83" t="s">
        <v>8</v>
      </c>
    </row>
    <row r="84" spans="1:11" x14ac:dyDescent="0.25">
      <c r="A84" t="s">
        <v>333</v>
      </c>
      <c r="B84" t="s">
        <v>450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555</v>
      </c>
      <c r="J84">
        <v>555</v>
      </c>
      <c r="K84" t="s">
        <v>8</v>
      </c>
    </row>
    <row r="85" spans="1:11" x14ac:dyDescent="0.25">
      <c r="A85" t="s">
        <v>333</v>
      </c>
      <c r="B85" t="s">
        <v>468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493.95</v>
      </c>
      <c r="J85">
        <v>493.95</v>
      </c>
      <c r="K85" t="s">
        <v>8</v>
      </c>
    </row>
    <row r="86" spans="1:11" x14ac:dyDescent="0.25">
      <c r="A86" t="s">
        <v>333</v>
      </c>
      <c r="B86" t="s">
        <v>522</v>
      </c>
      <c r="C86">
        <v>0</v>
      </c>
      <c r="D86">
        <v>0</v>
      </c>
      <c r="E86">
        <v>239.42</v>
      </c>
      <c r="F86">
        <v>0</v>
      </c>
      <c r="G86">
        <v>0</v>
      </c>
      <c r="H86">
        <v>0</v>
      </c>
      <c r="I86">
        <v>399.3</v>
      </c>
      <c r="J86">
        <v>406.63</v>
      </c>
      <c r="K86" t="s">
        <v>8</v>
      </c>
    </row>
    <row r="87" spans="1:11" x14ac:dyDescent="0.25">
      <c r="A87" t="s">
        <v>333</v>
      </c>
      <c r="B87" t="s">
        <v>540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444</v>
      </c>
      <c r="J87">
        <v>444</v>
      </c>
      <c r="K87" t="s">
        <v>8</v>
      </c>
    </row>
    <row r="88" spans="1:11" x14ac:dyDescent="0.25">
      <c r="A88" t="s">
        <v>333</v>
      </c>
      <c r="B88" t="s">
        <v>594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799.2</v>
      </c>
      <c r="J88">
        <v>765.9</v>
      </c>
      <c r="K88" t="s">
        <v>8</v>
      </c>
    </row>
    <row r="89" spans="1:11" x14ac:dyDescent="0.25">
      <c r="A89" t="s">
        <v>333</v>
      </c>
      <c r="B89" t="s">
        <v>603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338.55</v>
      </c>
      <c r="J89">
        <v>338.55</v>
      </c>
      <c r="K89" t="s">
        <v>8</v>
      </c>
    </row>
    <row r="90" spans="1:11" x14ac:dyDescent="0.25">
      <c r="A90" t="s">
        <v>333</v>
      </c>
      <c r="B90" t="s">
        <v>630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377.4</v>
      </c>
      <c r="J90">
        <v>377.4</v>
      </c>
      <c r="K90" t="s">
        <v>8</v>
      </c>
    </row>
    <row r="91" spans="1:11" x14ac:dyDescent="0.25">
      <c r="A91" t="s">
        <v>333</v>
      </c>
      <c r="B91" t="s">
        <v>639</v>
      </c>
      <c r="C91">
        <v>0</v>
      </c>
      <c r="D91">
        <v>0</v>
      </c>
      <c r="E91">
        <v>320.42</v>
      </c>
      <c r="F91">
        <v>0</v>
      </c>
      <c r="G91">
        <v>0</v>
      </c>
      <c r="H91">
        <v>0</v>
      </c>
      <c r="I91">
        <v>577.20000000000005</v>
      </c>
      <c r="J91">
        <v>577.20000000000005</v>
      </c>
      <c r="K91" t="s">
        <v>8</v>
      </c>
    </row>
    <row r="92" spans="1:11" x14ac:dyDescent="0.25">
      <c r="A92" t="s">
        <v>333</v>
      </c>
      <c r="B92" t="s">
        <v>648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460.65</v>
      </c>
      <c r="J92">
        <v>460.65</v>
      </c>
      <c r="K92" t="s">
        <v>8</v>
      </c>
    </row>
    <row r="93" spans="1:11" x14ac:dyDescent="0.25">
      <c r="A93" t="s">
        <v>333</v>
      </c>
      <c r="B93" t="s">
        <v>657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488.4</v>
      </c>
      <c r="J93">
        <v>488.4</v>
      </c>
      <c r="K93" t="s">
        <v>8</v>
      </c>
    </row>
    <row r="94" spans="1:11" x14ac:dyDescent="0.25">
      <c r="A94" t="s">
        <v>333</v>
      </c>
      <c r="B94" t="s">
        <v>675</v>
      </c>
      <c r="C94">
        <v>0</v>
      </c>
      <c r="D94">
        <v>0</v>
      </c>
      <c r="E94">
        <v>196.92</v>
      </c>
      <c r="F94">
        <v>0</v>
      </c>
      <c r="G94">
        <v>0</v>
      </c>
      <c r="H94">
        <v>0</v>
      </c>
      <c r="I94">
        <v>350.3</v>
      </c>
      <c r="J94">
        <v>355.38</v>
      </c>
      <c r="K94" t="s">
        <v>8</v>
      </c>
    </row>
    <row r="95" spans="1:11" x14ac:dyDescent="0.25">
      <c r="A95" t="s">
        <v>333</v>
      </c>
      <c r="B95" t="s">
        <v>684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599.4</v>
      </c>
      <c r="J95">
        <v>599.4</v>
      </c>
      <c r="K95" t="s">
        <v>8</v>
      </c>
    </row>
    <row r="96" spans="1:11" x14ac:dyDescent="0.25">
      <c r="A96" t="s">
        <v>333</v>
      </c>
      <c r="B96" t="s">
        <v>702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627.15</v>
      </c>
      <c r="J96">
        <v>627.15</v>
      </c>
      <c r="K96" t="s">
        <v>8</v>
      </c>
    </row>
    <row r="97" spans="1:11" x14ac:dyDescent="0.25">
      <c r="A97" t="s">
        <v>333</v>
      </c>
      <c r="B97" t="s">
        <v>729</v>
      </c>
      <c r="C97">
        <v>0</v>
      </c>
      <c r="D97">
        <v>0</v>
      </c>
      <c r="E97">
        <v>187.92</v>
      </c>
      <c r="F97">
        <v>187.92</v>
      </c>
      <c r="G97">
        <v>0</v>
      </c>
      <c r="H97">
        <v>0</v>
      </c>
      <c r="I97">
        <v>330.5</v>
      </c>
      <c r="J97">
        <v>334.38</v>
      </c>
      <c r="K97" t="s">
        <v>8</v>
      </c>
    </row>
    <row r="98" spans="1:11" x14ac:dyDescent="0.25">
      <c r="A98" t="s">
        <v>333</v>
      </c>
      <c r="B98" t="s">
        <v>738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338.55</v>
      </c>
      <c r="J98">
        <v>317.13</v>
      </c>
      <c r="K98" t="s">
        <v>8</v>
      </c>
    </row>
    <row r="99" spans="1:11" x14ac:dyDescent="0.25">
      <c r="A99" t="s">
        <v>333</v>
      </c>
      <c r="B99" t="s">
        <v>747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382.95</v>
      </c>
      <c r="J99">
        <v>382.95</v>
      </c>
      <c r="K99" t="s">
        <v>8</v>
      </c>
    </row>
    <row r="100" spans="1:11" x14ac:dyDescent="0.25">
      <c r="A100" t="s">
        <v>333</v>
      </c>
      <c r="B100" t="s">
        <v>756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527.25</v>
      </c>
      <c r="J100">
        <v>527.25</v>
      </c>
      <c r="K100" t="s">
        <v>8</v>
      </c>
    </row>
    <row r="101" spans="1:11" x14ac:dyDescent="0.25">
      <c r="A101" t="s">
        <v>333</v>
      </c>
      <c r="B101" t="s">
        <v>765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960.15</v>
      </c>
      <c r="J101">
        <v>960.15</v>
      </c>
      <c r="K101" t="s">
        <v>8</v>
      </c>
    </row>
    <row r="102" spans="1:11" x14ac:dyDescent="0.25">
      <c r="A102" t="s">
        <v>333</v>
      </c>
      <c r="B102" t="s">
        <v>783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377.4</v>
      </c>
      <c r="J102">
        <v>377.4</v>
      </c>
      <c r="K102" t="s">
        <v>8</v>
      </c>
    </row>
    <row r="103" spans="1:11" x14ac:dyDescent="0.25">
      <c r="A103" t="s">
        <v>333</v>
      </c>
      <c r="B103" t="s">
        <v>792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621.6</v>
      </c>
      <c r="J103">
        <v>621.6</v>
      </c>
      <c r="K103" t="s">
        <v>8</v>
      </c>
    </row>
    <row r="104" spans="1:11" x14ac:dyDescent="0.25">
      <c r="A104" t="s">
        <v>333</v>
      </c>
      <c r="B104" t="s">
        <v>819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604.95000000000005</v>
      </c>
      <c r="J104">
        <v>591.38</v>
      </c>
      <c r="K104" t="s">
        <v>8</v>
      </c>
    </row>
    <row r="105" spans="1:11" x14ac:dyDescent="0.25">
      <c r="A105" t="s">
        <v>333</v>
      </c>
      <c r="B105" t="s">
        <v>828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438.45</v>
      </c>
      <c r="J105">
        <v>438.45</v>
      </c>
      <c r="K105" t="s">
        <v>8</v>
      </c>
    </row>
    <row r="106" spans="1:11" x14ac:dyDescent="0.25">
      <c r="A106" t="s">
        <v>333</v>
      </c>
      <c r="B106" t="s">
        <v>846</v>
      </c>
      <c r="C106">
        <v>0</v>
      </c>
      <c r="D106">
        <v>0</v>
      </c>
      <c r="E106">
        <v>201.25</v>
      </c>
      <c r="F106">
        <v>0</v>
      </c>
      <c r="G106">
        <v>0</v>
      </c>
      <c r="H106">
        <v>0</v>
      </c>
      <c r="I106">
        <v>319.5</v>
      </c>
      <c r="J106">
        <v>324.38</v>
      </c>
      <c r="K106" t="s">
        <v>8</v>
      </c>
    </row>
    <row r="107" spans="1:11" x14ac:dyDescent="0.25">
      <c r="A107" t="s">
        <v>333</v>
      </c>
      <c r="B107" t="s">
        <v>855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449.55</v>
      </c>
      <c r="J107">
        <v>449.55</v>
      </c>
      <c r="K107" t="s">
        <v>8</v>
      </c>
    </row>
    <row r="108" spans="1:11" x14ac:dyDescent="0.25">
      <c r="A108" t="s">
        <v>333</v>
      </c>
      <c r="B108" t="s">
        <v>864</v>
      </c>
      <c r="C108">
        <v>0</v>
      </c>
      <c r="D108">
        <v>0</v>
      </c>
      <c r="E108">
        <v>317.75</v>
      </c>
      <c r="F108">
        <v>317.75</v>
      </c>
      <c r="G108">
        <v>0</v>
      </c>
      <c r="H108">
        <v>0</v>
      </c>
      <c r="I108">
        <v>493.95</v>
      </c>
      <c r="J108">
        <v>493.95</v>
      </c>
      <c r="K108" t="s">
        <v>8</v>
      </c>
    </row>
    <row r="109" spans="1:11" x14ac:dyDescent="0.25">
      <c r="A109" t="s">
        <v>333</v>
      </c>
      <c r="B109" t="s">
        <v>882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560.54999999999995</v>
      </c>
      <c r="J109">
        <v>560.54999999999995</v>
      </c>
      <c r="K109" t="s">
        <v>8</v>
      </c>
    </row>
    <row r="110" spans="1:11" x14ac:dyDescent="0.25">
      <c r="A110" t="s">
        <v>333</v>
      </c>
      <c r="B110" t="s">
        <v>909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288.60000000000002</v>
      </c>
      <c r="J110">
        <v>277.5</v>
      </c>
      <c r="K110" t="s">
        <v>8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0C4B8-4E87-4491-A27C-8A7503F518B8}">
  <sheetPr>
    <tabColor theme="8"/>
  </sheetPr>
  <dimension ref="A1:J110"/>
  <sheetViews>
    <sheetView topLeftCell="A73" zoomScale="70" zoomScaleNormal="70" workbookViewId="0">
      <selection activeCell="C2" sqref="C2:J110"/>
    </sheetView>
  </sheetViews>
  <sheetFormatPr baseColWidth="10" defaultColWidth="11.42578125" defaultRowHeight="15" x14ac:dyDescent="0.25"/>
  <cols>
    <col min="1" max="1" width="10.5703125" bestFit="1" customWidth="1"/>
    <col min="2" max="2" width="23.85546875" bestFit="1" customWidth="1"/>
    <col min="3" max="5" width="11.5703125" style="1" customWidth="1"/>
    <col min="6" max="6" width="12.5703125" style="1" customWidth="1"/>
    <col min="7" max="9" width="13.5703125" style="1" customWidth="1"/>
    <col min="10" max="10" width="14" style="1" bestFit="1" customWidth="1"/>
  </cols>
  <sheetData>
    <row r="1" spans="1:10" x14ac:dyDescent="0.25">
      <c r="A1" t="s">
        <v>1</v>
      </c>
      <c r="B1" t="s">
        <v>2</v>
      </c>
      <c r="C1" s="1" t="s">
        <v>21</v>
      </c>
      <c r="D1" s="1" t="s">
        <v>29</v>
      </c>
      <c r="E1" s="1" t="s">
        <v>31</v>
      </c>
      <c r="F1" s="1" t="s">
        <v>33</v>
      </c>
      <c r="G1" s="1" t="s">
        <v>23</v>
      </c>
      <c r="H1" s="1" t="s">
        <v>25</v>
      </c>
      <c r="I1" s="1" t="s">
        <v>27</v>
      </c>
      <c r="J1" s="1" t="s">
        <v>35</v>
      </c>
    </row>
    <row r="2" spans="1:10" x14ac:dyDescent="0.25">
      <c r="A2" t="s">
        <v>46</v>
      </c>
      <c r="B2" t="s">
        <v>450</v>
      </c>
      <c r="C2" s="45">
        <v>0</v>
      </c>
      <c r="D2" s="45">
        <v>0</v>
      </c>
      <c r="E2" s="45">
        <v>0</v>
      </c>
      <c r="F2" s="45">
        <v>0</v>
      </c>
      <c r="G2" s="45">
        <v>0</v>
      </c>
      <c r="H2" s="45">
        <v>0</v>
      </c>
      <c r="I2" s="45">
        <v>0</v>
      </c>
      <c r="J2" s="45">
        <v>0</v>
      </c>
    </row>
    <row r="3" spans="1:10" x14ac:dyDescent="0.25">
      <c r="A3" t="s">
        <v>46</v>
      </c>
      <c r="B3" t="s">
        <v>639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0</v>
      </c>
      <c r="J3" s="45">
        <v>0</v>
      </c>
    </row>
    <row r="4" spans="1:10" x14ac:dyDescent="0.25">
      <c r="A4" t="s">
        <v>46</v>
      </c>
      <c r="B4" t="s">
        <v>702</v>
      </c>
      <c r="C4" s="45">
        <v>0</v>
      </c>
      <c r="D4" s="45">
        <v>0</v>
      </c>
      <c r="E4" s="45">
        <v>0</v>
      </c>
      <c r="F4" s="45">
        <v>0</v>
      </c>
      <c r="G4" s="45">
        <v>0</v>
      </c>
      <c r="H4" s="45">
        <v>0</v>
      </c>
      <c r="I4" s="45">
        <v>0</v>
      </c>
      <c r="J4" s="45">
        <v>0</v>
      </c>
    </row>
    <row r="5" spans="1:10" x14ac:dyDescent="0.25">
      <c r="A5" t="s">
        <v>37</v>
      </c>
      <c r="B5" t="s">
        <v>46</v>
      </c>
      <c r="C5" s="45">
        <v>0</v>
      </c>
      <c r="D5" s="45">
        <v>0</v>
      </c>
      <c r="E5" s="45">
        <v>0</v>
      </c>
      <c r="F5" s="45">
        <v>0</v>
      </c>
      <c r="G5" s="45">
        <v>0</v>
      </c>
      <c r="H5" s="45">
        <v>0</v>
      </c>
      <c r="I5" s="45">
        <v>579.97500000000002</v>
      </c>
      <c r="J5" s="45">
        <v>579.97500000000002</v>
      </c>
    </row>
    <row r="6" spans="1:10" x14ac:dyDescent="0.25">
      <c r="A6" t="s">
        <v>37</v>
      </c>
      <c r="B6" t="s">
        <v>82</v>
      </c>
      <c r="C6" s="45">
        <v>0</v>
      </c>
      <c r="D6" s="45">
        <v>0</v>
      </c>
      <c r="E6" s="45">
        <v>213.21300000000002</v>
      </c>
      <c r="F6" s="45">
        <v>213.21300000000002</v>
      </c>
      <c r="G6" s="45">
        <v>0</v>
      </c>
      <c r="H6" s="45">
        <v>0</v>
      </c>
      <c r="I6" s="45">
        <v>451.77000000000004</v>
      </c>
      <c r="J6" s="45">
        <v>451.77000000000004</v>
      </c>
    </row>
    <row r="7" spans="1:10" x14ac:dyDescent="0.25">
      <c r="A7" t="s">
        <v>37</v>
      </c>
      <c r="B7" t="s">
        <v>100</v>
      </c>
      <c r="C7" s="45">
        <v>0</v>
      </c>
      <c r="D7" s="45">
        <v>0</v>
      </c>
      <c r="E7" s="45">
        <v>0</v>
      </c>
      <c r="F7" s="45">
        <v>0</v>
      </c>
      <c r="G7" s="45">
        <v>0</v>
      </c>
      <c r="H7" s="45">
        <v>0</v>
      </c>
      <c r="I7" s="45">
        <v>671.55000000000007</v>
      </c>
      <c r="J7" s="45">
        <v>671.55000000000007</v>
      </c>
    </row>
    <row r="8" spans="1:10" x14ac:dyDescent="0.25">
      <c r="A8" t="s">
        <v>37</v>
      </c>
      <c r="B8" t="s">
        <v>109</v>
      </c>
      <c r="C8" s="45">
        <v>0</v>
      </c>
      <c r="D8" s="45">
        <v>0</v>
      </c>
      <c r="E8" s="45">
        <v>248.60000000000002</v>
      </c>
      <c r="F8" s="45">
        <v>0</v>
      </c>
      <c r="G8" s="45">
        <v>0</v>
      </c>
      <c r="H8" s="45">
        <v>0</v>
      </c>
      <c r="I8" s="45">
        <v>488.40000000000003</v>
      </c>
      <c r="J8" s="45">
        <v>488.40000000000003</v>
      </c>
    </row>
    <row r="9" spans="1:10" x14ac:dyDescent="0.25">
      <c r="A9" t="s">
        <v>37</v>
      </c>
      <c r="B9" t="s">
        <v>118</v>
      </c>
      <c r="C9" s="45">
        <v>0</v>
      </c>
      <c r="D9" s="45">
        <v>0</v>
      </c>
      <c r="E9" s="45">
        <v>190.48699999999999</v>
      </c>
      <c r="F9" s="45">
        <v>190.48699999999999</v>
      </c>
      <c r="G9" s="45">
        <v>0</v>
      </c>
      <c r="H9" s="45">
        <v>0</v>
      </c>
      <c r="I9" s="45">
        <v>366.08000000000004</v>
      </c>
      <c r="J9" s="45">
        <v>372.40500000000003</v>
      </c>
    </row>
    <row r="10" spans="1:10" x14ac:dyDescent="0.25">
      <c r="A10" t="s">
        <v>37</v>
      </c>
      <c r="B10" t="s">
        <v>127</v>
      </c>
      <c r="C10" s="45">
        <v>0</v>
      </c>
      <c r="D10" s="45">
        <v>0</v>
      </c>
      <c r="E10" s="45">
        <v>243.10000000000002</v>
      </c>
      <c r="F10" s="45">
        <v>243.10000000000002</v>
      </c>
      <c r="G10" s="45">
        <v>0</v>
      </c>
      <c r="H10" s="45">
        <v>0</v>
      </c>
      <c r="I10" s="45">
        <v>488.40000000000003</v>
      </c>
      <c r="J10" s="45">
        <v>499.40000000000003</v>
      </c>
    </row>
    <row r="11" spans="1:10" x14ac:dyDescent="0.25">
      <c r="A11" t="s">
        <v>37</v>
      </c>
      <c r="B11" t="s">
        <v>136</v>
      </c>
      <c r="C11" s="45">
        <v>0</v>
      </c>
      <c r="D11" s="45">
        <v>0</v>
      </c>
      <c r="E11" s="45">
        <v>0</v>
      </c>
      <c r="F11" s="45">
        <v>254.46300000000002</v>
      </c>
      <c r="G11" s="45">
        <v>0</v>
      </c>
      <c r="H11" s="45">
        <v>0</v>
      </c>
      <c r="I11" s="45">
        <v>476.19</v>
      </c>
      <c r="J11" s="45">
        <v>476.19</v>
      </c>
    </row>
    <row r="12" spans="1:10" x14ac:dyDescent="0.25">
      <c r="A12" t="s">
        <v>37</v>
      </c>
      <c r="B12" t="s">
        <v>190</v>
      </c>
      <c r="C12" s="45">
        <v>0</v>
      </c>
      <c r="D12" s="45">
        <v>0</v>
      </c>
      <c r="E12" s="45">
        <v>233.20000000000002</v>
      </c>
      <c r="F12" s="45">
        <v>233.20000000000002</v>
      </c>
      <c r="G12" s="45">
        <v>0</v>
      </c>
      <c r="H12" s="45">
        <v>0</v>
      </c>
      <c r="I12" s="45">
        <v>460.24</v>
      </c>
      <c r="J12" s="45">
        <v>470.8</v>
      </c>
    </row>
    <row r="13" spans="1:10" x14ac:dyDescent="0.25">
      <c r="A13" t="s">
        <v>37</v>
      </c>
      <c r="B13" t="s">
        <v>199</v>
      </c>
      <c r="C13" s="45">
        <v>0</v>
      </c>
      <c r="D13" s="45">
        <v>0</v>
      </c>
      <c r="E13" s="45">
        <v>0</v>
      </c>
      <c r="F13" s="45">
        <v>482.16300000000001</v>
      </c>
      <c r="G13" s="45">
        <v>0</v>
      </c>
      <c r="H13" s="45">
        <v>0</v>
      </c>
      <c r="I13" s="45">
        <v>671.55000000000007</v>
      </c>
      <c r="J13" s="45">
        <v>671.55000000000007</v>
      </c>
    </row>
    <row r="14" spans="1:10" x14ac:dyDescent="0.25">
      <c r="A14" t="s">
        <v>37</v>
      </c>
      <c r="B14" t="s">
        <v>208</v>
      </c>
      <c r="C14" s="45">
        <v>0</v>
      </c>
      <c r="D14" s="45">
        <v>0</v>
      </c>
      <c r="E14" s="45">
        <v>156.20000000000002</v>
      </c>
      <c r="F14" s="45">
        <v>156.20000000000002</v>
      </c>
      <c r="G14" s="45">
        <v>0</v>
      </c>
      <c r="H14" s="45">
        <v>0</v>
      </c>
      <c r="I14" s="45">
        <v>324.94</v>
      </c>
      <c r="J14" s="45">
        <v>297.55</v>
      </c>
    </row>
    <row r="15" spans="1:10" x14ac:dyDescent="0.25">
      <c r="A15" t="s">
        <v>37</v>
      </c>
      <c r="B15" t="s">
        <v>217</v>
      </c>
      <c r="C15" s="45">
        <v>0</v>
      </c>
      <c r="D15" s="45">
        <v>0</v>
      </c>
      <c r="E15" s="45">
        <v>169.21300000000002</v>
      </c>
      <c r="F15" s="45">
        <v>169.21300000000002</v>
      </c>
      <c r="G15" s="45">
        <v>0</v>
      </c>
      <c r="H15" s="45">
        <v>0</v>
      </c>
      <c r="I15" s="45">
        <v>299.86000000000007</v>
      </c>
      <c r="J15" s="45">
        <v>305.25</v>
      </c>
    </row>
    <row r="16" spans="1:10" x14ac:dyDescent="0.25">
      <c r="A16" t="s">
        <v>37</v>
      </c>
      <c r="B16" t="s">
        <v>235</v>
      </c>
      <c r="C16" s="45">
        <v>0</v>
      </c>
      <c r="D16" s="45">
        <v>0</v>
      </c>
      <c r="E16" s="45">
        <v>503.98700000000008</v>
      </c>
      <c r="F16" s="45">
        <v>0</v>
      </c>
      <c r="G16" s="45">
        <v>0</v>
      </c>
      <c r="H16" s="45">
        <v>0</v>
      </c>
      <c r="I16" s="45">
        <v>860.80500000000006</v>
      </c>
      <c r="J16" s="45">
        <v>860.80500000000006</v>
      </c>
    </row>
    <row r="17" spans="1:10" x14ac:dyDescent="0.25">
      <c r="A17" t="s">
        <v>37</v>
      </c>
      <c r="B17" t="s">
        <v>244</v>
      </c>
      <c r="C17" s="45">
        <v>0</v>
      </c>
      <c r="D17" s="45">
        <v>0</v>
      </c>
      <c r="E17" s="45">
        <v>176.73699999999999</v>
      </c>
      <c r="F17" s="45">
        <v>176.73699999999999</v>
      </c>
      <c r="G17" s="45">
        <v>0</v>
      </c>
      <c r="H17" s="45">
        <v>0</v>
      </c>
      <c r="I17" s="45">
        <v>346.28000000000003</v>
      </c>
      <c r="J17" s="45">
        <v>353.1</v>
      </c>
    </row>
    <row r="18" spans="1:10" x14ac:dyDescent="0.25">
      <c r="A18" t="s">
        <v>37</v>
      </c>
      <c r="B18" t="s">
        <v>253</v>
      </c>
      <c r="C18" s="45">
        <v>0</v>
      </c>
      <c r="D18" s="45">
        <v>0</v>
      </c>
      <c r="E18" s="45">
        <v>164.26300000000003</v>
      </c>
      <c r="F18" s="45">
        <v>164.26300000000003</v>
      </c>
      <c r="G18" s="45">
        <v>0</v>
      </c>
      <c r="H18" s="45">
        <v>0</v>
      </c>
      <c r="I18" s="45">
        <v>378.51000000000005</v>
      </c>
      <c r="J18" s="45">
        <v>378.51000000000005</v>
      </c>
    </row>
    <row r="19" spans="1:10" x14ac:dyDescent="0.25">
      <c r="A19" t="s">
        <v>37</v>
      </c>
      <c r="B19" t="s">
        <v>37</v>
      </c>
      <c r="C19" s="45">
        <v>0</v>
      </c>
      <c r="D19" s="45">
        <v>0</v>
      </c>
      <c r="E19" s="45">
        <v>85.437000000000012</v>
      </c>
      <c r="F19" s="45">
        <v>85.437000000000012</v>
      </c>
      <c r="G19" s="45">
        <v>0</v>
      </c>
      <c r="H19" s="45">
        <v>0</v>
      </c>
      <c r="I19" s="45">
        <v>147.62</v>
      </c>
      <c r="J19" s="45">
        <v>150.15</v>
      </c>
    </row>
    <row r="20" spans="1:10" x14ac:dyDescent="0.25">
      <c r="A20" t="s">
        <v>37</v>
      </c>
      <c r="B20" t="s">
        <v>279</v>
      </c>
      <c r="C20" s="45">
        <v>0</v>
      </c>
      <c r="D20" s="45">
        <v>0</v>
      </c>
      <c r="E20" s="45">
        <v>218.9</v>
      </c>
      <c r="F20" s="45">
        <v>218.9</v>
      </c>
      <c r="G20" s="45">
        <v>0</v>
      </c>
      <c r="H20" s="45">
        <v>0</v>
      </c>
      <c r="I20" s="45">
        <v>412.28000000000003</v>
      </c>
      <c r="J20" s="45">
        <v>410.85</v>
      </c>
    </row>
    <row r="21" spans="1:10" x14ac:dyDescent="0.25">
      <c r="A21" t="s">
        <v>37</v>
      </c>
      <c r="B21" t="s">
        <v>306</v>
      </c>
      <c r="C21" s="45">
        <v>0</v>
      </c>
      <c r="D21" s="45">
        <v>0</v>
      </c>
      <c r="E21" s="45">
        <v>0</v>
      </c>
      <c r="F21" s="45">
        <v>0</v>
      </c>
      <c r="G21" s="45">
        <v>0</v>
      </c>
      <c r="H21" s="45">
        <v>0</v>
      </c>
      <c r="I21" s="45">
        <v>445.66500000000002</v>
      </c>
      <c r="J21" s="45">
        <v>445.66500000000002</v>
      </c>
    </row>
    <row r="22" spans="1:10" x14ac:dyDescent="0.25">
      <c r="A22" t="s">
        <v>37</v>
      </c>
      <c r="B22" t="s">
        <v>315</v>
      </c>
      <c r="C22" s="45">
        <v>0</v>
      </c>
      <c r="D22" s="45">
        <v>0</v>
      </c>
      <c r="E22" s="45">
        <v>581.90000000000009</v>
      </c>
      <c r="F22" s="45">
        <v>0</v>
      </c>
      <c r="G22" s="45">
        <v>0</v>
      </c>
      <c r="H22" s="45">
        <v>0</v>
      </c>
      <c r="I22" s="45">
        <v>925.98</v>
      </c>
      <c r="J22" s="45">
        <v>934.06500000000005</v>
      </c>
    </row>
    <row r="23" spans="1:10" x14ac:dyDescent="0.25">
      <c r="A23" t="s">
        <v>37</v>
      </c>
      <c r="B23" t="s">
        <v>333</v>
      </c>
      <c r="C23" s="45">
        <v>0</v>
      </c>
      <c r="D23" s="45">
        <v>0</v>
      </c>
      <c r="E23" s="45">
        <v>156.387</v>
      </c>
      <c r="F23" s="45">
        <v>156.387</v>
      </c>
      <c r="G23" s="45">
        <v>0</v>
      </c>
      <c r="H23" s="45">
        <v>0</v>
      </c>
      <c r="I23" s="45">
        <v>275.66000000000003</v>
      </c>
      <c r="J23" s="45">
        <v>270.32500000000005</v>
      </c>
    </row>
    <row r="24" spans="1:10" x14ac:dyDescent="0.25">
      <c r="A24" t="s">
        <v>37</v>
      </c>
      <c r="B24" t="s">
        <v>351</v>
      </c>
      <c r="C24" s="45">
        <v>0</v>
      </c>
      <c r="D24" s="45">
        <v>0</v>
      </c>
      <c r="E24" s="45">
        <v>329.08700000000005</v>
      </c>
      <c r="F24" s="45">
        <v>329.08700000000005</v>
      </c>
      <c r="G24" s="45">
        <v>0</v>
      </c>
      <c r="H24" s="45">
        <v>0</v>
      </c>
      <c r="I24" s="45">
        <v>610.5</v>
      </c>
      <c r="J24" s="45">
        <v>610.5</v>
      </c>
    </row>
    <row r="25" spans="1:10" x14ac:dyDescent="0.25">
      <c r="A25" t="s">
        <v>37</v>
      </c>
      <c r="B25" t="s">
        <v>360</v>
      </c>
      <c r="C25" s="45">
        <v>0</v>
      </c>
      <c r="D25" s="45">
        <v>0</v>
      </c>
      <c r="E25" s="45">
        <v>328.16300000000001</v>
      </c>
      <c r="F25" s="45">
        <v>328.16300000000001</v>
      </c>
      <c r="G25" s="45">
        <v>0</v>
      </c>
      <c r="H25" s="45">
        <v>0</v>
      </c>
      <c r="I25" s="45">
        <v>604.3950000000001</v>
      </c>
      <c r="J25" s="45">
        <v>604.3950000000001</v>
      </c>
    </row>
    <row r="26" spans="1:10" x14ac:dyDescent="0.25">
      <c r="A26" t="s">
        <v>37</v>
      </c>
      <c r="B26" t="s">
        <v>369</v>
      </c>
      <c r="C26" s="45">
        <v>0</v>
      </c>
      <c r="D26" s="45">
        <v>0</v>
      </c>
      <c r="E26" s="45">
        <v>532.95000000000005</v>
      </c>
      <c r="F26" s="45">
        <v>0</v>
      </c>
      <c r="G26" s="45">
        <v>0</v>
      </c>
      <c r="H26" s="45">
        <v>0</v>
      </c>
      <c r="I26" s="45">
        <v>775.33500000000004</v>
      </c>
      <c r="J26" s="45">
        <v>775.33500000000004</v>
      </c>
    </row>
    <row r="27" spans="1:10" x14ac:dyDescent="0.25">
      <c r="A27" t="s">
        <v>37</v>
      </c>
      <c r="B27" t="s">
        <v>387</v>
      </c>
      <c r="C27" s="45">
        <v>0</v>
      </c>
      <c r="D27" s="45">
        <v>0</v>
      </c>
      <c r="E27" s="45">
        <v>168.11300000000003</v>
      </c>
      <c r="F27" s="45">
        <v>168.11300000000003</v>
      </c>
      <c r="G27" s="45">
        <v>0</v>
      </c>
      <c r="H27" s="45">
        <v>0</v>
      </c>
      <c r="I27" s="45">
        <v>329.67</v>
      </c>
      <c r="J27" s="45">
        <v>329.67</v>
      </c>
    </row>
    <row r="28" spans="1:10" x14ac:dyDescent="0.25">
      <c r="A28" t="s">
        <v>37</v>
      </c>
      <c r="B28" t="s">
        <v>405</v>
      </c>
      <c r="C28" s="45">
        <v>0</v>
      </c>
      <c r="D28" s="45">
        <v>0</v>
      </c>
      <c r="E28" s="45">
        <v>114.4</v>
      </c>
      <c r="F28" s="45">
        <v>114.4</v>
      </c>
      <c r="G28" s="45">
        <v>0</v>
      </c>
      <c r="H28" s="45">
        <v>0</v>
      </c>
      <c r="I28" s="45">
        <v>220.88000000000002</v>
      </c>
      <c r="J28" s="45">
        <v>223.85000000000002</v>
      </c>
    </row>
    <row r="29" spans="1:10" x14ac:dyDescent="0.25">
      <c r="A29" t="s">
        <v>37</v>
      </c>
      <c r="B29" t="s">
        <v>432</v>
      </c>
      <c r="C29" s="45">
        <v>0</v>
      </c>
      <c r="D29" s="45">
        <v>0</v>
      </c>
      <c r="E29" s="45">
        <v>0</v>
      </c>
      <c r="F29" s="45">
        <v>200.387</v>
      </c>
      <c r="G29" s="45">
        <v>0</v>
      </c>
      <c r="H29" s="45">
        <v>0</v>
      </c>
      <c r="I29" s="45">
        <v>323.565</v>
      </c>
      <c r="J29" s="45">
        <v>323.565</v>
      </c>
    </row>
    <row r="30" spans="1:10" x14ac:dyDescent="0.25">
      <c r="A30" t="s">
        <v>37</v>
      </c>
      <c r="B30" t="s">
        <v>441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451.77000000000004</v>
      </c>
      <c r="J30" s="45">
        <v>451.77000000000004</v>
      </c>
    </row>
    <row r="31" spans="1:10" x14ac:dyDescent="0.25">
      <c r="A31" t="s">
        <v>37</v>
      </c>
      <c r="B31" t="s">
        <v>450</v>
      </c>
      <c r="C31" s="45">
        <v>0</v>
      </c>
      <c r="D31" s="45">
        <v>0</v>
      </c>
      <c r="E31" s="45">
        <v>333.113</v>
      </c>
      <c r="F31" s="45">
        <v>333.113</v>
      </c>
      <c r="G31" s="45">
        <v>0</v>
      </c>
      <c r="H31" s="45">
        <v>0</v>
      </c>
      <c r="I31" s="45">
        <v>527.34</v>
      </c>
      <c r="J31" s="45">
        <v>538.17500000000007</v>
      </c>
    </row>
    <row r="32" spans="1:10" x14ac:dyDescent="0.25">
      <c r="A32" t="s">
        <v>37</v>
      </c>
      <c r="B32" t="s">
        <v>468</v>
      </c>
      <c r="C32" s="45">
        <v>0</v>
      </c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5">
        <v>586.08000000000004</v>
      </c>
      <c r="J32" s="45">
        <v>586.08000000000004</v>
      </c>
    </row>
    <row r="33" spans="1:10" x14ac:dyDescent="0.25">
      <c r="A33" t="s">
        <v>37</v>
      </c>
      <c r="B33" t="s">
        <v>522</v>
      </c>
      <c r="C33" s="45">
        <v>0</v>
      </c>
      <c r="D33" s="45">
        <v>0</v>
      </c>
      <c r="E33" s="45">
        <v>182.60000000000002</v>
      </c>
      <c r="F33" s="45">
        <v>182.60000000000002</v>
      </c>
      <c r="G33" s="45">
        <v>0</v>
      </c>
      <c r="H33" s="45">
        <v>0</v>
      </c>
      <c r="I33" s="45">
        <v>335.72</v>
      </c>
      <c r="J33" s="45">
        <v>342.65000000000003</v>
      </c>
    </row>
    <row r="34" spans="1:10" x14ac:dyDescent="0.25">
      <c r="A34" t="s">
        <v>37</v>
      </c>
      <c r="B34" t="s">
        <v>540</v>
      </c>
      <c r="C34" s="45">
        <v>0</v>
      </c>
      <c r="D34" s="45">
        <v>0</v>
      </c>
      <c r="E34" s="45" t="e">
        <v>#VALUE!</v>
      </c>
      <c r="F34" s="45">
        <v>0</v>
      </c>
      <c r="G34" s="45">
        <v>0</v>
      </c>
      <c r="H34" s="45">
        <v>0</v>
      </c>
      <c r="I34" s="45">
        <v>439.56000000000006</v>
      </c>
      <c r="J34" s="45">
        <v>439.56000000000006</v>
      </c>
    </row>
    <row r="35" spans="1:10" x14ac:dyDescent="0.25">
      <c r="A35" t="s">
        <v>37</v>
      </c>
      <c r="B35" t="s">
        <v>594</v>
      </c>
      <c r="C35" s="45">
        <v>0</v>
      </c>
      <c r="D35" s="45">
        <v>0</v>
      </c>
      <c r="E35" s="45">
        <v>591.25</v>
      </c>
      <c r="F35" s="45">
        <v>591.25</v>
      </c>
      <c r="G35" s="45">
        <v>0</v>
      </c>
      <c r="H35" s="45">
        <v>0</v>
      </c>
      <c r="I35" s="45">
        <v>818.07000000000016</v>
      </c>
      <c r="J35" s="45">
        <v>801.62500000000011</v>
      </c>
    </row>
    <row r="36" spans="1:10" x14ac:dyDescent="0.25">
      <c r="A36" t="s">
        <v>37</v>
      </c>
      <c r="B36" t="s">
        <v>603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427.35</v>
      </c>
      <c r="J36" s="45">
        <v>427.35</v>
      </c>
    </row>
    <row r="37" spans="1:10" x14ac:dyDescent="0.25">
      <c r="A37" t="s">
        <v>37</v>
      </c>
      <c r="B37" t="s">
        <v>630</v>
      </c>
      <c r="C37" s="45">
        <v>0</v>
      </c>
      <c r="D37" s="45">
        <v>0</v>
      </c>
      <c r="E37" s="45">
        <v>0</v>
      </c>
      <c r="F37" s="45">
        <v>0</v>
      </c>
      <c r="G37" s="45">
        <v>0</v>
      </c>
      <c r="H37" s="45">
        <v>0</v>
      </c>
      <c r="I37" s="45">
        <v>457.87500000000006</v>
      </c>
      <c r="J37" s="45">
        <v>457.87500000000006</v>
      </c>
    </row>
    <row r="38" spans="1:10" x14ac:dyDescent="0.25">
      <c r="A38" t="s">
        <v>37</v>
      </c>
      <c r="B38" t="s">
        <v>639</v>
      </c>
      <c r="C38" s="45">
        <v>0</v>
      </c>
      <c r="D38" s="45">
        <v>0</v>
      </c>
      <c r="E38" s="45">
        <v>257.03700000000003</v>
      </c>
      <c r="F38" s="45">
        <v>257.03700000000003</v>
      </c>
      <c r="G38" s="45">
        <v>0</v>
      </c>
      <c r="H38" s="45">
        <v>0</v>
      </c>
      <c r="I38" s="45">
        <v>550.44000000000005</v>
      </c>
      <c r="J38" s="45">
        <v>561.55000000000007</v>
      </c>
    </row>
    <row r="39" spans="1:10" x14ac:dyDescent="0.25">
      <c r="A39" t="s">
        <v>37</v>
      </c>
      <c r="B39" t="s">
        <v>648</v>
      </c>
      <c r="C39" s="45">
        <v>0</v>
      </c>
      <c r="D39" s="45">
        <v>0</v>
      </c>
      <c r="E39" s="45">
        <v>339.90000000000003</v>
      </c>
      <c r="F39" s="45">
        <v>339.90000000000003</v>
      </c>
      <c r="G39" s="45">
        <v>0</v>
      </c>
      <c r="H39" s="45">
        <v>0</v>
      </c>
      <c r="I39" s="45">
        <v>537.24</v>
      </c>
      <c r="J39" s="45">
        <v>537.24</v>
      </c>
    </row>
    <row r="40" spans="1:10" x14ac:dyDescent="0.25">
      <c r="A40" t="s">
        <v>37</v>
      </c>
      <c r="B40" t="s">
        <v>657</v>
      </c>
      <c r="C40" s="45">
        <v>0</v>
      </c>
      <c r="D40" s="45">
        <v>0</v>
      </c>
      <c r="E40" s="45">
        <v>0</v>
      </c>
      <c r="F40" s="45">
        <v>0</v>
      </c>
      <c r="G40" s="45">
        <v>0</v>
      </c>
      <c r="H40" s="45">
        <v>0</v>
      </c>
      <c r="I40" s="45">
        <v>488.40000000000003</v>
      </c>
      <c r="J40" s="45">
        <v>488.40000000000003</v>
      </c>
    </row>
    <row r="41" spans="1:10" x14ac:dyDescent="0.25">
      <c r="A41" t="s">
        <v>37</v>
      </c>
      <c r="B41" t="s">
        <v>675</v>
      </c>
      <c r="C41" s="45">
        <v>0</v>
      </c>
      <c r="D41" s="45">
        <v>0</v>
      </c>
      <c r="E41" s="45">
        <v>176.91300000000004</v>
      </c>
      <c r="F41" s="45">
        <v>176.91300000000004</v>
      </c>
      <c r="G41" s="45">
        <v>0</v>
      </c>
      <c r="H41" s="45">
        <v>0</v>
      </c>
      <c r="I41" s="45">
        <v>317.90000000000003</v>
      </c>
      <c r="J41" s="45">
        <v>323.125</v>
      </c>
    </row>
    <row r="42" spans="1:10" x14ac:dyDescent="0.25">
      <c r="A42" t="s">
        <v>37</v>
      </c>
      <c r="B42" t="s">
        <v>684</v>
      </c>
      <c r="C42" s="45">
        <v>0</v>
      </c>
      <c r="D42" s="45">
        <v>0</v>
      </c>
      <c r="E42" s="45">
        <v>0</v>
      </c>
      <c r="F42" s="45">
        <v>0</v>
      </c>
      <c r="G42" s="45">
        <v>0</v>
      </c>
      <c r="H42" s="45">
        <v>0</v>
      </c>
      <c r="I42" s="45">
        <v>500.61000000000007</v>
      </c>
      <c r="J42" s="45">
        <v>500.61000000000007</v>
      </c>
    </row>
    <row r="43" spans="1:10" x14ac:dyDescent="0.25">
      <c r="A43" t="s">
        <v>37</v>
      </c>
      <c r="B43" t="s">
        <v>702</v>
      </c>
      <c r="C43" s="45">
        <v>0</v>
      </c>
      <c r="D43" s="45">
        <v>0</v>
      </c>
      <c r="E43" s="45">
        <v>297.73700000000002</v>
      </c>
      <c r="F43" s="45">
        <v>297.73700000000002</v>
      </c>
      <c r="G43" s="45">
        <v>0</v>
      </c>
      <c r="H43" s="45">
        <v>0</v>
      </c>
      <c r="I43" s="45">
        <v>576.17999999999995</v>
      </c>
      <c r="J43" s="45">
        <v>589.6</v>
      </c>
    </row>
    <row r="44" spans="1:10" x14ac:dyDescent="0.25">
      <c r="A44" t="s">
        <v>37</v>
      </c>
      <c r="B44" t="s">
        <v>729</v>
      </c>
      <c r="C44" s="45">
        <v>0</v>
      </c>
      <c r="D44" s="45">
        <v>0</v>
      </c>
      <c r="E44" s="45">
        <v>236.137</v>
      </c>
      <c r="F44" s="45">
        <v>236.137</v>
      </c>
      <c r="G44" s="45">
        <v>0</v>
      </c>
      <c r="H44" s="45">
        <v>0</v>
      </c>
      <c r="I44" s="45">
        <v>445.06000000000006</v>
      </c>
      <c r="J44" s="45">
        <v>453.20000000000005</v>
      </c>
    </row>
    <row r="45" spans="1:10" x14ac:dyDescent="0.25">
      <c r="A45" t="s">
        <v>37</v>
      </c>
      <c r="B45" t="s">
        <v>738</v>
      </c>
      <c r="C45" s="45">
        <v>0</v>
      </c>
      <c r="D45" s="45">
        <v>0</v>
      </c>
      <c r="E45" s="45">
        <v>239.43700000000001</v>
      </c>
      <c r="F45" s="45">
        <v>239.43700000000001</v>
      </c>
      <c r="G45" s="45">
        <v>0</v>
      </c>
      <c r="H45" s="45">
        <v>0</v>
      </c>
      <c r="I45" s="45">
        <v>414.92</v>
      </c>
      <c r="J45" s="45">
        <v>422.40000000000003</v>
      </c>
    </row>
    <row r="46" spans="1:10" x14ac:dyDescent="0.25">
      <c r="A46" t="s">
        <v>37</v>
      </c>
      <c r="B46" t="s">
        <v>747</v>
      </c>
      <c r="C46" s="45">
        <v>0</v>
      </c>
      <c r="D46" s="45">
        <v>0</v>
      </c>
      <c r="E46" s="45">
        <v>0</v>
      </c>
      <c r="F46" s="45">
        <v>0</v>
      </c>
      <c r="G46" s="45">
        <v>0</v>
      </c>
      <c r="H46" s="45">
        <v>0</v>
      </c>
      <c r="I46" s="45">
        <v>463.98000000000008</v>
      </c>
      <c r="J46" s="45">
        <v>463.98000000000008</v>
      </c>
    </row>
    <row r="47" spans="1:10" x14ac:dyDescent="0.25">
      <c r="A47" t="s">
        <v>37</v>
      </c>
      <c r="B47" t="s">
        <v>756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622.71</v>
      </c>
      <c r="J47" s="45">
        <v>622.71</v>
      </c>
    </row>
    <row r="48" spans="1:10" x14ac:dyDescent="0.25">
      <c r="A48" t="s">
        <v>37</v>
      </c>
      <c r="B48" t="s">
        <v>765</v>
      </c>
      <c r="C48" s="45">
        <v>0</v>
      </c>
      <c r="D48" s="45">
        <v>0</v>
      </c>
      <c r="E48" s="45">
        <v>0</v>
      </c>
      <c r="F48" s="45">
        <v>0</v>
      </c>
      <c r="G48" s="45">
        <v>0</v>
      </c>
      <c r="H48" s="45">
        <v>0</v>
      </c>
      <c r="I48" s="45">
        <v>1117.2150000000001</v>
      </c>
      <c r="J48" s="45">
        <v>1117.2150000000001</v>
      </c>
    </row>
    <row r="49" spans="1:10" x14ac:dyDescent="0.25">
      <c r="A49" t="s">
        <v>37</v>
      </c>
      <c r="B49" t="s">
        <v>783</v>
      </c>
      <c r="C49" s="45">
        <v>0</v>
      </c>
      <c r="D49" s="45">
        <v>0</v>
      </c>
      <c r="E49" s="45">
        <v>0</v>
      </c>
      <c r="F49" s="45">
        <v>0</v>
      </c>
      <c r="G49" s="45">
        <v>0</v>
      </c>
      <c r="H49" s="45">
        <v>0</v>
      </c>
      <c r="I49" s="45">
        <v>463.98000000000008</v>
      </c>
      <c r="J49" s="45">
        <v>463.98000000000008</v>
      </c>
    </row>
    <row r="50" spans="1:10" x14ac:dyDescent="0.25">
      <c r="A50" t="s">
        <v>37</v>
      </c>
      <c r="B50" t="s">
        <v>792</v>
      </c>
      <c r="C50" s="45">
        <v>0</v>
      </c>
      <c r="D50" s="45">
        <v>0</v>
      </c>
      <c r="E50" s="45">
        <v>0</v>
      </c>
      <c r="F50" s="45">
        <v>0</v>
      </c>
      <c r="G50" s="45">
        <v>0</v>
      </c>
      <c r="H50" s="45">
        <v>0</v>
      </c>
      <c r="I50" s="45">
        <v>677.65499999999997</v>
      </c>
      <c r="J50" s="45">
        <v>700.97500000000002</v>
      </c>
    </row>
    <row r="51" spans="1:10" x14ac:dyDescent="0.25">
      <c r="A51" t="s">
        <v>37</v>
      </c>
      <c r="B51" t="s">
        <v>819</v>
      </c>
      <c r="C51" s="45">
        <v>0</v>
      </c>
      <c r="D51" s="45">
        <v>0</v>
      </c>
      <c r="E51" s="45">
        <v>297.55</v>
      </c>
      <c r="F51" s="45">
        <v>297.55</v>
      </c>
      <c r="G51" s="45">
        <v>0</v>
      </c>
      <c r="H51" s="45">
        <v>0</v>
      </c>
      <c r="I51" s="45">
        <v>492.36000000000007</v>
      </c>
      <c r="J51" s="45">
        <v>504.07500000000005</v>
      </c>
    </row>
    <row r="52" spans="1:10" x14ac:dyDescent="0.25">
      <c r="A52" t="s">
        <v>37</v>
      </c>
      <c r="B52" t="s">
        <v>828</v>
      </c>
      <c r="C52" s="45">
        <v>0</v>
      </c>
      <c r="D52" s="45">
        <v>0</v>
      </c>
      <c r="E52" s="45">
        <v>236.68700000000001</v>
      </c>
      <c r="F52" s="45">
        <v>0</v>
      </c>
      <c r="G52" s="45">
        <v>0</v>
      </c>
      <c r="H52" s="45">
        <v>0</v>
      </c>
      <c r="I52" s="45">
        <v>378.51000000000005</v>
      </c>
      <c r="J52" s="45">
        <v>378.51000000000005</v>
      </c>
    </row>
    <row r="53" spans="1:10" x14ac:dyDescent="0.25">
      <c r="A53" t="s">
        <v>37</v>
      </c>
      <c r="B53" t="s">
        <v>846</v>
      </c>
      <c r="C53" s="45">
        <v>0</v>
      </c>
      <c r="D53" s="45">
        <v>0</v>
      </c>
      <c r="E53" s="45">
        <v>136.58700000000002</v>
      </c>
      <c r="F53" s="45">
        <v>136.58700000000002</v>
      </c>
      <c r="G53" s="45">
        <v>0</v>
      </c>
      <c r="H53" s="45">
        <v>0</v>
      </c>
      <c r="I53" s="45">
        <v>281.60000000000002</v>
      </c>
      <c r="J53" s="45">
        <v>284.625</v>
      </c>
    </row>
    <row r="54" spans="1:10" x14ac:dyDescent="0.25">
      <c r="A54" t="s">
        <v>37</v>
      </c>
      <c r="B54" t="s">
        <v>855</v>
      </c>
      <c r="C54" s="45">
        <v>0</v>
      </c>
      <c r="D54" s="45">
        <v>0</v>
      </c>
      <c r="E54" s="45">
        <v>262.90000000000003</v>
      </c>
      <c r="F54" s="45">
        <v>262.90000000000003</v>
      </c>
      <c r="G54" s="45">
        <v>0</v>
      </c>
      <c r="H54" s="45">
        <v>0</v>
      </c>
      <c r="I54" s="45">
        <v>457.87500000000006</v>
      </c>
      <c r="J54" s="45">
        <v>457.87500000000006</v>
      </c>
    </row>
    <row r="55" spans="1:10" x14ac:dyDescent="0.25">
      <c r="A55" t="s">
        <v>37</v>
      </c>
      <c r="B55" t="s">
        <v>864</v>
      </c>
      <c r="C55" s="45">
        <v>0</v>
      </c>
      <c r="D55" s="45">
        <v>0</v>
      </c>
      <c r="E55" s="45">
        <v>243.28700000000001</v>
      </c>
      <c r="F55" s="45">
        <v>243.28700000000001</v>
      </c>
      <c r="G55" s="45">
        <v>0</v>
      </c>
      <c r="H55" s="45">
        <v>0</v>
      </c>
      <c r="I55" s="45">
        <v>415.14</v>
      </c>
      <c r="J55" s="45">
        <v>415.14</v>
      </c>
    </row>
    <row r="56" spans="1:10" x14ac:dyDescent="0.25">
      <c r="A56" t="s">
        <v>37</v>
      </c>
      <c r="B56" t="s">
        <v>882</v>
      </c>
      <c r="C56" s="45">
        <v>0</v>
      </c>
      <c r="D56" s="45">
        <v>0</v>
      </c>
      <c r="E56" s="45">
        <v>461.63700000000006</v>
      </c>
      <c r="F56" s="45">
        <v>0</v>
      </c>
      <c r="G56" s="45">
        <v>0</v>
      </c>
      <c r="H56" s="45">
        <v>0</v>
      </c>
      <c r="I56" s="45">
        <v>647.13</v>
      </c>
      <c r="J56" s="45">
        <v>647.13</v>
      </c>
    </row>
    <row r="57" spans="1:10" x14ac:dyDescent="0.25">
      <c r="A57" t="s">
        <v>37</v>
      </c>
      <c r="B57" t="s">
        <v>909</v>
      </c>
      <c r="C57" s="45">
        <v>0</v>
      </c>
      <c r="D57" s="45">
        <v>0</v>
      </c>
      <c r="E57" s="45">
        <v>129.613</v>
      </c>
      <c r="F57" s="45">
        <v>129.613</v>
      </c>
      <c r="G57" s="45">
        <v>0</v>
      </c>
      <c r="H57" s="45">
        <v>0</v>
      </c>
      <c r="I57" s="45">
        <v>244.20000000000002</v>
      </c>
      <c r="J57" s="45">
        <v>244.20000000000002</v>
      </c>
    </row>
    <row r="58" spans="1:10" x14ac:dyDescent="0.25">
      <c r="A58" t="s">
        <v>333</v>
      </c>
      <c r="B58" t="s">
        <v>46</v>
      </c>
      <c r="C58" s="45">
        <v>0</v>
      </c>
      <c r="D58" s="45">
        <v>0</v>
      </c>
      <c r="E58" s="45">
        <v>0</v>
      </c>
      <c r="F58" s="45">
        <v>0</v>
      </c>
      <c r="G58" s="45">
        <v>0</v>
      </c>
      <c r="H58" s="45">
        <v>0</v>
      </c>
      <c r="I58" s="45">
        <v>689.86500000000001</v>
      </c>
      <c r="J58" s="45">
        <v>689.86500000000001</v>
      </c>
    </row>
    <row r="59" spans="1:10" x14ac:dyDescent="0.25">
      <c r="A59" t="s">
        <v>333</v>
      </c>
      <c r="B59" t="s">
        <v>82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415.14</v>
      </c>
      <c r="J59" s="45">
        <v>415.14</v>
      </c>
    </row>
    <row r="60" spans="1:10" x14ac:dyDescent="0.25">
      <c r="A60" t="s">
        <v>333</v>
      </c>
      <c r="B60" t="s">
        <v>100</v>
      </c>
      <c r="C60" s="45">
        <v>0</v>
      </c>
      <c r="D60" s="45">
        <v>0</v>
      </c>
      <c r="E60" s="45">
        <v>0</v>
      </c>
      <c r="F60" s="45">
        <v>0</v>
      </c>
      <c r="G60" s="45">
        <v>0</v>
      </c>
      <c r="H60" s="45">
        <v>0</v>
      </c>
      <c r="I60" s="45">
        <v>665.44500000000005</v>
      </c>
      <c r="J60" s="45">
        <v>665.44500000000005</v>
      </c>
    </row>
    <row r="61" spans="1:10" x14ac:dyDescent="0.25">
      <c r="A61" t="s">
        <v>333</v>
      </c>
      <c r="B61" t="s">
        <v>109</v>
      </c>
      <c r="C61" s="45">
        <v>0</v>
      </c>
      <c r="D61" s="45">
        <v>0</v>
      </c>
      <c r="E61" s="45">
        <v>0</v>
      </c>
      <c r="F61" s="45">
        <v>0</v>
      </c>
      <c r="G61" s="45">
        <v>0</v>
      </c>
      <c r="H61" s="45">
        <v>0</v>
      </c>
      <c r="I61" s="45">
        <v>500.61000000000007</v>
      </c>
      <c r="J61" s="45">
        <v>500.61000000000007</v>
      </c>
    </row>
    <row r="62" spans="1:10" x14ac:dyDescent="0.25">
      <c r="A62" t="s">
        <v>333</v>
      </c>
      <c r="B62" t="s">
        <v>118</v>
      </c>
      <c r="C62" s="45">
        <v>0</v>
      </c>
      <c r="D62" s="45">
        <v>0</v>
      </c>
      <c r="E62" s="45">
        <v>314.51200000000006</v>
      </c>
      <c r="F62" s="45">
        <v>314.51200000000006</v>
      </c>
      <c r="G62" s="45">
        <v>0</v>
      </c>
      <c r="H62" s="45">
        <v>0</v>
      </c>
      <c r="I62" s="45">
        <v>497.31000000000006</v>
      </c>
      <c r="J62" s="45">
        <v>506.71500000000003</v>
      </c>
    </row>
    <row r="63" spans="1:10" x14ac:dyDescent="0.25">
      <c r="A63" t="s">
        <v>333</v>
      </c>
      <c r="B63" t="s">
        <v>127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610.5</v>
      </c>
      <c r="J63" s="45">
        <v>610.5</v>
      </c>
    </row>
    <row r="64" spans="1:10" x14ac:dyDescent="0.25">
      <c r="A64" t="s">
        <v>333</v>
      </c>
      <c r="B64" t="s">
        <v>136</v>
      </c>
      <c r="C64" s="45">
        <v>0</v>
      </c>
      <c r="D64" s="45">
        <v>0</v>
      </c>
      <c r="E64" s="45">
        <v>0</v>
      </c>
      <c r="F64" s="45">
        <v>0</v>
      </c>
      <c r="G64" s="45">
        <v>0</v>
      </c>
      <c r="H64" s="45">
        <v>0</v>
      </c>
      <c r="I64" s="45">
        <v>518.92500000000007</v>
      </c>
      <c r="J64" s="45">
        <v>518.92500000000007</v>
      </c>
    </row>
    <row r="65" spans="1:10" x14ac:dyDescent="0.25">
      <c r="A65" t="s">
        <v>333</v>
      </c>
      <c r="B65" t="s">
        <v>190</v>
      </c>
      <c r="C65" s="45">
        <v>0</v>
      </c>
      <c r="D65" s="45">
        <v>0</v>
      </c>
      <c r="E65" s="45">
        <v>0</v>
      </c>
      <c r="F65" s="45">
        <v>0</v>
      </c>
      <c r="G65" s="45">
        <v>0</v>
      </c>
      <c r="H65" s="45">
        <v>0</v>
      </c>
      <c r="I65" s="45">
        <v>374.99</v>
      </c>
      <c r="J65" s="45">
        <v>380.74300000000005</v>
      </c>
    </row>
    <row r="66" spans="1:10" x14ac:dyDescent="0.25">
      <c r="A66" t="s">
        <v>333</v>
      </c>
      <c r="B66" t="s">
        <v>199</v>
      </c>
      <c r="C66" s="45">
        <v>0</v>
      </c>
      <c r="D66" s="45">
        <v>0</v>
      </c>
      <c r="E66" s="45">
        <v>0</v>
      </c>
      <c r="F66" s="45">
        <v>0</v>
      </c>
      <c r="G66" s="45">
        <v>0</v>
      </c>
      <c r="H66" s="45">
        <v>0</v>
      </c>
      <c r="I66" s="45">
        <v>402.93000000000006</v>
      </c>
      <c r="J66" s="45">
        <v>402.93000000000006</v>
      </c>
    </row>
    <row r="67" spans="1:10" x14ac:dyDescent="0.25">
      <c r="A67" t="s">
        <v>333</v>
      </c>
      <c r="B67" t="s">
        <v>208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299.14500000000004</v>
      </c>
      <c r="J67" s="45">
        <v>226.74300000000002</v>
      </c>
    </row>
    <row r="68" spans="1:10" x14ac:dyDescent="0.25">
      <c r="A68" t="s">
        <v>333</v>
      </c>
      <c r="B68" t="s">
        <v>217</v>
      </c>
      <c r="C68" s="45">
        <v>0</v>
      </c>
      <c r="D68" s="45">
        <v>0</v>
      </c>
      <c r="E68" s="45">
        <v>236.41200000000001</v>
      </c>
      <c r="F68" s="45">
        <v>0</v>
      </c>
      <c r="G68" s="45">
        <v>0</v>
      </c>
      <c r="H68" s="45">
        <v>0</v>
      </c>
      <c r="I68" s="45">
        <v>427.35</v>
      </c>
      <c r="J68" s="45">
        <v>427.35</v>
      </c>
    </row>
    <row r="69" spans="1:10" x14ac:dyDescent="0.25">
      <c r="A69" t="s">
        <v>333</v>
      </c>
      <c r="B69" t="s">
        <v>235</v>
      </c>
      <c r="C69" s="45">
        <v>0</v>
      </c>
      <c r="D69" s="45">
        <v>0</v>
      </c>
      <c r="E69" s="45">
        <v>0</v>
      </c>
      <c r="F69" s="45">
        <v>0</v>
      </c>
      <c r="G69" s="45">
        <v>0</v>
      </c>
      <c r="H69" s="45">
        <v>0</v>
      </c>
      <c r="I69" s="45">
        <v>909.6450000000001</v>
      </c>
      <c r="J69" s="45">
        <v>909.6450000000001</v>
      </c>
    </row>
    <row r="70" spans="1:10" x14ac:dyDescent="0.25">
      <c r="A70" t="s">
        <v>333</v>
      </c>
      <c r="B70" t="s">
        <v>244</v>
      </c>
      <c r="C70" s="45">
        <v>0</v>
      </c>
      <c r="D70" s="45">
        <v>0</v>
      </c>
      <c r="E70" s="45">
        <v>178.83800000000002</v>
      </c>
      <c r="F70" s="45">
        <v>178.83800000000002</v>
      </c>
      <c r="G70" s="45">
        <v>0</v>
      </c>
      <c r="H70" s="45">
        <v>0</v>
      </c>
      <c r="I70" s="45">
        <v>323.51000000000005</v>
      </c>
      <c r="J70" s="45">
        <v>326.01800000000003</v>
      </c>
    </row>
    <row r="71" spans="1:10" x14ac:dyDescent="0.25">
      <c r="A71" t="s">
        <v>333</v>
      </c>
      <c r="B71" t="s">
        <v>253</v>
      </c>
      <c r="C71" s="45">
        <v>0</v>
      </c>
      <c r="D71" s="45">
        <v>0</v>
      </c>
      <c r="E71" s="45">
        <v>0</v>
      </c>
      <c r="F71" s="45">
        <v>0</v>
      </c>
      <c r="G71" s="45">
        <v>0</v>
      </c>
      <c r="H71" s="45">
        <v>0</v>
      </c>
      <c r="I71" s="45">
        <v>293.04000000000002</v>
      </c>
      <c r="J71" s="45">
        <v>293.04000000000002</v>
      </c>
    </row>
    <row r="72" spans="1:10" x14ac:dyDescent="0.25">
      <c r="A72" t="s">
        <v>333</v>
      </c>
      <c r="B72" t="s">
        <v>37</v>
      </c>
      <c r="C72" s="45">
        <v>0</v>
      </c>
      <c r="D72" s="45">
        <v>0</v>
      </c>
      <c r="E72" s="45">
        <v>147.86199999999999</v>
      </c>
      <c r="F72" s="45" t="e">
        <v>#VALUE!</v>
      </c>
      <c r="G72" s="45">
        <v>0</v>
      </c>
      <c r="H72" s="45">
        <v>0</v>
      </c>
      <c r="I72" s="45">
        <v>277.53000000000003</v>
      </c>
      <c r="J72" s="45">
        <v>282.29300000000001</v>
      </c>
    </row>
    <row r="73" spans="1:10" x14ac:dyDescent="0.25">
      <c r="A73" t="s">
        <v>333</v>
      </c>
      <c r="B73" t="s">
        <v>279</v>
      </c>
      <c r="C73" s="45">
        <v>0</v>
      </c>
      <c r="D73" s="45">
        <v>0</v>
      </c>
      <c r="E73" s="45">
        <v>0</v>
      </c>
      <c r="F73" s="45">
        <v>209.27500000000001</v>
      </c>
      <c r="G73" s="45">
        <v>0</v>
      </c>
      <c r="H73" s="45">
        <v>0</v>
      </c>
      <c r="I73" s="45">
        <v>372.13000000000005</v>
      </c>
      <c r="J73" s="45">
        <v>333.16800000000001</v>
      </c>
    </row>
    <row r="74" spans="1:10" x14ac:dyDescent="0.25">
      <c r="A74" t="s">
        <v>333</v>
      </c>
      <c r="B74" t="s">
        <v>306</v>
      </c>
      <c r="C74" s="45">
        <v>0</v>
      </c>
      <c r="D74" s="45">
        <v>0</v>
      </c>
      <c r="E74" s="45">
        <v>0</v>
      </c>
      <c r="F74" s="45">
        <v>0</v>
      </c>
      <c r="G74" s="45">
        <v>0</v>
      </c>
      <c r="H74" s="45">
        <v>0</v>
      </c>
      <c r="I74" s="45">
        <v>384.61500000000001</v>
      </c>
      <c r="J74" s="45">
        <v>384.61500000000001</v>
      </c>
    </row>
    <row r="75" spans="1:10" x14ac:dyDescent="0.25">
      <c r="A75" t="s">
        <v>333</v>
      </c>
      <c r="B75" t="s">
        <v>315</v>
      </c>
      <c r="C75" s="45">
        <v>0</v>
      </c>
      <c r="D75" s="45">
        <v>0</v>
      </c>
      <c r="E75" s="45">
        <v>0</v>
      </c>
      <c r="F75" s="45">
        <v>0</v>
      </c>
      <c r="G75" s="45">
        <v>0</v>
      </c>
      <c r="H75" s="45">
        <v>0</v>
      </c>
      <c r="I75" s="45">
        <v>989.0100000000001</v>
      </c>
      <c r="J75" s="45">
        <v>989.0100000000001</v>
      </c>
    </row>
    <row r="76" spans="1:10" x14ac:dyDescent="0.25">
      <c r="A76" t="s">
        <v>333</v>
      </c>
      <c r="B76" t="s">
        <v>333</v>
      </c>
      <c r="C76" s="45">
        <v>0</v>
      </c>
      <c r="D76" s="45">
        <v>0</v>
      </c>
      <c r="E76" s="45">
        <v>100.01200000000001</v>
      </c>
      <c r="F76" s="45">
        <v>0</v>
      </c>
      <c r="G76" s="45">
        <v>0</v>
      </c>
      <c r="H76" s="45">
        <v>0</v>
      </c>
      <c r="I76" s="45">
        <v>216.81</v>
      </c>
      <c r="J76" s="45">
        <v>180.268</v>
      </c>
    </row>
    <row r="77" spans="1:10" x14ac:dyDescent="0.25">
      <c r="A77" t="s">
        <v>333</v>
      </c>
      <c r="B77" t="s">
        <v>351</v>
      </c>
      <c r="C77" s="45">
        <v>0</v>
      </c>
      <c r="D77" s="45">
        <v>0</v>
      </c>
      <c r="E77" s="45">
        <v>0</v>
      </c>
      <c r="F77" s="45">
        <v>0</v>
      </c>
      <c r="G77" s="45">
        <v>0</v>
      </c>
      <c r="H77" s="45">
        <v>0</v>
      </c>
      <c r="I77" s="45">
        <v>708.18000000000006</v>
      </c>
      <c r="J77" s="45">
        <v>708.18000000000006</v>
      </c>
    </row>
    <row r="78" spans="1:10" x14ac:dyDescent="0.25">
      <c r="A78" t="s">
        <v>333</v>
      </c>
      <c r="B78" t="s">
        <v>360</v>
      </c>
      <c r="C78" s="45">
        <v>0</v>
      </c>
      <c r="D78" s="45">
        <v>0</v>
      </c>
      <c r="E78" s="45">
        <v>0</v>
      </c>
      <c r="F78" s="45">
        <v>0</v>
      </c>
      <c r="G78" s="45">
        <v>0</v>
      </c>
      <c r="H78" s="45">
        <v>0</v>
      </c>
      <c r="I78" s="45">
        <v>708.18000000000006</v>
      </c>
      <c r="J78" s="45">
        <v>708.18000000000006</v>
      </c>
    </row>
    <row r="79" spans="1:10" x14ac:dyDescent="0.25">
      <c r="A79" t="s">
        <v>333</v>
      </c>
      <c r="B79" t="s">
        <v>369</v>
      </c>
      <c r="C79" s="45">
        <v>0</v>
      </c>
      <c r="D79" s="45">
        <v>0</v>
      </c>
      <c r="E79" s="45">
        <v>0</v>
      </c>
      <c r="F79" s="45">
        <v>0</v>
      </c>
      <c r="G79" s="45">
        <v>0</v>
      </c>
      <c r="H79" s="45">
        <v>0</v>
      </c>
      <c r="I79" s="45">
        <v>830.28</v>
      </c>
      <c r="J79" s="45">
        <v>830.28</v>
      </c>
    </row>
    <row r="80" spans="1:10" x14ac:dyDescent="0.25">
      <c r="A80" t="s">
        <v>333</v>
      </c>
      <c r="B80" t="s">
        <v>387</v>
      </c>
      <c r="C80" s="45">
        <v>0</v>
      </c>
      <c r="D80" s="45">
        <v>0</v>
      </c>
      <c r="E80" s="45">
        <v>0</v>
      </c>
      <c r="F80" s="45">
        <v>0</v>
      </c>
      <c r="G80" s="45">
        <v>0</v>
      </c>
      <c r="H80" s="45">
        <v>0</v>
      </c>
      <c r="I80" s="45">
        <v>262.51500000000004</v>
      </c>
      <c r="J80" s="45">
        <v>262.51500000000004</v>
      </c>
    </row>
    <row r="81" spans="1:10" x14ac:dyDescent="0.25">
      <c r="A81" t="s">
        <v>333</v>
      </c>
      <c r="B81" t="s">
        <v>405</v>
      </c>
      <c r="C81" s="45">
        <v>0</v>
      </c>
      <c r="D81" s="45">
        <v>0</v>
      </c>
      <c r="E81" s="45">
        <v>0</v>
      </c>
      <c r="F81" s="45">
        <v>0</v>
      </c>
      <c r="G81" s="45">
        <v>0</v>
      </c>
      <c r="H81" s="45">
        <v>0</v>
      </c>
      <c r="I81" s="45">
        <v>256.41000000000003</v>
      </c>
      <c r="J81" s="45">
        <v>256.41000000000003</v>
      </c>
    </row>
    <row r="82" spans="1:10" x14ac:dyDescent="0.25">
      <c r="A82" t="s">
        <v>333</v>
      </c>
      <c r="B82" t="s">
        <v>432</v>
      </c>
      <c r="C82" s="45">
        <v>0</v>
      </c>
      <c r="D82" s="45">
        <v>0</v>
      </c>
      <c r="E82" s="45">
        <v>0</v>
      </c>
      <c r="F82" s="45">
        <v>162.16200000000001</v>
      </c>
      <c r="G82" s="45">
        <v>0</v>
      </c>
      <c r="H82" s="45">
        <v>0</v>
      </c>
      <c r="I82" s="45">
        <v>268.62</v>
      </c>
      <c r="J82" s="45">
        <v>268.62</v>
      </c>
    </row>
    <row r="83" spans="1:10" x14ac:dyDescent="0.25">
      <c r="A83" t="s">
        <v>333</v>
      </c>
      <c r="B83" t="s">
        <v>441</v>
      </c>
      <c r="C83" s="45">
        <v>0</v>
      </c>
      <c r="D83" s="45">
        <v>0</v>
      </c>
      <c r="E83" s="45">
        <v>0</v>
      </c>
      <c r="F83" s="45">
        <v>0</v>
      </c>
      <c r="G83" s="45">
        <v>0</v>
      </c>
      <c r="H83" s="45">
        <v>0</v>
      </c>
      <c r="I83" s="45">
        <v>409.03500000000008</v>
      </c>
      <c r="J83" s="45">
        <v>409.03500000000008</v>
      </c>
    </row>
    <row r="84" spans="1:10" x14ac:dyDescent="0.25">
      <c r="A84" t="s">
        <v>333</v>
      </c>
      <c r="B84" t="s">
        <v>450</v>
      </c>
      <c r="C84" s="45">
        <v>0</v>
      </c>
      <c r="D84" s="45">
        <v>0</v>
      </c>
      <c r="E84" s="45">
        <v>0</v>
      </c>
      <c r="F84" s="45">
        <v>0</v>
      </c>
      <c r="G84" s="45">
        <v>0</v>
      </c>
      <c r="H84" s="45">
        <v>0</v>
      </c>
      <c r="I84" s="45">
        <v>610.5</v>
      </c>
      <c r="J84" s="45">
        <v>610.5</v>
      </c>
    </row>
    <row r="85" spans="1:10" x14ac:dyDescent="0.25">
      <c r="A85" t="s">
        <v>333</v>
      </c>
      <c r="B85" t="s">
        <v>468</v>
      </c>
      <c r="C85" s="45">
        <v>0</v>
      </c>
      <c r="D85" s="45">
        <v>0</v>
      </c>
      <c r="E85" s="45">
        <v>0</v>
      </c>
      <c r="F85" s="45">
        <v>0</v>
      </c>
      <c r="G85" s="45">
        <v>0</v>
      </c>
      <c r="H85" s="45">
        <v>0</v>
      </c>
      <c r="I85" s="45">
        <v>543.34500000000003</v>
      </c>
      <c r="J85" s="45">
        <v>543.34500000000003</v>
      </c>
    </row>
    <row r="86" spans="1:10" x14ac:dyDescent="0.25">
      <c r="A86" t="s">
        <v>333</v>
      </c>
      <c r="B86" t="s">
        <v>522</v>
      </c>
      <c r="C86" s="45">
        <v>0</v>
      </c>
      <c r="D86" s="45">
        <v>0</v>
      </c>
      <c r="E86" s="45">
        <v>263.36200000000002</v>
      </c>
      <c r="F86" s="45">
        <v>0</v>
      </c>
      <c r="G86" s="45">
        <v>0</v>
      </c>
      <c r="H86" s="45">
        <v>0</v>
      </c>
      <c r="I86" s="45">
        <v>439.23000000000008</v>
      </c>
      <c r="J86" s="45">
        <v>447.29300000000001</v>
      </c>
    </row>
    <row r="87" spans="1:10" x14ac:dyDescent="0.25">
      <c r="A87" t="s">
        <v>333</v>
      </c>
      <c r="B87" t="s">
        <v>540</v>
      </c>
      <c r="C87" s="45">
        <v>0</v>
      </c>
      <c r="D87" s="45">
        <v>0</v>
      </c>
      <c r="E87" s="45">
        <v>0</v>
      </c>
      <c r="F87" s="45">
        <v>0</v>
      </c>
      <c r="G87" s="45">
        <v>0</v>
      </c>
      <c r="H87" s="45">
        <v>0</v>
      </c>
      <c r="I87" s="45">
        <v>488.40000000000003</v>
      </c>
      <c r="J87" s="45">
        <v>488.40000000000003</v>
      </c>
    </row>
    <row r="88" spans="1:10" x14ac:dyDescent="0.25">
      <c r="A88" t="s">
        <v>333</v>
      </c>
      <c r="B88" t="s">
        <v>594</v>
      </c>
      <c r="C88" s="45">
        <v>0</v>
      </c>
      <c r="D88" s="45">
        <v>0</v>
      </c>
      <c r="E88" s="45">
        <v>0</v>
      </c>
      <c r="F88" s="45">
        <v>0</v>
      </c>
      <c r="G88" s="45">
        <v>0</v>
      </c>
      <c r="H88" s="45">
        <v>0</v>
      </c>
      <c r="I88" s="45">
        <v>879.12000000000012</v>
      </c>
      <c r="J88" s="45">
        <v>842.49</v>
      </c>
    </row>
    <row r="89" spans="1:10" x14ac:dyDescent="0.25">
      <c r="A89" t="s">
        <v>333</v>
      </c>
      <c r="B89" t="s">
        <v>603</v>
      </c>
      <c r="C89" s="45">
        <v>0</v>
      </c>
      <c r="D89" s="45">
        <v>0</v>
      </c>
      <c r="E89" s="45">
        <v>0</v>
      </c>
      <c r="F89" s="45">
        <v>0</v>
      </c>
      <c r="G89" s="45">
        <v>0</v>
      </c>
      <c r="H89" s="45">
        <v>0</v>
      </c>
      <c r="I89" s="45">
        <v>372.40500000000003</v>
      </c>
      <c r="J89" s="45">
        <v>372.40500000000003</v>
      </c>
    </row>
    <row r="90" spans="1:10" x14ac:dyDescent="0.25">
      <c r="A90" t="s">
        <v>333</v>
      </c>
      <c r="B90" t="s">
        <v>630</v>
      </c>
      <c r="C90" s="45">
        <v>0</v>
      </c>
      <c r="D90" s="45">
        <v>0</v>
      </c>
      <c r="E90" s="45">
        <v>0</v>
      </c>
      <c r="F90" s="45">
        <v>0</v>
      </c>
      <c r="G90" s="45">
        <v>0</v>
      </c>
      <c r="H90" s="45">
        <v>0</v>
      </c>
      <c r="I90" s="45">
        <v>415.14</v>
      </c>
      <c r="J90" s="45">
        <v>415.14</v>
      </c>
    </row>
    <row r="91" spans="1:10" x14ac:dyDescent="0.25">
      <c r="A91" t="s">
        <v>333</v>
      </c>
      <c r="B91" t="s">
        <v>639</v>
      </c>
      <c r="C91" s="45">
        <v>0</v>
      </c>
      <c r="D91" s="45">
        <v>0</v>
      </c>
      <c r="E91" s="45">
        <v>352.46200000000005</v>
      </c>
      <c r="F91" s="45">
        <v>0</v>
      </c>
      <c r="G91" s="45">
        <v>0</v>
      </c>
      <c r="H91" s="45">
        <v>0</v>
      </c>
      <c r="I91" s="45">
        <v>634.92000000000007</v>
      </c>
      <c r="J91" s="45">
        <v>634.92000000000007</v>
      </c>
    </row>
    <row r="92" spans="1:10" x14ac:dyDescent="0.25">
      <c r="A92" t="s">
        <v>333</v>
      </c>
      <c r="B92" t="s">
        <v>648</v>
      </c>
      <c r="C92" s="45">
        <v>0</v>
      </c>
      <c r="D92" s="45">
        <v>0</v>
      </c>
      <c r="E92" s="45">
        <v>0</v>
      </c>
      <c r="F92" s="45">
        <v>0</v>
      </c>
      <c r="G92" s="45">
        <v>0</v>
      </c>
      <c r="H92" s="45">
        <v>0</v>
      </c>
      <c r="I92" s="45">
        <v>506.71500000000003</v>
      </c>
      <c r="J92" s="45">
        <v>506.71500000000003</v>
      </c>
    </row>
    <row r="93" spans="1:10" x14ac:dyDescent="0.25">
      <c r="A93" t="s">
        <v>333</v>
      </c>
      <c r="B93" t="s">
        <v>657</v>
      </c>
      <c r="C93" s="45">
        <v>0</v>
      </c>
      <c r="D93" s="45">
        <v>0</v>
      </c>
      <c r="E93" s="45">
        <v>0</v>
      </c>
      <c r="F93" s="45">
        <v>0</v>
      </c>
      <c r="G93" s="45">
        <v>0</v>
      </c>
      <c r="H93" s="45">
        <v>0</v>
      </c>
      <c r="I93" s="45">
        <v>537.24</v>
      </c>
      <c r="J93" s="45">
        <v>537.24</v>
      </c>
    </row>
    <row r="94" spans="1:10" x14ac:dyDescent="0.25">
      <c r="A94" t="s">
        <v>333</v>
      </c>
      <c r="B94" t="s">
        <v>675</v>
      </c>
      <c r="C94" s="45">
        <v>0</v>
      </c>
      <c r="D94" s="45">
        <v>0</v>
      </c>
      <c r="E94" s="45">
        <v>216.61199999999999</v>
      </c>
      <c r="F94" s="45">
        <v>0</v>
      </c>
      <c r="G94" s="45">
        <v>0</v>
      </c>
      <c r="H94" s="45">
        <v>0</v>
      </c>
      <c r="I94" s="45">
        <v>385.33000000000004</v>
      </c>
      <c r="J94" s="45">
        <v>390.91800000000001</v>
      </c>
    </row>
    <row r="95" spans="1:10" x14ac:dyDescent="0.25">
      <c r="A95" t="s">
        <v>333</v>
      </c>
      <c r="B95" t="s">
        <v>684</v>
      </c>
      <c r="C95" s="45">
        <v>0</v>
      </c>
      <c r="D95" s="45">
        <v>0</v>
      </c>
      <c r="E95" s="45">
        <v>0</v>
      </c>
      <c r="F95" s="45">
        <v>0</v>
      </c>
      <c r="G95" s="45">
        <v>0</v>
      </c>
      <c r="H95" s="45">
        <v>0</v>
      </c>
      <c r="I95" s="45">
        <v>659.34</v>
      </c>
      <c r="J95" s="45">
        <v>659.34</v>
      </c>
    </row>
    <row r="96" spans="1:10" x14ac:dyDescent="0.25">
      <c r="A96" t="s">
        <v>333</v>
      </c>
      <c r="B96" t="s">
        <v>702</v>
      </c>
      <c r="C96" s="45">
        <v>0</v>
      </c>
      <c r="D96" s="45">
        <v>0</v>
      </c>
      <c r="E96" s="45">
        <v>0</v>
      </c>
      <c r="F96" s="45">
        <v>0</v>
      </c>
      <c r="G96" s="45">
        <v>0</v>
      </c>
      <c r="H96" s="45">
        <v>0</v>
      </c>
      <c r="I96" s="45">
        <v>689.86500000000001</v>
      </c>
      <c r="J96" s="45">
        <v>689.86500000000001</v>
      </c>
    </row>
    <row r="97" spans="1:10" x14ac:dyDescent="0.25">
      <c r="A97" t="s">
        <v>333</v>
      </c>
      <c r="B97" t="s">
        <v>729</v>
      </c>
      <c r="C97" s="45">
        <v>0</v>
      </c>
      <c r="D97" s="45">
        <v>0</v>
      </c>
      <c r="E97" s="45">
        <v>206.71199999999999</v>
      </c>
      <c r="F97" s="45">
        <v>206.71199999999999</v>
      </c>
      <c r="G97" s="45">
        <v>0</v>
      </c>
      <c r="H97" s="45">
        <v>0</v>
      </c>
      <c r="I97" s="45">
        <v>363.55</v>
      </c>
      <c r="J97" s="45">
        <v>367.81800000000004</v>
      </c>
    </row>
    <row r="98" spans="1:10" x14ac:dyDescent="0.25">
      <c r="A98" t="s">
        <v>333</v>
      </c>
      <c r="B98" t="s">
        <v>738</v>
      </c>
      <c r="C98" s="45">
        <v>0</v>
      </c>
      <c r="D98" s="45">
        <v>0</v>
      </c>
      <c r="E98" s="45">
        <v>0</v>
      </c>
      <c r="F98" s="45">
        <v>0</v>
      </c>
      <c r="G98" s="45">
        <v>0</v>
      </c>
      <c r="H98" s="45">
        <v>0</v>
      </c>
      <c r="I98" s="45">
        <v>372.40500000000003</v>
      </c>
      <c r="J98" s="45">
        <v>348.84300000000002</v>
      </c>
    </row>
    <row r="99" spans="1:10" x14ac:dyDescent="0.25">
      <c r="A99" t="s">
        <v>333</v>
      </c>
      <c r="B99" t="s">
        <v>747</v>
      </c>
      <c r="C99" s="45">
        <v>0</v>
      </c>
      <c r="D99" s="45">
        <v>0</v>
      </c>
      <c r="E99" s="45">
        <v>0</v>
      </c>
      <c r="F99" s="45">
        <v>0</v>
      </c>
      <c r="G99" s="45">
        <v>0</v>
      </c>
      <c r="H99" s="45">
        <v>0</v>
      </c>
      <c r="I99" s="45">
        <v>421.245</v>
      </c>
      <c r="J99" s="45">
        <v>421.245</v>
      </c>
    </row>
    <row r="100" spans="1:10" x14ac:dyDescent="0.25">
      <c r="A100" t="s">
        <v>333</v>
      </c>
      <c r="B100" t="s">
        <v>756</v>
      </c>
      <c r="C100" s="45">
        <v>0</v>
      </c>
      <c r="D100" s="45">
        <v>0</v>
      </c>
      <c r="E100" s="45">
        <v>0</v>
      </c>
      <c r="F100" s="45">
        <v>0</v>
      </c>
      <c r="G100" s="45">
        <v>0</v>
      </c>
      <c r="H100" s="45">
        <v>0</v>
      </c>
      <c r="I100" s="45">
        <v>579.97500000000002</v>
      </c>
      <c r="J100" s="45">
        <v>579.97500000000002</v>
      </c>
    </row>
    <row r="101" spans="1:10" x14ac:dyDescent="0.25">
      <c r="A101" t="s">
        <v>333</v>
      </c>
      <c r="B101" t="s">
        <v>765</v>
      </c>
      <c r="C101" s="45">
        <v>0</v>
      </c>
      <c r="D101" s="45">
        <v>0</v>
      </c>
      <c r="E101" s="45">
        <v>0</v>
      </c>
      <c r="F101" s="45">
        <v>0</v>
      </c>
      <c r="G101" s="45">
        <v>0</v>
      </c>
      <c r="H101" s="45">
        <v>0</v>
      </c>
      <c r="I101" s="45">
        <v>1056.165</v>
      </c>
      <c r="J101" s="45">
        <v>1056.165</v>
      </c>
    </row>
    <row r="102" spans="1:10" x14ac:dyDescent="0.25">
      <c r="A102" t="s">
        <v>333</v>
      </c>
      <c r="B102" t="s">
        <v>783</v>
      </c>
      <c r="C102" s="45">
        <v>0</v>
      </c>
      <c r="D102" s="45">
        <v>0</v>
      </c>
      <c r="E102" s="45">
        <v>0</v>
      </c>
      <c r="F102" s="45">
        <v>0</v>
      </c>
      <c r="G102" s="45">
        <v>0</v>
      </c>
      <c r="H102" s="45">
        <v>0</v>
      </c>
      <c r="I102" s="45">
        <v>415.14</v>
      </c>
      <c r="J102" s="45">
        <v>415.14</v>
      </c>
    </row>
    <row r="103" spans="1:10" x14ac:dyDescent="0.25">
      <c r="A103" t="s">
        <v>333</v>
      </c>
      <c r="B103" t="s">
        <v>792</v>
      </c>
      <c r="C103" s="45">
        <v>0</v>
      </c>
      <c r="D103" s="45">
        <v>0</v>
      </c>
      <c r="E103" s="45">
        <v>0</v>
      </c>
      <c r="F103" s="45">
        <v>0</v>
      </c>
      <c r="G103" s="45">
        <v>0</v>
      </c>
      <c r="H103" s="45">
        <v>0</v>
      </c>
      <c r="I103" s="45">
        <v>683.7600000000001</v>
      </c>
      <c r="J103" s="45">
        <v>683.7600000000001</v>
      </c>
    </row>
    <row r="104" spans="1:10" x14ac:dyDescent="0.25">
      <c r="A104" t="s">
        <v>333</v>
      </c>
      <c r="B104" t="s">
        <v>819</v>
      </c>
      <c r="C104" s="45">
        <v>0</v>
      </c>
      <c r="D104" s="45">
        <v>0</v>
      </c>
      <c r="E104" s="45">
        <v>0</v>
      </c>
      <c r="F104" s="45">
        <v>0</v>
      </c>
      <c r="G104" s="45">
        <v>0</v>
      </c>
      <c r="H104" s="45">
        <v>0</v>
      </c>
      <c r="I104" s="45">
        <v>665.44500000000005</v>
      </c>
      <c r="J104" s="45">
        <v>650.51800000000003</v>
      </c>
    </row>
    <row r="105" spans="1:10" x14ac:dyDescent="0.25">
      <c r="A105" t="s">
        <v>333</v>
      </c>
      <c r="B105" t="s">
        <v>828</v>
      </c>
      <c r="C105" s="45">
        <v>0</v>
      </c>
      <c r="D105" s="45">
        <v>0</v>
      </c>
      <c r="E105" s="45">
        <v>0</v>
      </c>
      <c r="F105" s="45">
        <v>0</v>
      </c>
      <c r="G105" s="45">
        <v>0</v>
      </c>
      <c r="H105" s="45">
        <v>0</v>
      </c>
      <c r="I105" s="45">
        <v>482.29500000000002</v>
      </c>
      <c r="J105" s="45">
        <v>482.29500000000002</v>
      </c>
    </row>
    <row r="106" spans="1:10" x14ac:dyDescent="0.25">
      <c r="A106" t="s">
        <v>333</v>
      </c>
      <c r="B106" t="s">
        <v>846</v>
      </c>
      <c r="C106" s="45">
        <v>0</v>
      </c>
      <c r="D106" s="45">
        <v>0</v>
      </c>
      <c r="E106" s="45">
        <v>221.37500000000003</v>
      </c>
      <c r="F106" s="45">
        <v>0</v>
      </c>
      <c r="G106" s="45">
        <v>0</v>
      </c>
      <c r="H106" s="45">
        <v>0</v>
      </c>
      <c r="I106" s="45">
        <v>351.45000000000005</v>
      </c>
      <c r="J106" s="45">
        <v>356.81800000000004</v>
      </c>
    </row>
    <row r="107" spans="1:10" x14ac:dyDescent="0.25">
      <c r="A107" t="s">
        <v>333</v>
      </c>
      <c r="B107" t="s">
        <v>855</v>
      </c>
      <c r="C107" s="45">
        <v>0</v>
      </c>
      <c r="D107" s="45">
        <v>0</v>
      </c>
      <c r="E107" s="45">
        <v>0</v>
      </c>
      <c r="F107" s="45">
        <v>0</v>
      </c>
      <c r="G107" s="45">
        <v>0</v>
      </c>
      <c r="H107" s="45">
        <v>0</v>
      </c>
      <c r="I107" s="45">
        <v>494.50500000000005</v>
      </c>
      <c r="J107" s="45">
        <v>494.50500000000005</v>
      </c>
    </row>
    <row r="108" spans="1:10" x14ac:dyDescent="0.25">
      <c r="A108" t="s">
        <v>333</v>
      </c>
      <c r="B108" t="s">
        <v>864</v>
      </c>
      <c r="C108" s="45">
        <v>0</v>
      </c>
      <c r="D108" s="45">
        <v>0</v>
      </c>
      <c r="E108" s="45">
        <v>349.52500000000003</v>
      </c>
      <c r="F108" s="45">
        <v>349.52500000000003</v>
      </c>
      <c r="G108" s="45">
        <v>0</v>
      </c>
      <c r="H108" s="45">
        <v>0</v>
      </c>
      <c r="I108" s="45">
        <v>543.34500000000003</v>
      </c>
      <c r="J108" s="45">
        <v>543.34500000000003</v>
      </c>
    </row>
    <row r="109" spans="1:10" x14ac:dyDescent="0.25">
      <c r="A109" t="s">
        <v>333</v>
      </c>
      <c r="B109" t="s">
        <v>882</v>
      </c>
      <c r="C109" s="45">
        <v>0</v>
      </c>
      <c r="D109" s="45">
        <v>0</v>
      </c>
      <c r="E109" s="45">
        <v>0</v>
      </c>
      <c r="F109" s="45">
        <v>0</v>
      </c>
      <c r="G109" s="45">
        <v>0</v>
      </c>
      <c r="H109" s="45">
        <v>0</v>
      </c>
      <c r="I109" s="45">
        <v>616.60500000000002</v>
      </c>
      <c r="J109" s="45">
        <v>616.60500000000002</v>
      </c>
    </row>
    <row r="110" spans="1:10" x14ac:dyDescent="0.25">
      <c r="A110" t="s">
        <v>333</v>
      </c>
      <c r="B110" t="s">
        <v>909</v>
      </c>
      <c r="C110" s="45">
        <v>0</v>
      </c>
      <c r="D110" s="45">
        <v>0</v>
      </c>
      <c r="E110" s="45">
        <v>0</v>
      </c>
      <c r="F110" s="45">
        <v>0</v>
      </c>
      <c r="G110" s="45">
        <v>0</v>
      </c>
      <c r="H110" s="45">
        <v>0</v>
      </c>
      <c r="I110" s="45">
        <v>317.46000000000004</v>
      </c>
      <c r="J110" s="45">
        <v>305.25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F117C-05D4-452E-8DF0-E1337D48E120}">
  <sheetPr>
    <tabColor theme="8"/>
  </sheetPr>
  <dimension ref="A1:K121"/>
  <sheetViews>
    <sheetView workbookViewId="0">
      <selection activeCell="F10" sqref="F10"/>
    </sheetView>
  </sheetViews>
  <sheetFormatPr baseColWidth="10" defaultColWidth="11.42578125" defaultRowHeight="15" x14ac:dyDescent="0.25"/>
  <cols>
    <col min="1" max="1" width="10.5703125" bestFit="1" customWidth="1"/>
    <col min="2" max="2" width="23.85546875" bestFit="1" customWidth="1"/>
    <col min="3" max="5" width="11.5703125" bestFit="1" customWidth="1"/>
    <col min="6" max="6" width="12.5703125" bestFit="1" customWidth="1"/>
    <col min="7" max="9" width="13.5703125" bestFit="1" customWidth="1"/>
    <col min="10" max="10" width="14" bestFit="1" customWidth="1"/>
    <col min="11" max="11" width="13.42578125" bestFit="1" customWidth="1"/>
  </cols>
  <sheetData>
    <row r="1" spans="1:11" x14ac:dyDescent="0.25">
      <c r="A1" t="s">
        <v>1</v>
      </c>
      <c r="B1" t="s">
        <v>2</v>
      </c>
      <c r="C1" t="s">
        <v>21</v>
      </c>
      <c r="D1" t="s">
        <v>29</v>
      </c>
      <c r="E1" t="s">
        <v>31</v>
      </c>
      <c r="F1" t="s">
        <v>33</v>
      </c>
      <c r="G1" t="s">
        <v>23</v>
      </c>
      <c r="H1" t="s">
        <v>25</v>
      </c>
      <c r="I1" t="s">
        <v>27</v>
      </c>
      <c r="J1" t="s">
        <v>35</v>
      </c>
      <c r="K1" t="s">
        <v>2786</v>
      </c>
    </row>
    <row r="2" spans="1:11" x14ac:dyDescent="0.25">
      <c r="A2" t="s">
        <v>46</v>
      </c>
      <c r="B2" t="s">
        <v>118</v>
      </c>
      <c r="C2">
        <v>177.6</v>
      </c>
      <c r="D2">
        <v>188.7</v>
      </c>
      <c r="E2">
        <v>222</v>
      </c>
      <c r="F2">
        <v>244.2</v>
      </c>
      <c r="G2">
        <v>294.14999999999998</v>
      </c>
      <c r="H2">
        <v>310.8</v>
      </c>
      <c r="I2">
        <v>377.4</v>
      </c>
      <c r="J2">
        <v>388.5</v>
      </c>
      <c r="K2" t="s">
        <v>2568</v>
      </c>
    </row>
    <row r="3" spans="1:11" x14ac:dyDescent="0.25">
      <c r="A3" t="s">
        <v>46</v>
      </c>
      <c r="B3" t="s">
        <v>136</v>
      </c>
      <c r="C3">
        <v>155.4</v>
      </c>
      <c r="D3">
        <v>166.5</v>
      </c>
      <c r="E3">
        <v>199.8</v>
      </c>
      <c r="F3">
        <v>222</v>
      </c>
      <c r="G3">
        <v>271.95</v>
      </c>
      <c r="H3">
        <v>288.60000000000002</v>
      </c>
      <c r="I3">
        <v>355.2</v>
      </c>
      <c r="J3">
        <v>366.3</v>
      </c>
      <c r="K3" t="s">
        <v>2568</v>
      </c>
    </row>
    <row r="4" spans="1:11" x14ac:dyDescent="0.25">
      <c r="A4" t="s">
        <v>46</v>
      </c>
      <c r="B4" t="s">
        <v>37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t="s">
        <v>2568</v>
      </c>
    </row>
    <row r="5" spans="1:11" x14ac:dyDescent="0.25">
      <c r="A5" t="s">
        <v>46</v>
      </c>
      <c r="B5" t="s">
        <v>333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t="s">
        <v>2568</v>
      </c>
    </row>
    <row r="6" spans="1:11" x14ac:dyDescent="0.25">
      <c r="A6" t="s">
        <v>46</v>
      </c>
      <c r="B6" t="s">
        <v>351</v>
      </c>
      <c r="C6">
        <v>111</v>
      </c>
      <c r="D6">
        <v>122.1</v>
      </c>
      <c r="E6">
        <v>138.75</v>
      </c>
      <c r="F6">
        <v>149.85</v>
      </c>
      <c r="G6">
        <v>177.6</v>
      </c>
      <c r="H6">
        <v>194.25</v>
      </c>
      <c r="I6">
        <v>266.39999999999998</v>
      </c>
      <c r="J6">
        <v>283.05</v>
      </c>
      <c r="K6" t="s">
        <v>2568</v>
      </c>
    </row>
    <row r="7" spans="1:11" x14ac:dyDescent="0.25">
      <c r="A7" t="s">
        <v>46</v>
      </c>
      <c r="B7" t="s">
        <v>360</v>
      </c>
      <c r="C7">
        <v>111</v>
      </c>
      <c r="D7">
        <v>122.1</v>
      </c>
      <c r="E7">
        <v>138.75</v>
      </c>
      <c r="F7">
        <v>149.85</v>
      </c>
      <c r="G7">
        <v>177.6</v>
      </c>
      <c r="H7">
        <v>194.25</v>
      </c>
      <c r="I7">
        <v>266.39999999999998</v>
      </c>
      <c r="J7">
        <v>283.05</v>
      </c>
      <c r="K7" t="s">
        <v>2568</v>
      </c>
    </row>
    <row r="8" spans="1:11" x14ac:dyDescent="0.25">
      <c r="A8" t="s">
        <v>46</v>
      </c>
      <c r="B8" t="s">
        <v>405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 t="s">
        <v>2568</v>
      </c>
    </row>
    <row r="9" spans="1:11" x14ac:dyDescent="0.25">
      <c r="A9" t="s">
        <v>46</v>
      </c>
      <c r="B9" t="s">
        <v>450</v>
      </c>
      <c r="C9">
        <v>166.5</v>
      </c>
      <c r="D9">
        <v>177.6</v>
      </c>
      <c r="E9">
        <v>210.9</v>
      </c>
      <c r="F9">
        <v>233.1</v>
      </c>
      <c r="G9">
        <v>283.05</v>
      </c>
      <c r="H9">
        <v>299.7</v>
      </c>
      <c r="I9">
        <v>366.3</v>
      </c>
      <c r="J9">
        <v>380.8</v>
      </c>
      <c r="K9" t="s">
        <v>2568</v>
      </c>
    </row>
    <row r="10" spans="1:11" x14ac:dyDescent="0.25">
      <c r="A10" t="s">
        <v>46</v>
      </c>
      <c r="B10" t="s">
        <v>639</v>
      </c>
      <c r="C10">
        <v>166.5</v>
      </c>
      <c r="D10">
        <v>177.6</v>
      </c>
      <c r="E10">
        <v>210.9</v>
      </c>
      <c r="F10">
        <v>233.1</v>
      </c>
      <c r="G10">
        <v>283.05</v>
      </c>
      <c r="H10">
        <v>299.7</v>
      </c>
      <c r="I10">
        <v>366.3</v>
      </c>
      <c r="J10">
        <v>377.4</v>
      </c>
      <c r="K10" t="s">
        <v>2568</v>
      </c>
    </row>
    <row r="11" spans="1:11" x14ac:dyDescent="0.25">
      <c r="A11" t="s">
        <v>46</v>
      </c>
      <c r="B11" t="s">
        <v>657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 t="s">
        <v>2568</v>
      </c>
    </row>
    <row r="12" spans="1:11" x14ac:dyDescent="0.25">
      <c r="A12" t="s">
        <v>46</v>
      </c>
      <c r="B12" t="s">
        <v>702</v>
      </c>
      <c r="C12">
        <v>111</v>
      </c>
      <c r="D12">
        <v>122.1</v>
      </c>
      <c r="E12">
        <v>138.75</v>
      </c>
      <c r="F12">
        <v>149.85</v>
      </c>
      <c r="G12">
        <v>177.6</v>
      </c>
      <c r="H12">
        <v>194.25</v>
      </c>
      <c r="I12">
        <v>266.39999999999998</v>
      </c>
      <c r="J12">
        <v>285.60000000000002</v>
      </c>
      <c r="K12" t="s">
        <v>2568</v>
      </c>
    </row>
    <row r="13" spans="1:11" x14ac:dyDescent="0.25">
      <c r="A13" t="s">
        <v>46</v>
      </c>
      <c r="B13" t="s">
        <v>819</v>
      </c>
      <c r="C13">
        <v>111</v>
      </c>
      <c r="D13">
        <v>122.1</v>
      </c>
      <c r="E13">
        <v>138.75</v>
      </c>
      <c r="F13">
        <v>149.85</v>
      </c>
      <c r="G13">
        <v>177.6</v>
      </c>
      <c r="H13">
        <v>194.25</v>
      </c>
      <c r="I13">
        <v>266.39999999999998</v>
      </c>
      <c r="J13">
        <v>283.05</v>
      </c>
      <c r="K13" t="s">
        <v>2568</v>
      </c>
    </row>
    <row r="14" spans="1:11" x14ac:dyDescent="0.25">
      <c r="A14" t="s">
        <v>46</v>
      </c>
      <c r="B14" t="s">
        <v>846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 t="s">
        <v>2568</v>
      </c>
    </row>
    <row r="15" spans="1:11" x14ac:dyDescent="0.25">
      <c r="A15" t="s">
        <v>46</v>
      </c>
      <c r="B15" t="s">
        <v>909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 t="s">
        <v>2568</v>
      </c>
    </row>
    <row r="16" spans="1:11" x14ac:dyDescent="0.25">
      <c r="A16" t="s">
        <v>37</v>
      </c>
      <c r="B16" t="s">
        <v>46</v>
      </c>
      <c r="C16">
        <v>188.7</v>
      </c>
      <c r="D16">
        <v>210.9</v>
      </c>
      <c r="E16">
        <v>233.1</v>
      </c>
      <c r="F16">
        <v>255.3</v>
      </c>
      <c r="G16">
        <v>310.8</v>
      </c>
      <c r="H16">
        <v>344.1</v>
      </c>
      <c r="I16">
        <v>499.5</v>
      </c>
      <c r="J16">
        <v>521.70000000000005</v>
      </c>
      <c r="K16" t="s">
        <v>2568</v>
      </c>
    </row>
    <row r="17" spans="1:11" x14ac:dyDescent="0.25">
      <c r="A17" t="s">
        <v>37</v>
      </c>
      <c r="B17" t="s">
        <v>82</v>
      </c>
      <c r="C17">
        <v>139.72999999999999</v>
      </c>
      <c r="D17">
        <v>145.72999999999999</v>
      </c>
      <c r="E17">
        <v>194.67</v>
      </c>
      <c r="F17">
        <v>214.67</v>
      </c>
      <c r="G17">
        <v>274.39999999999998</v>
      </c>
      <c r="H17">
        <v>288.60000000000002</v>
      </c>
      <c r="I17">
        <v>388.5</v>
      </c>
      <c r="J17">
        <v>410.7</v>
      </c>
      <c r="K17" t="s">
        <v>2568</v>
      </c>
    </row>
    <row r="18" spans="1:11" x14ac:dyDescent="0.25">
      <c r="A18" t="s">
        <v>37</v>
      </c>
      <c r="B18" t="s">
        <v>100</v>
      </c>
      <c r="C18">
        <v>255.3</v>
      </c>
      <c r="D18">
        <v>277.5</v>
      </c>
      <c r="E18">
        <v>432.9</v>
      </c>
      <c r="F18">
        <v>449.55</v>
      </c>
      <c r="G18">
        <v>510.6</v>
      </c>
      <c r="H18">
        <v>532.79999999999995</v>
      </c>
      <c r="I18">
        <v>582.75</v>
      </c>
      <c r="J18">
        <v>610.5</v>
      </c>
      <c r="K18" t="s">
        <v>2568</v>
      </c>
    </row>
    <row r="19" spans="1:11" x14ac:dyDescent="0.25">
      <c r="A19" t="s">
        <v>37</v>
      </c>
      <c r="B19" t="s">
        <v>109</v>
      </c>
      <c r="C19">
        <v>188.7</v>
      </c>
      <c r="D19">
        <v>199.8</v>
      </c>
      <c r="E19">
        <v>216.83</v>
      </c>
      <c r="F19">
        <v>227.55</v>
      </c>
      <c r="G19">
        <v>244.2</v>
      </c>
      <c r="H19">
        <v>266.39999999999998</v>
      </c>
      <c r="I19">
        <v>477.3</v>
      </c>
      <c r="J19">
        <v>510.6</v>
      </c>
      <c r="K19" t="s">
        <v>2568</v>
      </c>
    </row>
    <row r="20" spans="1:11" x14ac:dyDescent="0.25">
      <c r="A20" t="s">
        <v>37</v>
      </c>
      <c r="B20" t="s">
        <v>118</v>
      </c>
      <c r="C20">
        <v>140.19999999999999</v>
      </c>
      <c r="D20">
        <v>145.19999999999999</v>
      </c>
      <c r="E20">
        <v>169</v>
      </c>
      <c r="F20">
        <v>179.2</v>
      </c>
      <c r="G20">
        <v>199.8</v>
      </c>
      <c r="H20">
        <v>224</v>
      </c>
      <c r="I20">
        <v>324.8</v>
      </c>
      <c r="J20">
        <v>344.1</v>
      </c>
      <c r="K20" t="s">
        <v>2568</v>
      </c>
    </row>
    <row r="21" spans="1:11" x14ac:dyDescent="0.25">
      <c r="A21" t="s">
        <v>37</v>
      </c>
      <c r="B21" t="s">
        <v>127</v>
      </c>
      <c r="C21">
        <v>195.47</v>
      </c>
      <c r="D21">
        <v>205.47</v>
      </c>
      <c r="E21">
        <v>221.83</v>
      </c>
      <c r="F21">
        <v>231.83</v>
      </c>
      <c r="G21">
        <v>251.83</v>
      </c>
      <c r="H21">
        <v>266.39999999999998</v>
      </c>
      <c r="I21">
        <v>477.3</v>
      </c>
      <c r="J21">
        <v>510.6</v>
      </c>
      <c r="K21" t="s">
        <v>2568</v>
      </c>
    </row>
    <row r="22" spans="1:11" x14ac:dyDescent="0.25">
      <c r="A22" t="s">
        <v>37</v>
      </c>
      <c r="B22" t="s">
        <v>136</v>
      </c>
      <c r="C22">
        <v>188.7</v>
      </c>
      <c r="D22">
        <v>201.73</v>
      </c>
      <c r="E22">
        <v>210.9</v>
      </c>
      <c r="F22">
        <v>232.17</v>
      </c>
      <c r="G22">
        <v>244.2</v>
      </c>
      <c r="H22">
        <v>266.39999999999998</v>
      </c>
      <c r="I22">
        <v>477.3</v>
      </c>
      <c r="J22">
        <v>510.6</v>
      </c>
      <c r="K22" t="s">
        <v>2568</v>
      </c>
    </row>
    <row r="23" spans="1:11" x14ac:dyDescent="0.25">
      <c r="A23" t="s">
        <v>37</v>
      </c>
      <c r="B23" t="s">
        <v>190</v>
      </c>
      <c r="C23">
        <v>172.27</v>
      </c>
      <c r="D23">
        <v>187.27</v>
      </c>
      <c r="E23">
        <v>207.83</v>
      </c>
      <c r="F23">
        <v>217.83</v>
      </c>
      <c r="G23">
        <v>238.65</v>
      </c>
      <c r="H23">
        <v>271.95</v>
      </c>
      <c r="I23">
        <v>403.2</v>
      </c>
      <c r="J23">
        <v>425.6</v>
      </c>
      <c r="K23" t="s">
        <v>2568</v>
      </c>
    </row>
    <row r="24" spans="1:11" x14ac:dyDescent="0.25">
      <c r="A24" t="s">
        <v>37</v>
      </c>
      <c r="B24" t="s">
        <v>199</v>
      </c>
      <c r="C24">
        <v>344.1</v>
      </c>
      <c r="D24">
        <v>355.2</v>
      </c>
      <c r="E24">
        <v>432.9</v>
      </c>
      <c r="F24">
        <v>454.17</v>
      </c>
      <c r="G24">
        <v>510.6</v>
      </c>
      <c r="H24">
        <v>532.79999999999995</v>
      </c>
      <c r="I24">
        <v>582.75</v>
      </c>
      <c r="J24">
        <v>610.5</v>
      </c>
      <c r="K24" t="s">
        <v>2568</v>
      </c>
    </row>
    <row r="25" spans="1:11" x14ac:dyDescent="0.25">
      <c r="A25" t="s">
        <v>37</v>
      </c>
      <c r="B25" t="s">
        <v>208</v>
      </c>
      <c r="C25">
        <v>95.27</v>
      </c>
      <c r="D25">
        <v>100.27</v>
      </c>
      <c r="E25">
        <v>123.2</v>
      </c>
      <c r="F25">
        <v>125.44</v>
      </c>
      <c r="G25">
        <v>201.6</v>
      </c>
      <c r="H25">
        <v>224</v>
      </c>
      <c r="I25">
        <v>302.39999999999998</v>
      </c>
      <c r="J25">
        <v>313.60000000000002</v>
      </c>
      <c r="K25" t="s">
        <v>2568</v>
      </c>
    </row>
    <row r="26" spans="1:11" x14ac:dyDescent="0.25">
      <c r="A26" t="s">
        <v>37</v>
      </c>
      <c r="B26" t="s">
        <v>217</v>
      </c>
      <c r="C26">
        <v>99.9</v>
      </c>
      <c r="D26">
        <v>133.19999999999999</v>
      </c>
      <c r="E26">
        <v>156.80000000000001</v>
      </c>
      <c r="F26">
        <v>173.6</v>
      </c>
      <c r="G26">
        <v>212.8</v>
      </c>
      <c r="H26">
        <v>224</v>
      </c>
      <c r="I26">
        <v>280</v>
      </c>
      <c r="J26">
        <v>288.60000000000002</v>
      </c>
      <c r="K26" t="s">
        <v>2568</v>
      </c>
    </row>
    <row r="27" spans="1:11" x14ac:dyDescent="0.25">
      <c r="A27" t="s">
        <v>37</v>
      </c>
      <c r="B27" t="s">
        <v>235</v>
      </c>
      <c r="C27">
        <v>333</v>
      </c>
      <c r="D27">
        <v>349.65</v>
      </c>
      <c r="E27">
        <v>434</v>
      </c>
      <c r="F27">
        <v>432.9</v>
      </c>
      <c r="G27">
        <v>477.3</v>
      </c>
      <c r="H27">
        <v>521.70000000000005</v>
      </c>
      <c r="I27">
        <v>699.3</v>
      </c>
      <c r="J27">
        <v>721.5</v>
      </c>
      <c r="K27" t="s">
        <v>2568</v>
      </c>
    </row>
    <row r="28" spans="1:11" x14ac:dyDescent="0.25">
      <c r="A28" t="s">
        <v>37</v>
      </c>
      <c r="B28" t="s">
        <v>244</v>
      </c>
      <c r="C28">
        <v>113.2</v>
      </c>
      <c r="D28">
        <v>123.2</v>
      </c>
      <c r="E28">
        <v>162.4</v>
      </c>
      <c r="F28">
        <v>177.6</v>
      </c>
      <c r="G28">
        <v>235.2</v>
      </c>
      <c r="H28">
        <v>257.60000000000002</v>
      </c>
      <c r="I28">
        <v>302.39999999999998</v>
      </c>
      <c r="J28">
        <v>324.8</v>
      </c>
      <c r="K28" t="s">
        <v>2568</v>
      </c>
    </row>
    <row r="29" spans="1:11" x14ac:dyDescent="0.25">
      <c r="A29" t="s">
        <v>37</v>
      </c>
      <c r="B29" t="s">
        <v>253</v>
      </c>
      <c r="C29">
        <v>122.1</v>
      </c>
      <c r="D29">
        <v>133.19999999999999</v>
      </c>
      <c r="E29">
        <v>151.19999999999999</v>
      </c>
      <c r="F29">
        <v>160.94999999999999</v>
      </c>
      <c r="G29">
        <v>238.65</v>
      </c>
      <c r="H29">
        <v>255.3</v>
      </c>
      <c r="I29">
        <v>333</v>
      </c>
      <c r="J29">
        <v>344.1</v>
      </c>
      <c r="K29" t="s">
        <v>2568</v>
      </c>
    </row>
    <row r="30" spans="1:11" x14ac:dyDescent="0.25">
      <c r="A30" t="s">
        <v>37</v>
      </c>
      <c r="B30" t="s">
        <v>37</v>
      </c>
      <c r="C30">
        <v>66.599999999999994</v>
      </c>
      <c r="D30">
        <v>66.599999999999994</v>
      </c>
      <c r="E30">
        <v>72.8</v>
      </c>
      <c r="F30">
        <v>77.7</v>
      </c>
      <c r="G30">
        <v>99.9</v>
      </c>
      <c r="H30">
        <v>112</v>
      </c>
      <c r="I30">
        <v>128.80000000000001</v>
      </c>
      <c r="J30">
        <v>134.4</v>
      </c>
      <c r="K30" t="s">
        <v>2568</v>
      </c>
    </row>
    <row r="31" spans="1:11" x14ac:dyDescent="0.25">
      <c r="A31" t="s">
        <v>37</v>
      </c>
      <c r="B31" t="s">
        <v>279</v>
      </c>
      <c r="C31">
        <v>138.75</v>
      </c>
      <c r="D31">
        <v>149.87</v>
      </c>
      <c r="E31">
        <v>194.83</v>
      </c>
      <c r="F31">
        <v>214.83</v>
      </c>
      <c r="G31">
        <v>274.39999999999998</v>
      </c>
      <c r="H31">
        <v>288.60000000000002</v>
      </c>
      <c r="I31">
        <v>392</v>
      </c>
      <c r="J31">
        <v>392</v>
      </c>
      <c r="K31" t="s">
        <v>2568</v>
      </c>
    </row>
    <row r="32" spans="1:11" x14ac:dyDescent="0.25">
      <c r="A32" t="s">
        <v>37</v>
      </c>
      <c r="B32" t="s">
        <v>306</v>
      </c>
      <c r="C32">
        <v>173.16</v>
      </c>
      <c r="D32">
        <v>188.7</v>
      </c>
      <c r="E32">
        <v>244.2</v>
      </c>
      <c r="F32">
        <v>255.3</v>
      </c>
      <c r="G32">
        <v>294.14999999999998</v>
      </c>
      <c r="H32">
        <v>310.8</v>
      </c>
      <c r="I32">
        <v>399.6</v>
      </c>
      <c r="J32">
        <v>421.8</v>
      </c>
      <c r="K32" t="s">
        <v>2568</v>
      </c>
    </row>
    <row r="33" spans="1:11" x14ac:dyDescent="0.25">
      <c r="A33" t="s">
        <v>37</v>
      </c>
      <c r="B33" t="s">
        <v>315</v>
      </c>
      <c r="C33">
        <v>412.87</v>
      </c>
      <c r="D33">
        <v>447.87</v>
      </c>
      <c r="E33">
        <v>524.83000000000004</v>
      </c>
      <c r="F33">
        <v>538.35</v>
      </c>
      <c r="G33">
        <v>627.15</v>
      </c>
      <c r="H33">
        <v>654.9</v>
      </c>
      <c r="I33">
        <v>840</v>
      </c>
      <c r="J33">
        <v>849.15</v>
      </c>
      <c r="K33" t="s">
        <v>2568</v>
      </c>
    </row>
    <row r="34" spans="1:11" x14ac:dyDescent="0.25">
      <c r="A34" t="s">
        <v>37</v>
      </c>
      <c r="B34" t="s">
        <v>333</v>
      </c>
      <c r="C34">
        <v>90.4</v>
      </c>
      <c r="D34">
        <v>100.4</v>
      </c>
      <c r="E34">
        <v>123.2</v>
      </c>
      <c r="F34">
        <v>134.4</v>
      </c>
      <c r="G34">
        <v>156.80000000000001</v>
      </c>
      <c r="H34">
        <v>177.6</v>
      </c>
      <c r="I34">
        <v>235.2</v>
      </c>
      <c r="J34">
        <v>235.2</v>
      </c>
      <c r="K34" t="s">
        <v>2568</v>
      </c>
    </row>
    <row r="35" spans="1:11" x14ac:dyDescent="0.25">
      <c r="A35" t="s">
        <v>37</v>
      </c>
      <c r="B35" t="s">
        <v>351</v>
      </c>
      <c r="C35">
        <v>222</v>
      </c>
      <c r="D35">
        <v>242</v>
      </c>
      <c r="E35">
        <v>300</v>
      </c>
      <c r="F35">
        <v>320</v>
      </c>
      <c r="G35">
        <v>371.85</v>
      </c>
      <c r="H35">
        <v>388.5</v>
      </c>
      <c r="I35">
        <v>532.79999999999995</v>
      </c>
      <c r="J35">
        <v>555</v>
      </c>
      <c r="K35" t="s">
        <v>2568</v>
      </c>
    </row>
    <row r="36" spans="1:11" x14ac:dyDescent="0.25">
      <c r="A36" t="s">
        <v>37</v>
      </c>
      <c r="B36" t="s">
        <v>360</v>
      </c>
      <c r="C36">
        <v>210.9</v>
      </c>
      <c r="D36">
        <v>241.33</v>
      </c>
      <c r="E36">
        <v>299.17</v>
      </c>
      <c r="F36">
        <v>319.17</v>
      </c>
      <c r="G36">
        <v>371.85</v>
      </c>
      <c r="H36">
        <v>388.5</v>
      </c>
      <c r="I36">
        <v>532.79999999999995</v>
      </c>
      <c r="J36">
        <v>555</v>
      </c>
      <c r="K36" t="s">
        <v>2568</v>
      </c>
    </row>
    <row r="37" spans="1:11" x14ac:dyDescent="0.25">
      <c r="A37" t="s">
        <v>37</v>
      </c>
      <c r="B37" t="s">
        <v>369</v>
      </c>
      <c r="C37">
        <v>355.2</v>
      </c>
      <c r="D37">
        <v>388.27</v>
      </c>
      <c r="E37">
        <v>485.33</v>
      </c>
      <c r="F37">
        <v>488.4</v>
      </c>
      <c r="G37">
        <v>566.1</v>
      </c>
      <c r="H37">
        <v>588.29999999999995</v>
      </c>
      <c r="I37">
        <v>699.3</v>
      </c>
      <c r="J37">
        <v>710.4</v>
      </c>
      <c r="K37" t="s">
        <v>2568</v>
      </c>
    </row>
    <row r="38" spans="1:11" x14ac:dyDescent="0.25">
      <c r="A38" t="s">
        <v>37</v>
      </c>
      <c r="B38" t="s">
        <v>387</v>
      </c>
      <c r="C38">
        <v>105.45</v>
      </c>
      <c r="D38">
        <v>116.55</v>
      </c>
      <c r="E38">
        <v>155.4</v>
      </c>
      <c r="F38">
        <v>166.5</v>
      </c>
      <c r="G38">
        <v>216.45</v>
      </c>
      <c r="H38">
        <v>233.1</v>
      </c>
      <c r="I38">
        <v>288.60000000000002</v>
      </c>
      <c r="J38">
        <v>299.7</v>
      </c>
      <c r="K38" t="s">
        <v>2568</v>
      </c>
    </row>
    <row r="39" spans="1:11" x14ac:dyDescent="0.25">
      <c r="A39" t="s">
        <v>37</v>
      </c>
      <c r="B39" t="s">
        <v>405</v>
      </c>
      <c r="C39">
        <v>72.150000000000006</v>
      </c>
      <c r="D39">
        <v>77.7</v>
      </c>
      <c r="E39">
        <v>94.35</v>
      </c>
      <c r="F39">
        <v>99.9</v>
      </c>
      <c r="G39">
        <v>133.19999999999999</v>
      </c>
      <c r="H39">
        <v>145.6</v>
      </c>
      <c r="I39">
        <v>179.2</v>
      </c>
      <c r="J39">
        <v>168</v>
      </c>
      <c r="K39" t="s">
        <v>2568</v>
      </c>
    </row>
    <row r="40" spans="1:11" x14ac:dyDescent="0.25">
      <c r="A40" t="s">
        <v>37</v>
      </c>
      <c r="B40" t="s">
        <v>432</v>
      </c>
      <c r="C40">
        <v>103.4</v>
      </c>
      <c r="D40">
        <v>105.45</v>
      </c>
      <c r="E40">
        <v>133.19999999999999</v>
      </c>
      <c r="F40">
        <v>155.4</v>
      </c>
      <c r="G40">
        <v>222</v>
      </c>
      <c r="H40">
        <v>233.1</v>
      </c>
      <c r="I40">
        <v>283.05</v>
      </c>
      <c r="J40">
        <v>299.7</v>
      </c>
      <c r="K40" t="s">
        <v>2568</v>
      </c>
    </row>
    <row r="41" spans="1:11" x14ac:dyDescent="0.25">
      <c r="A41" t="s">
        <v>37</v>
      </c>
      <c r="B41" t="s">
        <v>441</v>
      </c>
      <c r="C41">
        <v>174.27</v>
      </c>
      <c r="D41">
        <v>177.6</v>
      </c>
      <c r="E41">
        <v>233.1</v>
      </c>
      <c r="F41">
        <v>244.2</v>
      </c>
      <c r="G41">
        <v>288.60000000000002</v>
      </c>
      <c r="H41">
        <v>299.7</v>
      </c>
      <c r="I41">
        <v>399.6</v>
      </c>
      <c r="J41">
        <v>410.7</v>
      </c>
      <c r="K41" t="s">
        <v>2568</v>
      </c>
    </row>
    <row r="42" spans="1:11" x14ac:dyDescent="0.25">
      <c r="A42" t="s">
        <v>37</v>
      </c>
      <c r="B42" t="s">
        <v>450</v>
      </c>
      <c r="C42">
        <v>192.93</v>
      </c>
      <c r="D42">
        <v>202.93</v>
      </c>
      <c r="E42">
        <v>218.67</v>
      </c>
      <c r="F42">
        <v>233.67</v>
      </c>
      <c r="G42">
        <v>248.67</v>
      </c>
      <c r="H42">
        <v>274.39999999999998</v>
      </c>
      <c r="I42">
        <v>481.6</v>
      </c>
      <c r="J42">
        <v>504</v>
      </c>
      <c r="K42" t="s">
        <v>2568</v>
      </c>
    </row>
    <row r="43" spans="1:11" x14ac:dyDescent="0.25">
      <c r="A43" t="s">
        <v>37</v>
      </c>
      <c r="B43" t="s">
        <v>468</v>
      </c>
      <c r="C43">
        <v>233.1</v>
      </c>
      <c r="D43">
        <v>238.65</v>
      </c>
      <c r="E43">
        <v>377.4</v>
      </c>
      <c r="F43">
        <v>288.60000000000002</v>
      </c>
      <c r="G43">
        <v>366.3</v>
      </c>
      <c r="H43">
        <v>388.5</v>
      </c>
      <c r="I43">
        <v>510.6</v>
      </c>
      <c r="J43">
        <v>532.79999999999995</v>
      </c>
      <c r="K43" t="s">
        <v>2568</v>
      </c>
    </row>
    <row r="44" spans="1:11" x14ac:dyDescent="0.25">
      <c r="A44" t="s">
        <v>37</v>
      </c>
      <c r="B44" t="s">
        <v>522</v>
      </c>
      <c r="C44">
        <v>113.47</v>
      </c>
      <c r="D44">
        <v>128.80000000000001</v>
      </c>
      <c r="E44">
        <v>168</v>
      </c>
      <c r="F44">
        <v>179.2</v>
      </c>
      <c r="G44">
        <v>224</v>
      </c>
      <c r="H44">
        <v>257.60000000000002</v>
      </c>
      <c r="I44">
        <v>291.2</v>
      </c>
      <c r="J44">
        <v>313.60000000000002</v>
      </c>
      <c r="K44" t="s">
        <v>2568</v>
      </c>
    </row>
    <row r="45" spans="1:11" x14ac:dyDescent="0.25">
      <c r="A45" t="s">
        <v>37</v>
      </c>
      <c r="B45" t="s">
        <v>540</v>
      </c>
      <c r="C45">
        <v>155.4</v>
      </c>
      <c r="D45">
        <v>172.05</v>
      </c>
      <c r="E45">
        <v>238.65</v>
      </c>
      <c r="F45">
        <v>255.3</v>
      </c>
      <c r="G45">
        <v>305.25</v>
      </c>
      <c r="H45">
        <v>321.89999999999998</v>
      </c>
      <c r="I45">
        <v>388.5</v>
      </c>
      <c r="J45">
        <v>399.6</v>
      </c>
      <c r="K45" t="s">
        <v>2568</v>
      </c>
    </row>
    <row r="46" spans="1:11" x14ac:dyDescent="0.25">
      <c r="A46" t="s">
        <v>37</v>
      </c>
      <c r="B46" t="s">
        <v>594</v>
      </c>
      <c r="C46">
        <v>394.05</v>
      </c>
      <c r="D46">
        <v>424.67</v>
      </c>
      <c r="E46">
        <v>543.33000000000004</v>
      </c>
      <c r="F46">
        <v>553.33000000000004</v>
      </c>
      <c r="G46">
        <v>604.95000000000005</v>
      </c>
      <c r="H46">
        <v>627.15</v>
      </c>
      <c r="I46">
        <v>738.15</v>
      </c>
      <c r="J46">
        <v>754.8</v>
      </c>
      <c r="K46" t="s">
        <v>2568</v>
      </c>
    </row>
    <row r="47" spans="1:11" x14ac:dyDescent="0.25">
      <c r="A47" t="s">
        <v>37</v>
      </c>
      <c r="B47" t="s">
        <v>603</v>
      </c>
      <c r="C47">
        <v>149.85</v>
      </c>
      <c r="D47">
        <v>156.51</v>
      </c>
      <c r="E47">
        <v>210.9</v>
      </c>
      <c r="F47">
        <v>222</v>
      </c>
      <c r="G47">
        <v>271.95</v>
      </c>
      <c r="H47">
        <v>288.60000000000002</v>
      </c>
      <c r="I47">
        <v>371.85</v>
      </c>
      <c r="J47">
        <v>388.5</v>
      </c>
      <c r="K47" t="s">
        <v>2568</v>
      </c>
    </row>
    <row r="48" spans="1:11" x14ac:dyDescent="0.25">
      <c r="A48" t="s">
        <v>37</v>
      </c>
      <c r="B48" t="s">
        <v>630</v>
      </c>
      <c r="C48">
        <v>166.5</v>
      </c>
      <c r="D48">
        <v>183.15</v>
      </c>
      <c r="E48">
        <v>222</v>
      </c>
      <c r="F48">
        <v>233.1</v>
      </c>
      <c r="G48">
        <v>288.60000000000002</v>
      </c>
      <c r="H48">
        <v>310.8</v>
      </c>
      <c r="I48">
        <v>388.5</v>
      </c>
      <c r="J48">
        <v>416.25</v>
      </c>
      <c r="K48" t="s">
        <v>2568</v>
      </c>
    </row>
    <row r="49" spans="1:11" x14ac:dyDescent="0.25">
      <c r="A49" t="s">
        <v>37</v>
      </c>
      <c r="B49" t="s">
        <v>639</v>
      </c>
      <c r="C49">
        <v>188.7</v>
      </c>
      <c r="D49">
        <v>203.6</v>
      </c>
      <c r="E49">
        <v>219.5</v>
      </c>
      <c r="F49">
        <v>234.5</v>
      </c>
      <c r="G49">
        <v>249.5</v>
      </c>
      <c r="H49">
        <v>275.39999999999998</v>
      </c>
      <c r="I49">
        <v>481.6</v>
      </c>
      <c r="J49">
        <v>504</v>
      </c>
      <c r="K49" t="s">
        <v>2568</v>
      </c>
    </row>
    <row r="50" spans="1:11" x14ac:dyDescent="0.25">
      <c r="A50" t="s">
        <v>37</v>
      </c>
      <c r="B50" t="s">
        <v>648</v>
      </c>
      <c r="C50">
        <v>237.87</v>
      </c>
      <c r="D50">
        <v>247.87</v>
      </c>
      <c r="E50">
        <v>304.83</v>
      </c>
      <c r="F50">
        <v>319.83</v>
      </c>
      <c r="G50">
        <v>371.85</v>
      </c>
      <c r="H50">
        <v>388.5</v>
      </c>
      <c r="I50">
        <v>444</v>
      </c>
      <c r="J50">
        <v>466.2</v>
      </c>
      <c r="K50" t="s">
        <v>2568</v>
      </c>
    </row>
    <row r="51" spans="1:11" x14ac:dyDescent="0.25">
      <c r="A51" t="s">
        <v>37</v>
      </c>
      <c r="B51" t="s">
        <v>657</v>
      </c>
      <c r="C51">
        <v>183.15</v>
      </c>
      <c r="D51">
        <v>194.25</v>
      </c>
      <c r="E51">
        <v>244.2</v>
      </c>
      <c r="F51">
        <v>249.75</v>
      </c>
      <c r="G51">
        <v>305.25</v>
      </c>
      <c r="H51">
        <v>321.89999999999998</v>
      </c>
      <c r="I51">
        <v>432.9</v>
      </c>
      <c r="J51">
        <v>444</v>
      </c>
      <c r="K51" t="s">
        <v>2568</v>
      </c>
    </row>
    <row r="52" spans="1:11" x14ac:dyDescent="0.25">
      <c r="A52" t="s">
        <v>37</v>
      </c>
      <c r="B52" t="s">
        <v>675</v>
      </c>
      <c r="C52">
        <v>111</v>
      </c>
      <c r="D52">
        <v>122.1</v>
      </c>
      <c r="E52">
        <v>168</v>
      </c>
      <c r="F52">
        <v>177.6</v>
      </c>
      <c r="G52">
        <v>212.8</v>
      </c>
      <c r="H52">
        <v>224</v>
      </c>
      <c r="I52">
        <v>291.2</v>
      </c>
      <c r="J52">
        <v>302.39999999999998</v>
      </c>
      <c r="K52" t="s">
        <v>2568</v>
      </c>
    </row>
    <row r="53" spans="1:11" x14ac:dyDescent="0.25">
      <c r="A53" t="s">
        <v>37</v>
      </c>
      <c r="B53" t="s">
        <v>684</v>
      </c>
      <c r="C53">
        <v>188.7</v>
      </c>
      <c r="D53">
        <v>210.9</v>
      </c>
      <c r="E53">
        <v>233.1</v>
      </c>
      <c r="F53">
        <v>255.3</v>
      </c>
      <c r="G53">
        <v>310.8</v>
      </c>
      <c r="H53">
        <v>344.1</v>
      </c>
      <c r="I53">
        <v>499.5</v>
      </c>
      <c r="J53">
        <v>521.70000000000005</v>
      </c>
      <c r="K53" t="s">
        <v>2568</v>
      </c>
    </row>
    <row r="54" spans="1:11" x14ac:dyDescent="0.25">
      <c r="A54" t="s">
        <v>37</v>
      </c>
      <c r="B54" t="s">
        <v>702</v>
      </c>
      <c r="C54">
        <v>188.7</v>
      </c>
      <c r="D54">
        <v>219.2</v>
      </c>
      <c r="E54">
        <v>246.5</v>
      </c>
      <c r="F54">
        <v>256.5</v>
      </c>
      <c r="G54">
        <v>316.5</v>
      </c>
      <c r="H54">
        <v>353.8</v>
      </c>
      <c r="I54">
        <v>504</v>
      </c>
      <c r="J54">
        <v>526.4</v>
      </c>
      <c r="K54" t="s">
        <v>2568</v>
      </c>
    </row>
    <row r="55" spans="1:11" x14ac:dyDescent="0.25">
      <c r="A55" t="s">
        <v>37</v>
      </c>
      <c r="B55" t="s">
        <v>729</v>
      </c>
      <c r="C55">
        <v>151.4</v>
      </c>
      <c r="D55">
        <v>161.4</v>
      </c>
      <c r="E55">
        <v>212.8</v>
      </c>
      <c r="F55">
        <v>224</v>
      </c>
      <c r="G55">
        <v>285.60000000000002</v>
      </c>
      <c r="H55">
        <v>302.39999999999998</v>
      </c>
      <c r="I55">
        <v>408.8</v>
      </c>
      <c r="J55">
        <v>425.6</v>
      </c>
      <c r="K55" t="s">
        <v>2568</v>
      </c>
    </row>
    <row r="56" spans="1:11" x14ac:dyDescent="0.25">
      <c r="A56" t="s">
        <v>37</v>
      </c>
      <c r="B56" t="s">
        <v>738</v>
      </c>
      <c r="C56">
        <v>144.80000000000001</v>
      </c>
      <c r="D56">
        <v>149.80000000000001</v>
      </c>
      <c r="E56">
        <v>212.8</v>
      </c>
      <c r="F56">
        <v>233.1</v>
      </c>
      <c r="G56">
        <v>285.60000000000002</v>
      </c>
      <c r="H56">
        <v>302.39999999999998</v>
      </c>
      <c r="I56">
        <v>375.2</v>
      </c>
      <c r="J56">
        <v>392</v>
      </c>
      <c r="K56" t="s">
        <v>2568</v>
      </c>
    </row>
    <row r="57" spans="1:11" x14ac:dyDescent="0.25">
      <c r="A57" t="s">
        <v>37</v>
      </c>
      <c r="B57" t="s">
        <v>747</v>
      </c>
      <c r="C57">
        <v>182.27</v>
      </c>
      <c r="D57">
        <v>188.7</v>
      </c>
      <c r="E57">
        <v>244.2</v>
      </c>
      <c r="F57">
        <v>255.3</v>
      </c>
      <c r="G57">
        <v>294.14999999999998</v>
      </c>
      <c r="H57">
        <v>310.8</v>
      </c>
      <c r="I57">
        <v>399.6</v>
      </c>
      <c r="J57">
        <v>421.8</v>
      </c>
      <c r="K57" t="s">
        <v>2568</v>
      </c>
    </row>
    <row r="58" spans="1:11" x14ac:dyDescent="0.25">
      <c r="A58" t="s">
        <v>37</v>
      </c>
      <c r="B58" t="s">
        <v>756</v>
      </c>
      <c r="C58">
        <v>255.3</v>
      </c>
      <c r="D58">
        <v>271.95</v>
      </c>
      <c r="E58">
        <v>405.15</v>
      </c>
      <c r="F58">
        <v>438.45</v>
      </c>
      <c r="G58">
        <v>488.4</v>
      </c>
      <c r="H58">
        <v>499.5</v>
      </c>
      <c r="I58">
        <v>549.45000000000005</v>
      </c>
      <c r="J58">
        <v>571.65</v>
      </c>
      <c r="K58" t="s">
        <v>2568</v>
      </c>
    </row>
    <row r="59" spans="1:11" x14ac:dyDescent="0.25">
      <c r="A59" t="s">
        <v>37</v>
      </c>
      <c r="B59" t="s">
        <v>765</v>
      </c>
      <c r="K59" t="s">
        <v>2568</v>
      </c>
    </row>
    <row r="60" spans="1:11" x14ac:dyDescent="0.25">
      <c r="A60" t="s">
        <v>37</v>
      </c>
      <c r="B60" t="s">
        <v>783</v>
      </c>
      <c r="C60">
        <v>173.16</v>
      </c>
      <c r="D60">
        <v>188.7</v>
      </c>
      <c r="E60">
        <v>244.2</v>
      </c>
      <c r="F60">
        <v>255.3</v>
      </c>
      <c r="G60">
        <v>294.14999999999998</v>
      </c>
      <c r="H60">
        <v>310.8</v>
      </c>
      <c r="I60">
        <v>399.6</v>
      </c>
      <c r="J60">
        <v>421.8</v>
      </c>
      <c r="K60" t="s">
        <v>2568</v>
      </c>
    </row>
    <row r="61" spans="1:11" x14ac:dyDescent="0.25">
      <c r="A61" t="s">
        <v>37</v>
      </c>
      <c r="B61" t="s">
        <v>792</v>
      </c>
      <c r="C61">
        <v>260.85000000000002</v>
      </c>
      <c r="D61">
        <v>295.52999999999997</v>
      </c>
      <c r="E61">
        <v>438.45</v>
      </c>
      <c r="F61">
        <v>455.1</v>
      </c>
      <c r="G61">
        <v>516.15</v>
      </c>
      <c r="H61">
        <v>538.35</v>
      </c>
      <c r="I61">
        <v>588.29999999999995</v>
      </c>
      <c r="J61">
        <v>616.04999999999995</v>
      </c>
      <c r="K61" t="s">
        <v>2568</v>
      </c>
    </row>
    <row r="62" spans="1:11" x14ac:dyDescent="0.25">
      <c r="A62" t="s">
        <v>37</v>
      </c>
      <c r="B62" t="s">
        <v>819</v>
      </c>
      <c r="C62">
        <v>195.07</v>
      </c>
      <c r="D62">
        <v>215.07</v>
      </c>
      <c r="E62">
        <v>241.33</v>
      </c>
      <c r="F62">
        <v>261.33</v>
      </c>
      <c r="G62">
        <v>313.60000000000002</v>
      </c>
      <c r="H62">
        <v>347.6</v>
      </c>
      <c r="I62">
        <v>504</v>
      </c>
      <c r="J62">
        <v>526.4</v>
      </c>
      <c r="K62" t="s">
        <v>2568</v>
      </c>
    </row>
    <row r="63" spans="1:11" x14ac:dyDescent="0.25">
      <c r="A63" t="s">
        <v>37</v>
      </c>
      <c r="B63" t="s">
        <v>828</v>
      </c>
      <c r="C63">
        <v>138.75</v>
      </c>
      <c r="D63">
        <v>144.30000000000001</v>
      </c>
      <c r="E63">
        <v>222</v>
      </c>
      <c r="F63">
        <v>233.1</v>
      </c>
      <c r="G63">
        <v>266.39999999999998</v>
      </c>
      <c r="H63">
        <v>277.5</v>
      </c>
      <c r="I63">
        <v>333</v>
      </c>
      <c r="J63">
        <v>344.1</v>
      </c>
      <c r="K63" t="s">
        <v>2568</v>
      </c>
    </row>
    <row r="64" spans="1:11" x14ac:dyDescent="0.25">
      <c r="A64" t="s">
        <v>37</v>
      </c>
      <c r="B64" t="s">
        <v>846</v>
      </c>
      <c r="C64">
        <v>94.35</v>
      </c>
      <c r="D64">
        <v>99.9</v>
      </c>
      <c r="E64">
        <v>112</v>
      </c>
      <c r="F64">
        <v>123.2</v>
      </c>
      <c r="G64">
        <v>155.4</v>
      </c>
      <c r="H64">
        <v>179.2</v>
      </c>
      <c r="I64">
        <v>235.2</v>
      </c>
      <c r="J64">
        <v>257.60000000000002</v>
      </c>
      <c r="K64" t="s">
        <v>2568</v>
      </c>
    </row>
    <row r="65" spans="1:11" x14ac:dyDescent="0.25">
      <c r="A65" t="s">
        <v>37</v>
      </c>
      <c r="B65" t="s">
        <v>855</v>
      </c>
      <c r="C65">
        <v>169.87</v>
      </c>
      <c r="D65">
        <v>189.87</v>
      </c>
      <c r="E65">
        <v>224.83</v>
      </c>
      <c r="F65">
        <v>234.83</v>
      </c>
      <c r="G65">
        <v>255.3</v>
      </c>
      <c r="H65">
        <v>280</v>
      </c>
      <c r="I65">
        <v>421.8</v>
      </c>
      <c r="J65">
        <v>444</v>
      </c>
      <c r="K65" t="s">
        <v>2568</v>
      </c>
    </row>
    <row r="66" spans="1:11" x14ac:dyDescent="0.25">
      <c r="A66" t="s">
        <v>37</v>
      </c>
      <c r="B66" t="s">
        <v>864</v>
      </c>
      <c r="C66">
        <v>157.6</v>
      </c>
      <c r="D66">
        <v>177.6</v>
      </c>
      <c r="E66">
        <v>187</v>
      </c>
      <c r="F66">
        <v>192</v>
      </c>
      <c r="G66">
        <v>244.2</v>
      </c>
      <c r="H66">
        <v>266.39999999999998</v>
      </c>
      <c r="I66">
        <v>410.7</v>
      </c>
      <c r="J66">
        <v>410.7</v>
      </c>
      <c r="K66" t="s">
        <v>2568</v>
      </c>
    </row>
    <row r="67" spans="1:11" x14ac:dyDescent="0.25">
      <c r="A67" t="s">
        <v>37</v>
      </c>
      <c r="B67" t="s">
        <v>882</v>
      </c>
      <c r="C67">
        <v>321.89999999999998</v>
      </c>
      <c r="D67">
        <v>336.4</v>
      </c>
      <c r="E67">
        <v>415.5</v>
      </c>
      <c r="F67">
        <v>427.35</v>
      </c>
      <c r="G67">
        <v>488.4</v>
      </c>
      <c r="H67">
        <v>510.6</v>
      </c>
      <c r="I67">
        <v>560.54999999999995</v>
      </c>
      <c r="J67">
        <v>588.29999999999995</v>
      </c>
      <c r="K67" t="s">
        <v>2568</v>
      </c>
    </row>
    <row r="68" spans="1:11" x14ac:dyDescent="0.25">
      <c r="A68" t="s">
        <v>37</v>
      </c>
      <c r="B68" t="s">
        <v>909</v>
      </c>
      <c r="C68">
        <v>88.8</v>
      </c>
      <c r="D68">
        <v>99.9</v>
      </c>
      <c r="E68">
        <v>111</v>
      </c>
      <c r="F68">
        <v>122.1</v>
      </c>
      <c r="G68">
        <v>144.30000000000001</v>
      </c>
      <c r="H68">
        <v>177.6</v>
      </c>
      <c r="I68">
        <v>210.9</v>
      </c>
      <c r="J68">
        <v>233.1</v>
      </c>
      <c r="K68" t="s">
        <v>2568</v>
      </c>
    </row>
    <row r="69" spans="1:11" x14ac:dyDescent="0.25">
      <c r="A69" t="s">
        <v>333</v>
      </c>
      <c r="B69" t="s">
        <v>46</v>
      </c>
      <c r="C69">
        <v>299.7</v>
      </c>
      <c r="D69">
        <v>310.8</v>
      </c>
      <c r="E69">
        <v>377.4</v>
      </c>
      <c r="F69">
        <v>399.6</v>
      </c>
      <c r="G69">
        <v>460.65</v>
      </c>
      <c r="H69">
        <v>477.3</v>
      </c>
      <c r="I69">
        <v>566.1</v>
      </c>
      <c r="J69">
        <v>588.29999999999995</v>
      </c>
      <c r="K69" t="s">
        <v>2568</v>
      </c>
    </row>
    <row r="70" spans="1:11" x14ac:dyDescent="0.25">
      <c r="A70" t="s">
        <v>333</v>
      </c>
      <c r="B70" t="s">
        <v>82</v>
      </c>
      <c r="C70">
        <v>144.30000000000001</v>
      </c>
      <c r="D70">
        <v>149.85</v>
      </c>
      <c r="E70">
        <v>188.7</v>
      </c>
      <c r="F70">
        <v>199.8</v>
      </c>
      <c r="G70">
        <v>222</v>
      </c>
      <c r="H70">
        <v>277.5</v>
      </c>
      <c r="I70">
        <v>333</v>
      </c>
      <c r="J70">
        <v>333</v>
      </c>
      <c r="K70" t="s">
        <v>2568</v>
      </c>
    </row>
    <row r="71" spans="1:11" x14ac:dyDescent="0.25">
      <c r="A71" t="s">
        <v>333</v>
      </c>
      <c r="B71" t="s">
        <v>100</v>
      </c>
      <c r="C71">
        <v>294.14999999999998</v>
      </c>
      <c r="D71">
        <v>305.25</v>
      </c>
      <c r="E71">
        <v>405.15</v>
      </c>
      <c r="F71">
        <v>416.25</v>
      </c>
      <c r="G71">
        <v>449.55</v>
      </c>
      <c r="H71">
        <v>466.2</v>
      </c>
      <c r="I71">
        <v>599.4</v>
      </c>
      <c r="J71">
        <v>604.95000000000005</v>
      </c>
      <c r="K71" t="s">
        <v>2568</v>
      </c>
    </row>
    <row r="72" spans="1:11" x14ac:dyDescent="0.25">
      <c r="A72" t="s">
        <v>333</v>
      </c>
      <c r="B72" t="s">
        <v>109</v>
      </c>
      <c r="C72">
        <v>188.7</v>
      </c>
      <c r="D72">
        <v>199.8</v>
      </c>
      <c r="E72">
        <v>233.1</v>
      </c>
      <c r="F72">
        <v>249.75</v>
      </c>
      <c r="G72">
        <v>277.5</v>
      </c>
      <c r="H72">
        <v>294.14999999999998</v>
      </c>
      <c r="I72">
        <v>444</v>
      </c>
      <c r="J72">
        <v>455.1</v>
      </c>
      <c r="K72" t="s">
        <v>2568</v>
      </c>
    </row>
    <row r="73" spans="1:11" x14ac:dyDescent="0.25">
      <c r="A73" t="s">
        <v>333</v>
      </c>
      <c r="B73" t="s">
        <v>118</v>
      </c>
      <c r="C73">
        <v>233.1</v>
      </c>
      <c r="D73">
        <v>244.2</v>
      </c>
      <c r="E73">
        <v>291.2</v>
      </c>
      <c r="F73">
        <v>302.39999999999998</v>
      </c>
      <c r="G73">
        <v>360.75</v>
      </c>
      <c r="H73">
        <v>377.4</v>
      </c>
      <c r="I73">
        <v>453.6</v>
      </c>
      <c r="J73">
        <v>466.2</v>
      </c>
      <c r="K73" t="s">
        <v>2568</v>
      </c>
    </row>
    <row r="74" spans="1:11" x14ac:dyDescent="0.25">
      <c r="A74" t="s">
        <v>333</v>
      </c>
      <c r="B74" t="s">
        <v>127</v>
      </c>
      <c r="C74">
        <v>244.2</v>
      </c>
      <c r="D74">
        <v>255.3</v>
      </c>
      <c r="E74">
        <v>288.60000000000002</v>
      </c>
      <c r="F74">
        <v>305.25</v>
      </c>
      <c r="G74">
        <v>333</v>
      </c>
      <c r="H74">
        <v>344.1</v>
      </c>
      <c r="I74">
        <v>543.9</v>
      </c>
      <c r="J74">
        <v>560.54999999999995</v>
      </c>
      <c r="K74" t="s">
        <v>2568</v>
      </c>
    </row>
    <row r="75" spans="1:11" x14ac:dyDescent="0.25">
      <c r="A75" t="s">
        <v>333</v>
      </c>
      <c r="B75" t="s">
        <v>136</v>
      </c>
      <c r="C75">
        <v>177.6</v>
      </c>
      <c r="D75">
        <v>188.7</v>
      </c>
      <c r="E75">
        <v>233.1</v>
      </c>
      <c r="F75">
        <v>244.2</v>
      </c>
      <c r="G75">
        <v>277.5</v>
      </c>
      <c r="H75">
        <v>294.14999999999998</v>
      </c>
      <c r="I75">
        <v>444</v>
      </c>
      <c r="J75">
        <v>471.75</v>
      </c>
      <c r="K75" t="s">
        <v>2568</v>
      </c>
    </row>
    <row r="76" spans="1:11" x14ac:dyDescent="0.25">
      <c r="A76" t="s">
        <v>333</v>
      </c>
      <c r="B76" t="s">
        <v>190</v>
      </c>
      <c r="C76">
        <v>166.5</v>
      </c>
      <c r="D76">
        <v>172.05</v>
      </c>
      <c r="E76">
        <v>188.7</v>
      </c>
      <c r="F76">
        <v>199.8</v>
      </c>
      <c r="G76">
        <v>222</v>
      </c>
      <c r="H76">
        <v>277.5</v>
      </c>
      <c r="I76">
        <v>336</v>
      </c>
      <c r="J76">
        <v>369.6</v>
      </c>
      <c r="K76" t="s">
        <v>2568</v>
      </c>
    </row>
    <row r="77" spans="1:11" x14ac:dyDescent="0.25">
      <c r="A77" t="s">
        <v>333</v>
      </c>
      <c r="B77" t="s">
        <v>199</v>
      </c>
      <c r="C77">
        <v>294.14999999999998</v>
      </c>
      <c r="D77">
        <v>305.25</v>
      </c>
      <c r="E77">
        <v>327.45</v>
      </c>
      <c r="F77">
        <v>360.75</v>
      </c>
      <c r="G77">
        <v>416.25</v>
      </c>
      <c r="H77">
        <v>444</v>
      </c>
      <c r="I77">
        <v>532.79999999999995</v>
      </c>
      <c r="J77">
        <v>610.5</v>
      </c>
      <c r="K77" t="s">
        <v>2568</v>
      </c>
    </row>
    <row r="78" spans="1:11" x14ac:dyDescent="0.25">
      <c r="A78" t="s">
        <v>333</v>
      </c>
      <c r="B78" t="s">
        <v>208</v>
      </c>
      <c r="C78">
        <v>88.8</v>
      </c>
      <c r="D78">
        <v>99.9</v>
      </c>
      <c r="E78">
        <v>105.45</v>
      </c>
      <c r="F78">
        <v>111</v>
      </c>
      <c r="G78">
        <v>144.30000000000001</v>
      </c>
      <c r="H78">
        <v>166.5</v>
      </c>
      <c r="I78">
        <v>222</v>
      </c>
      <c r="J78">
        <v>246.4</v>
      </c>
      <c r="K78" t="s">
        <v>2568</v>
      </c>
    </row>
    <row r="79" spans="1:11" x14ac:dyDescent="0.25">
      <c r="A79" t="s">
        <v>333</v>
      </c>
      <c r="B79" t="s">
        <v>217</v>
      </c>
      <c r="C79">
        <v>166.5</v>
      </c>
      <c r="D79">
        <v>177.6</v>
      </c>
      <c r="E79">
        <v>218.67</v>
      </c>
      <c r="F79">
        <v>233.1</v>
      </c>
      <c r="G79">
        <v>283.05</v>
      </c>
      <c r="H79">
        <v>299.7</v>
      </c>
      <c r="I79">
        <v>371.85</v>
      </c>
      <c r="J79">
        <v>388.5</v>
      </c>
      <c r="K79" t="s">
        <v>2568</v>
      </c>
    </row>
    <row r="80" spans="1:11" x14ac:dyDescent="0.25">
      <c r="A80" t="s">
        <v>333</v>
      </c>
      <c r="B80" t="s">
        <v>235</v>
      </c>
      <c r="C80">
        <v>488.4</v>
      </c>
      <c r="D80">
        <v>499.5</v>
      </c>
      <c r="E80">
        <v>604.95000000000005</v>
      </c>
      <c r="F80">
        <v>621.6</v>
      </c>
      <c r="G80">
        <v>666</v>
      </c>
      <c r="H80">
        <v>677.1</v>
      </c>
      <c r="I80">
        <v>810.3</v>
      </c>
      <c r="J80">
        <v>826.95</v>
      </c>
      <c r="K80" t="s">
        <v>2568</v>
      </c>
    </row>
    <row r="81" spans="1:11" x14ac:dyDescent="0.25">
      <c r="A81" t="s">
        <v>333</v>
      </c>
      <c r="B81" t="s">
        <v>244</v>
      </c>
      <c r="C81">
        <v>144.30000000000001</v>
      </c>
      <c r="D81">
        <v>155.4</v>
      </c>
      <c r="E81">
        <v>177.6</v>
      </c>
      <c r="F81">
        <v>188.7</v>
      </c>
      <c r="G81">
        <v>235.2</v>
      </c>
      <c r="H81">
        <v>244.2</v>
      </c>
      <c r="I81">
        <v>308</v>
      </c>
      <c r="J81">
        <v>324.8</v>
      </c>
      <c r="K81" t="s">
        <v>2568</v>
      </c>
    </row>
    <row r="82" spans="1:11" x14ac:dyDescent="0.25">
      <c r="A82" t="s">
        <v>333</v>
      </c>
      <c r="B82" t="s">
        <v>253</v>
      </c>
      <c r="C82">
        <v>99.9</v>
      </c>
      <c r="D82">
        <v>111</v>
      </c>
      <c r="E82">
        <v>122.1</v>
      </c>
      <c r="F82">
        <v>133.19999999999999</v>
      </c>
      <c r="G82">
        <v>155.4</v>
      </c>
      <c r="H82">
        <v>172.05</v>
      </c>
      <c r="I82">
        <v>255.3</v>
      </c>
      <c r="J82">
        <v>266.39999999999998</v>
      </c>
      <c r="K82" t="s">
        <v>2568</v>
      </c>
    </row>
    <row r="83" spans="1:11" x14ac:dyDescent="0.25">
      <c r="A83" t="s">
        <v>333</v>
      </c>
      <c r="B83" t="s">
        <v>37</v>
      </c>
      <c r="C83">
        <v>122.1</v>
      </c>
      <c r="D83">
        <v>127.65</v>
      </c>
      <c r="E83">
        <v>138.75</v>
      </c>
      <c r="F83">
        <v>149.85</v>
      </c>
      <c r="G83">
        <v>173.6</v>
      </c>
      <c r="H83">
        <v>190.4</v>
      </c>
      <c r="I83">
        <v>235.2</v>
      </c>
      <c r="J83">
        <v>235.2</v>
      </c>
      <c r="K83" t="s">
        <v>2568</v>
      </c>
    </row>
    <row r="84" spans="1:11" x14ac:dyDescent="0.25">
      <c r="A84" t="s">
        <v>333</v>
      </c>
      <c r="B84" t="s">
        <v>279</v>
      </c>
      <c r="C84">
        <v>166.5</v>
      </c>
      <c r="D84">
        <v>172.05</v>
      </c>
      <c r="E84">
        <v>188.7</v>
      </c>
      <c r="F84">
        <v>201.6</v>
      </c>
      <c r="G84">
        <v>222</v>
      </c>
      <c r="H84">
        <v>280</v>
      </c>
      <c r="I84">
        <v>336</v>
      </c>
      <c r="J84">
        <v>333</v>
      </c>
      <c r="K84" t="s">
        <v>2568</v>
      </c>
    </row>
    <row r="85" spans="1:11" x14ac:dyDescent="0.25">
      <c r="A85" t="s">
        <v>333</v>
      </c>
      <c r="B85" t="s">
        <v>306</v>
      </c>
      <c r="C85">
        <v>166.5</v>
      </c>
      <c r="D85">
        <v>172.05</v>
      </c>
      <c r="E85">
        <v>188.7</v>
      </c>
      <c r="F85">
        <v>199.8</v>
      </c>
      <c r="G85">
        <v>222</v>
      </c>
      <c r="H85">
        <v>277.5</v>
      </c>
      <c r="I85">
        <v>333</v>
      </c>
      <c r="J85">
        <v>366.3</v>
      </c>
      <c r="K85" t="s">
        <v>2568</v>
      </c>
    </row>
    <row r="86" spans="1:11" x14ac:dyDescent="0.25">
      <c r="A86" t="s">
        <v>333</v>
      </c>
      <c r="B86" t="s">
        <v>315</v>
      </c>
      <c r="C86">
        <v>449.55</v>
      </c>
      <c r="D86">
        <v>471.75</v>
      </c>
      <c r="E86">
        <v>599.4</v>
      </c>
      <c r="F86">
        <v>621.6</v>
      </c>
      <c r="G86">
        <v>710.4</v>
      </c>
      <c r="H86">
        <v>721.5</v>
      </c>
      <c r="I86">
        <v>888</v>
      </c>
      <c r="J86">
        <v>899.1</v>
      </c>
      <c r="K86" t="s">
        <v>2568</v>
      </c>
    </row>
    <row r="87" spans="1:11" x14ac:dyDescent="0.25">
      <c r="A87" t="s">
        <v>333</v>
      </c>
      <c r="B87" t="s">
        <v>333</v>
      </c>
      <c r="C87">
        <v>77.7</v>
      </c>
      <c r="D87">
        <v>83.25</v>
      </c>
      <c r="E87">
        <v>100.8</v>
      </c>
      <c r="F87">
        <v>111</v>
      </c>
      <c r="G87">
        <v>144.30000000000001</v>
      </c>
      <c r="H87">
        <v>155.4</v>
      </c>
      <c r="I87">
        <v>207.2</v>
      </c>
      <c r="J87">
        <v>224</v>
      </c>
      <c r="K87" t="s">
        <v>2568</v>
      </c>
    </row>
    <row r="88" spans="1:11" x14ac:dyDescent="0.25">
      <c r="A88" t="s">
        <v>333</v>
      </c>
      <c r="B88" t="s">
        <v>351</v>
      </c>
      <c r="C88">
        <v>277.5</v>
      </c>
      <c r="D88">
        <v>288.60000000000002</v>
      </c>
      <c r="E88">
        <v>333</v>
      </c>
      <c r="F88">
        <v>349.65</v>
      </c>
      <c r="G88">
        <v>399.6</v>
      </c>
      <c r="H88">
        <v>416.25</v>
      </c>
      <c r="I88">
        <v>621.6</v>
      </c>
      <c r="J88">
        <v>643.79999999999995</v>
      </c>
      <c r="K88" t="s">
        <v>2568</v>
      </c>
    </row>
    <row r="89" spans="1:11" x14ac:dyDescent="0.25">
      <c r="A89" t="s">
        <v>333</v>
      </c>
      <c r="B89" t="s">
        <v>360</v>
      </c>
      <c r="C89">
        <v>277.5</v>
      </c>
      <c r="D89">
        <v>288.60000000000002</v>
      </c>
      <c r="E89">
        <v>333</v>
      </c>
      <c r="F89">
        <v>349.65</v>
      </c>
      <c r="G89">
        <v>399.6</v>
      </c>
      <c r="H89">
        <v>416.25</v>
      </c>
      <c r="I89">
        <v>621.6</v>
      </c>
      <c r="J89">
        <v>643.79999999999995</v>
      </c>
      <c r="K89" t="s">
        <v>2568</v>
      </c>
    </row>
    <row r="90" spans="1:11" x14ac:dyDescent="0.25">
      <c r="A90" t="s">
        <v>333</v>
      </c>
      <c r="B90" t="s">
        <v>369</v>
      </c>
      <c r="C90">
        <v>432.9</v>
      </c>
      <c r="D90">
        <v>444</v>
      </c>
      <c r="E90">
        <v>538.35</v>
      </c>
      <c r="F90">
        <v>555</v>
      </c>
      <c r="G90">
        <v>599.4</v>
      </c>
      <c r="H90">
        <v>610.5</v>
      </c>
      <c r="I90">
        <v>743.7</v>
      </c>
      <c r="J90">
        <v>760.35</v>
      </c>
      <c r="K90" t="s">
        <v>2568</v>
      </c>
    </row>
    <row r="91" spans="1:11" x14ac:dyDescent="0.25">
      <c r="A91" t="s">
        <v>333</v>
      </c>
      <c r="B91" t="s">
        <v>387</v>
      </c>
      <c r="C91">
        <v>111</v>
      </c>
      <c r="D91">
        <v>133.19999999999999</v>
      </c>
      <c r="E91">
        <v>160.94999999999999</v>
      </c>
      <c r="F91">
        <v>149.85</v>
      </c>
      <c r="G91">
        <v>166.5</v>
      </c>
      <c r="H91">
        <v>177.6</v>
      </c>
      <c r="I91">
        <v>233.1</v>
      </c>
      <c r="J91">
        <v>244.2</v>
      </c>
      <c r="K91" t="s">
        <v>2568</v>
      </c>
    </row>
    <row r="92" spans="1:11" x14ac:dyDescent="0.25">
      <c r="A92" t="s">
        <v>333</v>
      </c>
      <c r="B92" t="s">
        <v>405</v>
      </c>
      <c r="C92">
        <v>105.45</v>
      </c>
      <c r="D92">
        <v>111</v>
      </c>
      <c r="E92">
        <v>127.65</v>
      </c>
      <c r="F92">
        <v>138.75</v>
      </c>
      <c r="G92">
        <v>155.4</v>
      </c>
      <c r="H92">
        <v>166.5</v>
      </c>
      <c r="I92">
        <v>222</v>
      </c>
      <c r="J92">
        <v>233.1</v>
      </c>
      <c r="K92" t="s">
        <v>2568</v>
      </c>
    </row>
    <row r="93" spans="1:11" x14ac:dyDescent="0.25">
      <c r="A93" t="s">
        <v>333</v>
      </c>
      <c r="B93" t="s">
        <v>432</v>
      </c>
      <c r="C93">
        <v>99.9</v>
      </c>
      <c r="D93">
        <v>111</v>
      </c>
      <c r="E93">
        <v>122.1</v>
      </c>
      <c r="F93">
        <v>133.19999999999999</v>
      </c>
      <c r="G93">
        <v>155.4</v>
      </c>
      <c r="H93">
        <v>177.6</v>
      </c>
      <c r="I93">
        <v>222</v>
      </c>
      <c r="J93">
        <v>244.2</v>
      </c>
      <c r="K93" t="s">
        <v>2568</v>
      </c>
    </row>
    <row r="94" spans="1:11" x14ac:dyDescent="0.25">
      <c r="A94" t="s">
        <v>333</v>
      </c>
      <c r="B94" t="s">
        <v>441</v>
      </c>
      <c r="C94">
        <v>166.5</v>
      </c>
      <c r="D94">
        <v>172.05</v>
      </c>
      <c r="E94">
        <v>188.7</v>
      </c>
      <c r="F94">
        <v>199.8</v>
      </c>
      <c r="G94">
        <v>222</v>
      </c>
      <c r="H94">
        <v>277.5</v>
      </c>
      <c r="I94">
        <v>333</v>
      </c>
      <c r="J94">
        <v>366.3</v>
      </c>
      <c r="K94" t="s">
        <v>2568</v>
      </c>
    </row>
    <row r="95" spans="1:11" x14ac:dyDescent="0.25">
      <c r="A95" t="s">
        <v>333</v>
      </c>
      <c r="B95" t="s">
        <v>450</v>
      </c>
      <c r="C95">
        <v>222</v>
      </c>
      <c r="D95">
        <v>233.1</v>
      </c>
      <c r="E95">
        <v>288.60000000000002</v>
      </c>
      <c r="F95">
        <v>299.7</v>
      </c>
      <c r="G95">
        <v>371.85</v>
      </c>
      <c r="H95">
        <v>388.5</v>
      </c>
      <c r="I95">
        <v>549.45000000000005</v>
      </c>
      <c r="J95">
        <v>566.1</v>
      </c>
      <c r="K95" t="s">
        <v>2568</v>
      </c>
    </row>
    <row r="96" spans="1:11" x14ac:dyDescent="0.25">
      <c r="A96" t="s">
        <v>333</v>
      </c>
      <c r="B96" t="s">
        <v>468</v>
      </c>
      <c r="C96">
        <v>202.33</v>
      </c>
      <c r="D96">
        <v>205.35</v>
      </c>
      <c r="E96">
        <v>294.14999999999998</v>
      </c>
      <c r="F96">
        <v>305.25</v>
      </c>
      <c r="G96">
        <v>338.55</v>
      </c>
      <c r="H96">
        <v>355.2</v>
      </c>
      <c r="I96">
        <v>488.4</v>
      </c>
      <c r="J96">
        <v>499.5</v>
      </c>
      <c r="K96" t="s">
        <v>2568</v>
      </c>
    </row>
    <row r="97" spans="1:11" x14ac:dyDescent="0.25">
      <c r="A97" t="s">
        <v>333</v>
      </c>
      <c r="B97" t="s">
        <v>522</v>
      </c>
      <c r="C97">
        <v>183.53</v>
      </c>
      <c r="D97">
        <v>194.25</v>
      </c>
      <c r="E97">
        <v>240.8</v>
      </c>
      <c r="F97">
        <v>249.75</v>
      </c>
      <c r="G97">
        <v>310.8</v>
      </c>
      <c r="H97">
        <v>330.4</v>
      </c>
      <c r="I97">
        <v>403.2</v>
      </c>
      <c r="J97">
        <v>420</v>
      </c>
      <c r="K97" t="s">
        <v>2568</v>
      </c>
    </row>
    <row r="98" spans="1:11" x14ac:dyDescent="0.25">
      <c r="A98" t="s">
        <v>333</v>
      </c>
      <c r="B98" t="s">
        <v>540</v>
      </c>
      <c r="C98">
        <v>177.6</v>
      </c>
      <c r="D98">
        <v>188.7</v>
      </c>
      <c r="E98">
        <v>222</v>
      </c>
      <c r="F98">
        <v>238.65</v>
      </c>
      <c r="G98">
        <v>266.39999999999998</v>
      </c>
      <c r="H98">
        <v>283.05</v>
      </c>
      <c r="I98">
        <v>432.9</v>
      </c>
      <c r="J98">
        <v>444</v>
      </c>
      <c r="K98" t="s">
        <v>2568</v>
      </c>
    </row>
    <row r="99" spans="1:11" x14ac:dyDescent="0.25">
      <c r="A99" t="s">
        <v>333</v>
      </c>
      <c r="B99" t="s">
        <v>594</v>
      </c>
      <c r="C99">
        <v>471.47</v>
      </c>
      <c r="D99">
        <v>477.3</v>
      </c>
      <c r="E99">
        <v>582.75</v>
      </c>
      <c r="F99">
        <v>599.4</v>
      </c>
      <c r="G99">
        <v>643.79999999999995</v>
      </c>
      <c r="H99">
        <v>654.9</v>
      </c>
      <c r="I99">
        <v>788.1</v>
      </c>
      <c r="J99">
        <v>804.75</v>
      </c>
      <c r="K99" t="s">
        <v>2568</v>
      </c>
    </row>
    <row r="100" spans="1:11" x14ac:dyDescent="0.25">
      <c r="A100" t="s">
        <v>333</v>
      </c>
      <c r="B100" t="s">
        <v>603</v>
      </c>
      <c r="C100">
        <v>166.5</v>
      </c>
      <c r="D100">
        <v>172.05</v>
      </c>
      <c r="E100">
        <v>188.7</v>
      </c>
      <c r="F100">
        <v>199.8</v>
      </c>
      <c r="G100">
        <v>222</v>
      </c>
      <c r="H100">
        <v>277.5</v>
      </c>
      <c r="I100">
        <v>333</v>
      </c>
      <c r="J100">
        <v>333</v>
      </c>
      <c r="K100" t="s">
        <v>2568</v>
      </c>
    </row>
    <row r="101" spans="1:11" x14ac:dyDescent="0.25">
      <c r="A101" t="s">
        <v>333</v>
      </c>
      <c r="B101" t="s">
        <v>630</v>
      </c>
      <c r="C101">
        <v>166.5</v>
      </c>
      <c r="D101">
        <v>172.05</v>
      </c>
      <c r="E101">
        <v>188.7</v>
      </c>
      <c r="F101">
        <v>199.8</v>
      </c>
      <c r="G101">
        <v>222</v>
      </c>
      <c r="H101">
        <v>277.5</v>
      </c>
      <c r="I101">
        <v>333</v>
      </c>
      <c r="J101">
        <v>333</v>
      </c>
      <c r="K101" t="s">
        <v>2568</v>
      </c>
    </row>
    <row r="102" spans="1:11" x14ac:dyDescent="0.25">
      <c r="A102" t="s">
        <v>333</v>
      </c>
      <c r="B102" t="s">
        <v>639</v>
      </c>
      <c r="C102">
        <v>266.39999999999998</v>
      </c>
      <c r="D102">
        <v>277.5</v>
      </c>
      <c r="E102">
        <v>319.17</v>
      </c>
      <c r="F102">
        <v>327.45</v>
      </c>
      <c r="G102">
        <v>349.65</v>
      </c>
      <c r="H102">
        <v>366.3</v>
      </c>
      <c r="I102">
        <v>560.54999999999995</v>
      </c>
      <c r="J102">
        <v>588.29999999999995</v>
      </c>
      <c r="K102" t="s">
        <v>2568</v>
      </c>
    </row>
    <row r="103" spans="1:11" x14ac:dyDescent="0.25">
      <c r="A103" t="s">
        <v>333</v>
      </c>
      <c r="B103" t="s">
        <v>648</v>
      </c>
      <c r="C103">
        <v>166.5</v>
      </c>
      <c r="D103">
        <v>177.6</v>
      </c>
      <c r="E103">
        <v>255.3</v>
      </c>
      <c r="F103">
        <v>266.39999999999998</v>
      </c>
      <c r="G103">
        <v>299.7</v>
      </c>
      <c r="H103">
        <v>316.35000000000002</v>
      </c>
      <c r="I103">
        <v>449.55</v>
      </c>
      <c r="J103">
        <v>460.65</v>
      </c>
      <c r="K103" t="s">
        <v>2568</v>
      </c>
    </row>
    <row r="104" spans="1:11" x14ac:dyDescent="0.25">
      <c r="A104" t="s">
        <v>333</v>
      </c>
      <c r="B104" t="s">
        <v>657</v>
      </c>
      <c r="C104">
        <v>188.7</v>
      </c>
      <c r="D104">
        <v>199.8</v>
      </c>
      <c r="E104">
        <v>227.55</v>
      </c>
      <c r="F104">
        <v>238.65</v>
      </c>
      <c r="G104">
        <v>360.75</v>
      </c>
      <c r="H104">
        <v>377.4</v>
      </c>
      <c r="I104">
        <v>471.75</v>
      </c>
      <c r="J104">
        <v>488.4</v>
      </c>
      <c r="K104" t="s">
        <v>2568</v>
      </c>
    </row>
    <row r="105" spans="1:11" x14ac:dyDescent="0.25">
      <c r="A105" t="s">
        <v>333</v>
      </c>
      <c r="B105" t="s">
        <v>675</v>
      </c>
      <c r="C105">
        <v>155.4</v>
      </c>
      <c r="D105">
        <v>166.5</v>
      </c>
      <c r="E105">
        <v>201.6</v>
      </c>
      <c r="F105">
        <v>222</v>
      </c>
      <c r="G105">
        <v>271.95</v>
      </c>
      <c r="H105">
        <v>291.2</v>
      </c>
      <c r="I105">
        <v>358.4</v>
      </c>
      <c r="J105">
        <v>369.6</v>
      </c>
      <c r="K105" t="s">
        <v>2568</v>
      </c>
    </row>
    <row r="106" spans="1:11" x14ac:dyDescent="0.25">
      <c r="A106" t="s">
        <v>333</v>
      </c>
      <c r="B106" t="s">
        <v>684</v>
      </c>
      <c r="C106">
        <v>299.7</v>
      </c>
      <c r="D106">
        <v>310.8</v>
      </c>
      <c r="E106">
        <v>377.4</v>
      </c>
      <c r="F106">
        <v>399.6</v>
      </c>
      <c r="G106">
        <v>460.65</v>
      </c>
      <c r="H106">
        <v>477.3</v>
      </c>
      <c r="I106">
        <v>566.1</v>
      </c>
      <c r="J106">
        <v>588.29999999999995</v>
      </c>
      <c r="K106" t="s">
        <v>2568</v>
      </c>
    </row>
    <row r="107" spans="1:11" x14ac:dyDescent="0.25">
      <c r="A107" t="s">
        <v>333</v>
      </c>
      <c r="B107" t="s">
        <v>702</v>
      </c>
      <c r="C107">
        <v>299.7</v>
      </c>
      <c r="D107">
        <v>310.8</v>
      </c>
      <c r="E107">
        <v>377.4</v>
      </c>
      <c r="F107">
        <v>399.6</v>
      </c>
      <c r="G107">
        <v>460.65</v>
      </c>
      <c r="H107">
        <v>477.3</v>
      </c>
      <c r="I107">
        <v>566.1</v>
      </c>
      <c r="J107">
        <v>588.29999999999995</v>
      </c>
      <c r="K107" t="s">
        <v>2568</v>
      </c>
    </row>
    <row r="108" spans="1:11" x14ac:dyDescent="0.25">
      <c r="A108" t="s">
        <v>333</v>
      </c>
      <c r="B108" t="s">
        <v>729</v>
      </c>
      <c r="C108">
        <v>166.5</v>
      </c>
      <c r="D108">
        <v>172.05</v>
      </c>
      <c r="E108">
        <v>190.4</v>
      </c>
      <c r="F108">
        <v>199.8</v>
      </c>
      <c r="G108">
        <v>224</v>
      </c>
      <c r="H108">
        <v>277.5</v>
      </c>
      <c r="I108">
        <v>336</v>
      </c>
      <c r="J108">
        <v>336</v>
      </c>
      <c r="K108" t="s">
        <v>2568</v>
      </c>
    </row>
    <row r="109" spans="1:11" x14ac:dyDescent="0.25">
      <c r="A109" t="s">
        <v>333</v>
      </c>
      <c r="B109" t="s">
        <v>738</v>
      </c>
      <c r="C109">
        <v>149.85</v>
      </c>
      <c r="D109">
        <v>155.4</v>
      </c>
      <c r="E109">
        <v>188.7</v>
      </c>
      <c r="F109">
        <v>199.8</v>
      </c>
      <c r="G109">
        <v>222</v>
      </c>
      <c r="H109">
        <v>277.5</v>
      </c>
      <c r="I109">
        <v>333</v>
      </c>
      <c r="J109">
        <v>336</v>
      </c>
      <c r="K109" t="s">
        <v>2568</v>
      </c>
    </row>
    <row r="110" spans="1:11" x14ac:dyDescent="0.25">
      <c r="A110" t="s">
        <v>333</v>
      </c>
      <c r="B110" t="s">
        <v>747</v>
      </c>
      <c r="C110">
        <v>166.67</v>
      </c>
      <c r="D110">
        <v>172.05</v>
      </c>
      <c r="E110">
        <v>188.7</v>
      </c>
      <c r="F110">
        <v>199.8</v>
      </c>
      <c r="G110">
        <v>222</v>
      </c>
      <c r="H110">
        <v>277.5</v>
      </c>
      <c r="I110">
        <v>333</v>
      </c>
      <c r="J110">
        <v>366.3</v>
      </c>
      <c r="K110" t="s">
        <v>2568</v>
      </c>
    </row>
    <row r="111" spans="1:11" x14ac:dyDescent="0.25">
      <c r="A111" t="s">
        <v>333</v>
      </c>
      <c r="B111" t="s">
        <v>756</v>
      </c>
      <c r="C111">
        <v>216.45</v>
      </c>
      <c r="D111">
        <v>227.55</v>
      </c>
      <c r="E111">
        <v>316.35000000000002</v>
      </c>
      <c r="F111">
        <v>338.55</v>
      </c>
      <c r="G111">
        <v>371.85</v>
      </c>
      <c r="H111">
        <v>388.5</v>
      </c>
      <c r="I111">
        <v>521.70000000000005</v>
      </c>
      <c r="J111">
        <v>532.79999999999995</v>
      </c>
      <c r="K111" t="s">
        <v>2568</v>
      </c>
    </row>
    <row r="112" spans="1:11" x14ac:dyDescent="0.25">
      <c r="A112" t="s">
        <v>333</v>
      </c>
      <c r="B112" t="s">
        <v>765</v>
      </c>
      <c r="K112" t="s">
        <v>2568</v>
      </c>
    </row>
    <row r="113" spans="1:11" x14ac:dyDescent="0.25">
      <c r="A113" t="s">
        <v>333</v>
      </c>
      <c r="B113" t="s">
        <v>783</v>
      </c>
      <c r="C113">
        <v>166.5</v>
      </c>
      <c r="D113">
        <v>172.05</v>
      </c>
      <c r="E113">
        <v>188.7</v>
      </c>
      <c r="F113">
        <v>199.8</v>
      </c>
      <c r="G113">
        <v>222</v>
      </c>
      <c r="H113">
        <v>277.5</v>
      </c>
      <c r="I113">
        <v>333</v>
      </c>
      <c r="J113">
        <v>366.3</v>
      </c>
      <c r="K113" t="s">
        <v>2568</v>
      </c>
    </row>
    <row r="114" spans="1:11" x14ac:dyDescent="0.25">
      <c r="A114" t="s">
        <v>333</v>
      </c>
      <c r="B114" t="s">
        <v>792</v>
      </c>
      <c r="C114">
        <v>321.89999999999998</v>
      </c>
      <c r="D114">
        <v>333</v>
      </c>
      <c r="E114">
        <v>416.25</v>
      </c>
      <c r="F114">
        <v>432.9</v>
      </c>
      <c r="G114">
        <v>466.2</v>
      </c>
      <c r="H114">
        <v>482.85</v>
      </c>
      <c r="I114">
        <v>616.04999999999995</v>
      </c>
      <c r="J114">
        <v>632.70000000000005</v>
      </c>
      <c r="K114" t="s">
        <v>2568</v>
      </c>
    </row>
    <row r="115" spans="1:11" x14ac:dyDescent="0.25">
      <c r="A115" t="s">
        <v>333</v>
      </c>
      <c r="B115" t="s">
        <v>819</v>
      </c>
      <c r="C115">
        <v>299.7</v>
      </c>
      <c r="D115">
        <v>310.8</v>
      </c>
      <c r="E115">
        <v>377.4</v>
      </c>
      <c r="F115">
        <v>399.6</v>
      </c>
      <c r="G115">
        <v>460.65</v>
      </c>
      <c r="H115">
        <v>477.3</v>
      </c>
      <c r="I115">
        <v>566.1</v>
      </c>
      <c r="J115">
        <v>593.6</v>
      </c>
      <c r="K115" t="s">
        <v>2568</v>
      </c>
    </row>
    <row r="116" spans="1:11" x14ac:dyDescent="0.25">
      <c r="A116" t="s">
        <v>333</v>
      </c>
      <c r="B116" t="s">
        <v>828</v>
      </c>
      <c r="C116">
        <v>205.35</v>
      </c>
      <c r="D116">
        <v>216.45</v>
      </c>
      <c r="E116">
        <v>260.85000000000002</v>
      </c>
      <c r="F116">
        <v>271.95</v>
      </c>
      <c r="G116">
        <v>333</v>
      </c>
      <c r="H116">
        <v>349.65</v>
      </c>
      <c r="I116">
        <v>421.8</v>
      </c>
      <c r="J116">
        <v>438.45</v>
      </c>
      <c r="K116" t="s">
        <v>2568</v>
      </c>
    </row>
    <row r="117" spans="1:11" x14ac:dyDescent="0.25">
      <c r="A117" t="s">
        <v>333</v>
      </c>
      <c r="B117" t="s">
        <v>846</v>
      </c>
      <c r="C117">
        <v>177.6</v>
      </c>
      <c r="D117">
        <v>183.15</v>
      </c>
      <c r="E117">
        <v>207.2</v>
      </c>
      <c r="F117">
        <v>210.9</v>
      </c>
      <c r="G117">
        <v>255.3</v>
      </c>
      <c r="H117">
        <v>268.8</v>
      </c>
      <c r="I117">
        <v>313.60000000000002</v>
      </c>
      <c r="J117">
        <v>336</v>
      </c>
      <c r="K117" t="s">
        <v>2568</v>
      </c>
    </row>
    <row r="118" spans="1:11" x14ac:dyDescent="0.25">
      <c r="A118" t="s">
        <v>333</v>
      </c>
      <c r="B118" t="s">
        <v>855</v>
      </c>
      <c r="C118">
        <v>188.7</v>
      </c>
      <c r="D118">
        <v>199.8</v>
      </c>
      <c r="E118">
        <v>233.1</v>
      </c>
      <c r="F118">
        <v>249.75</v>
      </c>
      <c r="G118">
        <v>277.5</v>
      </c>
      <c r="H118">
        <v>294.14999999999998</v>
      </c>
      <c r="I118">
        <v>444</v>
      </c>
      <c r="J118">
        <v>455.1</v>
      </c>
      <c r="K118" t="s">
        <v>2568</v>
      </c>
    </row>
    <row r="119" spans="1:11" x14ac:dyDescent="0.25">
      <c r="A119" t="s">
        <v>333</v>
      </c>
      <c r="B119" t="s">
        <v>864</v>
      </c>
      <c r="C119">
        <v>266.39999999999998</v>
      </c>
      <c r="D119">
        <v>277.5</v>
      </c>
      <c r="E119">
        <v>321.89999999999998</v>
      </c>
      <c r="F119">
        <v>333</v>
      </c>
      <c r="G119">
        <v>394.05</v>
      </c>
      <c r="H119">
        <v>410.7</v>
      </c>
      <c r="I119">
        <v>482.85</v>
      </c>
      <c r="J119">
        <v>471.75</v>
      </c>
      <c r="K119" t="s">
        <v>2568</v>
      </c>
    </row>
    <row r="120" spans="1:11" x14ac:dyDescent="0.25">
      <c r="A120" t="s">
        <v>333</v>
      </c>
      <c r="B120" t="s">
        <v>882</v>
      </c>
      <c r="C120">
        <v>249.75</v>
      </c>
      <c r="D120">
        <v>260.85000000000002</v>
      </c>
      <c r="E120">
        <v>349.65</v>
      </c>
      <c r="F120">
        <v>371.85</v>
      </c>
      <c r="G120">
        <v>405.15</v>
      </c>
      <c r="H120">
        <v>421.8</v>
      </c>
      <c r="I120">
        <v>555</v>
      </c>
      <c r="J120">
        <v>560.54999999999995</v>
      </c>
      <c r="K120" t="s">
        <v>2568</v>
      </c>
    </row>
    <row r="121" spans="1:11" x14ac:dyDescent="0.25">
      <c r="A121" t="s">
        <v>333</v>
      </c>
      <c r="B121" t="s">
        <v>909</v>
      </c>
      <c r="C121">
        <v>111</v>
      </c>
      <c r="D121">
        <v>122.1</v>
      </c>
      <c r="E121">
        <v>155.4</v>
      </c>
      <c r="F121">
        <v>166.5</v>
      </c>
      <c r="G121">
        <v>194.25</v>
      </c>
      <c r="H121">
        <v>210.9</v>
      </c>
      <c r="I121">
        <v>277.5</v>
      </c>
      <c r="J121">
        <v>288.60000000000002</v>
      </c>
      <c r="K121" t="s">
        <v>2568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48ADB-2CE1-4DC5-B2BB-053566BBE6A7}">
  <sheetPr>
    <tabColor theme="8"/>
  </sheetPr>
  <dimension ref="A1:J121"/>
  <sheetViews>
    <sheetView zoomScale="70" zoomScaleNormal="70" workbookViewId="0">
      <selection activeCell="G16" sqref="G16:G17"/>
    </sheetView>
  </sheetViews>
  <sheetFormatPr baseColWidth="10" defaultColWidth="11.42578125" defaultRowHeight="15" x14ac:dyDescent="0.25"/>
  <cols>
    <col min="3" max="9" width="11.42578125" customWidth="1"/>
  </cols>
  <sheetData>
    <row r="1" spans="1:10" x14ac:dyDescent="0.25">
      <c r="A1" t="s">
        <v>1</v>
      </c>
      <c r="B1" t="s">
        <v>2</v>
      </c>
      <c r="C1" s="1" t="s">
        <v>21</v>
      </c>
      <c r="D1" s="1" t="s">
        <v>29</v>
      </c>
      <c r="E1" s="1" t="s">
        <v>31</v>
      </c>
      <c r="F1" s="1" t="s">
        <v>33</v>
      </c>
      <c r="G1" s="1" t="s">
        <v>23</v>
      </c>
      <c r="H1" s="1" t="s">
        <v>25</v>
      </c>
      <c r="I1" s="1" t="s">
        <v>27</v>
      </c>
      <c r="J1" s="1" t="s">
        <v>35</v>
      </c>
    </row>
    <row r="2" spans="1:10" hidden="1" x14ac:dyDescent="0.25">
      <c r="A2" s="46" t="s">
        <v>46</v>
      </c>
      <c r="B2" s="46" t="s">
        <v>118</v>
      </c>
      <c r="C2" s="47">
        <v>195.36</v>
      </c>
      <c r="D2" s="47">
        <v>207.57</v>
      </c>
      <c r="E2" s="47">
        <v>244.20000000000002</v>
      </c>
      <c r="F2" s="47">
        <v>268.62</v>
      </c>
      <c r="G2" s="47">
        <v>323.565</v>
      </c>
      <c r="H2" s="47">
        <v>341.88000000000005</v>
      </c>
      <c r="I2" s="47">
        <v>415.14</v>
      </c>
      <c r="J2" s="47">
        <v>427.35</v>
      </c>
    </row>
    <row r="3" spans="1:10" hidden="1" x14ac:dyDescent="0.25">
      <c r="A3" s="46" t="s">
        <v>46</v>
      </c>
      <c r="B3" s="46" t="s">
        <v>136</v>
      </c>
      <c r="C3" s="47">
        <v>170.94000000000003</v>
      </c>
      <c r="D3" s="47">
        <v>183.15</v>
      </c>
      <c r="E3" s="47">
        <v>219.78000000000003</v>
      </c>
      <c r="F3" s="47">
        <v>244.20000000000002</v>
      </c>
      <c r="G3" s="47">
        <v>299.14500000000004</v>
      </c>
      <c r="H3" s="47">
        <v>317.46000000000004</v>
      </c>
      <c r="I3" s="47">
        <v>390.72</v>
      </c>
      <c r="J3" s="47">
        <v>402.93000000000006</v>
      </c>
    </row>
    <row r="4" spans="1:10" hidden="1" x14ac:dyDescent="0.25">
      <c r="A4" s="46" t="s">
        <v>46</v>
      </c>
      <c r="B4" s="46" t="s">
        <v>37</v>
      </c>
      <c r="C4" s="47">
        <v>0</v>
      </c>
      <c r="D4" s="47">
        <v>0</v>
      </c>
      <c r="E4" s="47">
        <v>0</v>
      </c>
      <c r="F4" s="47">
        <v>0</v>
      </c>
      <c r="G4" s="47">
        <v>0</v>
      </c>
      <c r="H4" s="47">
        <v>0</v>
      </c>
      <c r="I4" s="47">
        <v>0</v>
      </c>
      <c r="J4" s="47">
        <v>0</v>
      </c>
    </row>
    <row r="5" spans="1:10" hidden="1" x14ac:dyDescent="0.25">
      <c r="A5" s="46" t="s">
        <v>46</v>
      </c>
      <c r="B5" s="46" t="s">
        <v>333</v>
      </c>
      <c r="C5" s="47">
        <v>0</v>
      </c>
      <c r="D5" s="47">
        <v>0</v>
      </c>
      <c r="E5" s="47">
        <v>0</v>
      </c>
      <c r="F5" s="47">
        <v>0</v>
      </c>
      <c r="G5" s="47">
        <v>0</v>
      </c>
      <c r="H5" s="47">
        <v>0</v>
      </c>
      <c r="I5" s="47">
        <v>0</v>
      </c>
      <c r="J5" s="47">
        <v>0</v>
      </c>
    </row>
    <row r="6" spans="1:10" hidden="1" x14ac:dyDescent="0.25">
      <c r="A6" s="46" t="s">
        <v>46</v>
      </c>
      <c r="B6" s="46" t="s">
        <v>351</v>
      </c>
      <c r="C6" s="47">
        <v>122.10000000000001</v>
      </c>
      <c r="D6" s="47">
        <v>134.31</v>
      </c>
      <c r="E6" s="47">
        <v>152.625</v>
      </c>
      <c r="F6" s="47">
        <v>164.83500000000001</v>
      </c>
      <c r="G6" s="47">
        <v>195.36</v>
      </c>
      <c r="H6" s="47">
        <v>213.67500000000001</v>
      </c>
      <c r="I6" s="47">
        <v>293.04000000000002</v>
      </c>
      <c r="J6" s="47">
        <v>311.35500000000002</v>
      </c>
    </row>
    <row r="7" spans="1:10" hidden="1" x14ac:dyDescent="0.25">
      <c r="A7" s="46" t="s">
        <v>46</v>
      </c>
      <c r="B7" s="46" t="s">
        <v>360</v>
      </c>
      <c r="C7" s="47">
        <v>122.10000000000001</v>
      </c>
      <c r="D7" s="47">
        <v>134.31</v>
      </c>
      <c r="E7" s="47">
        <v>152.625</v>
      </c>
      <c r="F7" s="47">
        <v>164.83500000000001</v>
      </c>
      <c r="G7" s="47">
        <v>195.36</v>
      </c>
      <c r="H7" s="47">
        <v>213.67500000000001</v>
      </c>
      <c r="I7" s="47">
        <v>293.04000000000002</v>
      </c>
      <c r="J7" s="47">
        <v>311.35500000000002</v>
      </c>
    </row>
    <row r="8" spans="1:10" hidden="1" x14ac:dyDescent="0.25">
      <c r="A8" s="46" t="s">
        <v>46</v>
      </c>
      <c r="B8" s="46" t="s">
        <v>405</v>
      </c>
      <c r="C8" s="47">
        <v>0</v>
      </c>
      <c r="D8" s="47">
        <v>0</v>
      </c>
      <c r="E8" s="47">
        <v>0</v>
      </c>
      <c r="F8" s="47">
        <v>0</v>
      </c>
      <c r="G8" s="47">
        <v>0</v>
      </c>
      <c r="H8" s="47">
        <v>0</v>
      </c>
      <c r="I8" s="47">
        <v>0</v>
      </c>
      <c r="J8" s="47">
        <v>0</v>
      </c>
    </row>
    <row r="9" spans="1:10" hidden="1" x14ac:dyDescent="0.25">
      <c r="A9" s="46" t="s">
        <v>46</v>
      </c>
      <c r="B9" s="46" t="s">
        <v>450</v>
      </c>
      <c r="C9" s="47">
        <v>183.15</v>
      </c>
      <c r="D9" s="47">
        <v>195.36</v>
      </c>
      <c r="E9" s="47">
        <v>231.99000000000004</v>
      </c>
      <c r="F9" s="47">
        <v>256.41000000000003</v>
      </c>
      <c r="G9" s="47">
        <v>311.35500000000002</v>
      </c>
      <c r="H9" s="47">
        <v>329.67</v>
      </c>
      <c r="I9" s="47">
        <v>402.93000000000006</v>
      </c>
      <c r="J9" s="47">
        <v>418.88000000000005</v>
      </c>
    </row>
    <row r="10" spans="1:10" hidden="1" x14ac:dyDescent="0.25">
      <c r="A10" s="46" t="s">
        <v>46</v>
      </c>
      <c r="B10" s="46" t="s">
        <v>639</v>
      </c>
      <c r="C10" s="47">
        <v>183.15</v>
      </c>
      <c r="D10" s="47">
        <v>195.36</v>
      </c>
      <c r="E10" s="47">
        <v>231.99000000000004</v>
      </c>
      <c r="F10" s="47">
        <v>256.41000000000003</v>
      </c>
      <c r="G10" s="47">
        <v>311.35500000000002</v>
      </c>
      <c r="H10" s="47">
        <v>329.67</v>
      </c>
      <c r="I10" s="47">
        <v>402.93000000000006</v>
      </c>
      <c r="J10" s="47">
        <v>415.14</v>
      </c>
    </row>
    <row r="11" spans="1:10" hidden="1" x14ac:dyDescent="0.25">
      <c r="A11" s="46" t="s">
        <v>46</v>
      </c>
      <c r="B11" s="46" t="s">
        <v>657</v>
      </c>
      <c r="C11" s="47">
        <v>0</v>
      </c>
      <c r="D11" s="47">
        <v>0</v>
      </c>
      <c r="E11" s="47">
        <v>0</v>
      </c>
      <c r="F11" s="47">
        <v>0</v>
      </c>
      <c r="G11" s="47">
        <v>0</v>
      </c>
      <c r="H11" s="47">
        <v>0</v>
      </c>
      <c r="I11" s="47">
        <v>0</v>
      </c>
      <c r="J11" s="47">
        <v>0</v>
      </c>
    </row>
    <row r="12" spans="1:10" hidden="1" x14ac:dyDescent="0.25">
      <c r="A12" s="46" t="s">
        <v>46</v>
      </c>
      <c r="B12" s="46" t="s">
        <v>702</v>
      </c>
      <c r="C12" s="47">
        <v>122.10000000000001</v>
      </c>
      <c r="D12" s="47">
        <v>134.31</v>
      </c>
      <c r="E12" s="47">
        <v>152.625</v>
      </c>
      <c r="F12" s="47">
        <v>164.83500000000001</v>
      </c>
      <c r="G12" s="47">
        <v>195.36</v>
      </c>
      <c r="H12" s="47">
        <v>213.67500000000001</v>
      </c>
      <c r="I12" s="47">
        <v>293.04000000000002</v>
      </c>
      <c r="J12" s="47">
        <v>314.16000000000003</v>
      </c>
    </row>
    <row r="13" spans="1:10" x14ac:dyDescent="0.25">
      <c r="A13" s="46" t="s">
        <v>46</v>
      </c>
      <c r="B13" s="46" t="s">
        <v>819</v>
      </c>
      <c r="C13" s="47">
        <v>122.10000000000001</v>
      </c>
      <c r="D13" s="47">
        <v>134.31</v>
      </c>
      <c r="E13" s="47">
        <v>152.625</v>
      </c>
      <c r="F13" s="47">
        <v>164.83500000000001</v>
      </c>
      <c r="G13" s="47">
        <v>195.36</v>
      </c>
      <c r="H13" s="47">
        <v>213.67500000000001</v>
      </c>
      <c r="I13" s="47">
        <v>293.04000000000002</v>
      </c>
      <c r="J13" s="47">
        <v>311.35500000000002</v>
      </c>
    </row>
    <row r="14" spans="1:10" hidden="1" x14ac:dyDescent="0.25">
      <c r="A14" s="46" t="s">
        <v>46</v>
      </c>
      <c r="B14" s="46" t="s">
        <v>846</v>
      </c>
      <c r="C14" s="47">
        <v>0</v>
      </c>
      <c r="D14" s="47">
        <v>0</v>
      </c>
      <c r="E14" s="47">
        <v>0</v>
      </c>
      <c r="F14" s="47">
        <v>0</v>
      </c>
      <c r="G14" s="47">
        <v>0</v>
      </c>
      <c r="H14" s="47">
        <v>0</v>
      </c>
      <c r="I14" s="47">
        <v>0</v>
      </c>
      <c r="J14" s="47">
        <v>0</v>
      </c>
    </row>
    <row r="15" spans="1:10" hidden="1" x14ac:dyDescent="0.25">
      <c r="A15" s="46" t="s">
        <v>46</v>
      </c>
      <c r="B15" s="46" t="s">
        <v>909</v>
      </c>
      <c r="C15" s="47">
        <v>0</v>
      </c>
      <c r="D15" s="47">
        <v>0</v>
      </c>
      <c r="E15" s="47">
        <v>0</v>
      </c>
      <c r="F15" s="47">
        <v>0</v>
      </c>
      <c r="G15" s="47">
        <v>0</v>
      </c>
      <c r="H15" s="47">
        <v>0</v>
      </c>
      <c r="I15" s="47">
        <v>0</v>
      </c>
      <c r="J15" s="47">
        <v>0</v>
      </c>
    </row>
    <row r="16" spans="1:10" hidden="1" x14ac:dyDescent="0.25">
      <c r="A16" s="46" t="s">
        <v>37</v>
      </c>
      <c r="B16" s="46" t="s">
        <v>46</v>
      </c>
      <c r="C16" s="47">
        <v>207.57</v>
      </c>
      <c r="D16" s="47">
        <v>231.99000000000004</v>
      </c>
      <c r="E16" s="47">
        <v>256.41000000000003</v>
      </c>
      <c r="F16" s="47">
        <v>280.83000000000004</v>
      </c>
      <c r="G16" s="47">
        <v>341.88000000000005</v>
      </c>
      <c r="H16" s="47">
        <v>378.51000000000005</v>
      </c>
      <c r="I16" s="47">
        <v>549.45000000000005</v>
      </c>
      <c r="J16" s="47">
        <v>573.87000000000012</v>
      </c>
    </row>
    <row r="17" spans="1:10" hidden="1" x14ac:dyDescent="0.25">
      <c r="A17" s="46" t="s">
        <v>37</v>
      </c>
      <c r="B17" s="46" t="s">
        <v>82</v>
      </c>
      <c r="C17" s="47">
        <v>153.703</v>
      </c>
      <c r="D17" s="47">
        <v>160.303</v>
      </c>
      <c r="E17" s="47">
        <v>214.137</v>
      </c>
      <c r="F17" s="47">
        <v>236.137</v>
      </c>
      <c r="G17" s="47">
        <v>301.83999999999997</v>
      </c>
      <c r="H17" s="47">
        <v>317.46000000000004</v>
      </c>
      <c r="I17" s="47">
        <v>427.35</v>
      </c>
      <c r="J17" s="47">
        <v>451.77000000000004</v>
      </c>
    </row>
    <row r="18" spans="1:10" hidden="1" x14ac:dyDescent="0.25">
      <c r="A18" s="46" t="s">
        <v>37</v>
      </c>
      <c r="B18" s="46" t="s">
        <v>100</v>
      </c>
      <c r="C18" s="47">
        <v>280.83000000000004</v>
      </c>
      <c r="D18" s="47">
        <v>305.25</v>
      </c>
      <c r="E18" s="47">
        <v>476.19</v>
      </c>
      <c r="F18" s="47">
        <v>494.50500000000005</v>
      </c>
      <c r="G18" s="47">
        <v>561.66000000000008</v>
      </c>
      <c r="H18" s="47">
        <v>586.08000000000004</v>
      </c>
      <c r="I18" s="47">
        <v>641.02500000000009</v>
      </c>
      <c r="J18" s="47">
        <v>671.55000000000007</v>
      </c>
    </row>
    <row r="19" spans="1:10" hidden="1" x14ac:dyDescent="0.25">
      <c r="A19" s="46" t="s">
        <v>37</v>
      </c>
      <c r="B19" s="46" t="s">
        <v>109</v>
      </c>
      <c r="C19" s="47">
        <v>207.57</v>
      </c>
      <c r="D19" s="47">
        <v>219.78000000000003</v>
      </c>
      <c r="E19" s="47">
        <v>238.51300000000003</v>
      </c>
      <c r="F19" s="47">
        <v>250.30500000000004</v>
      </c>
      <c r="G19" s="47">
        <v>268.62</v>
      </c>
      <c r="H19" s="47">
        <v>293.04000000000002</v>
      </c>
      <c r="I19" s="47">
        <v>525.03000000000009</v>
      </c>
      <c r="J19" s="47">
        <v>561.66000000000008</v>
      </c>
    </row>
    <row r="20" spans="1:10" hidden="1" x14ac:dyDescent="0.25">
      <c r="A20" s="46" t="s">
        <v>37</v>
      </c>
      <c r="B20" s="46" t="s">
        <v>118</v>
      </c>
      <c r="C20" s="47">
        <v>154.22</v>
      </c>
      <c r="D20" s="47">
        <v>159.72</v>
      </c>
      <c r="E20" s="47">
        <v>185.9</v>
      </c>
      <c r="F20" s="47">
        <v>197.12</v>
      </c>
      <c r="G20" s="47">
        <v>219.78000000000003</v>
      </c>
      <c r="H20" s="47">
        <v>246.40000000000003</v>
      </c>
      <c r="I20" s="47">
        <v>357.28000000000003</v>
      </c>
      <c r="J20" s="47">
        <v>378.51000000000005</v>
      </c>
    </row>
    <row r="21" spans="1:10" hidden="1" x14ac:dyDescent="0.25">
      <c r="A21" s="46" t="s">
        <v>37</v>
      </c>
      <c r="B21" s="46" t="s">
        <v>127</v>
      </c>
      <c r="C21" s="47">
        <v>215.01700000000002</v>
      </c>
      <c r="D21" s="47">
        <v>226.01700000000002</v>
      </c>
      <c r="E21" s="47">
        <v>244.01300000000003</v>
      </c>
      <c r="F21" s="47">
        <v>255.01300000000003</v>
      </c>
      <c r="G21" s="47">
        <v>277.01300000000003</v>
      </c>
      <c r="H21" s="47">
        <v>293.04000000000002</v>
      </c>
      <c r="I21" s="47">
        <v>525.03000000000009</v>
      </c>
      <c r="J21" s="47">
        <v>561.66000000000008</v>
      </c>
    </row>
    <row r="22" spans="1:10" hidden="1" x14ac:dyDescent="0.25">
      <c r="A22" s="46" t="s">
        <v>37</v>
      </c>
      <c r="B22" s="46" t="s">
        <v>136</v>
      </c>
      <c r="C22" s="47">
        <v>207.57</v>
      </c>
      <c r="D22" s="47">
        <v>221.90300000000002</v>
      </c>
      <c r="E22" s="47">
        <v>231.99000000000004</v>
      </c>
      <c r="F22" s="47">
        <v>255.387</v>
      </c>
      <c r="G22" s="47">
        <v>268.62</v>
      </c>
      <c r="H22" s="47">
        <v>293.04000000000002</v>
      </c>
      <c r="I22" s="47">
        <v>525.03000000000009</v>
      </c>
      <c r="J22" s="47">
        <v>561.66000000000008</v>
      </c>
    </row>
    <row r="23" spans="1:10" hidden="1" x14ac:dyDescent="0.25">
      <c r="A23" s="46" t="s">
        <v>37</v>
      </c>
      <c r="B23" s="46" t="s">
        <v>190</v>
      </c>
      <c r="C23" s="47">
        <v>189.49700000000001</v>
      </c>
      <c r="D23" s="47">
        <v>205.99700000000001</v>
      </c>
      <c r="E23" s="47">
        <v>228.61300000000003</v>
      </c>
      <c r="F23" s="47">
        <v>239.61300000000003</v>
      </c>
      <c r="G23" s="47">
        <v>262.51500000000004</v>
      </c>
      <c r="H23" s="47">
        <v>299.14500000000004</v>
      </c>
      <c r="I23" s="47">
        <v>443.52000000000004</v>
      </c>
      <c r="J23" s="47">
        <v>468.16000000000008</v>
      </c>
    </row>
    <row r="24" spans="1:10" hidden="1" x14ac:dyDescent="0.25">
      <c r="A24" s="46" t="s">
        <v>37</v>
      </c>
      <c r="B24" s="46" t="s">
        <v>199</v>
      </c>
      <c r="C24" s="47">
        <v>378.51000000000005</v>
      </c>
      <c r="D24" s="47">
        <v>390.72</v>
      </c>
      <c r="E24" s="47">
        <v>476.19</v>
      </c>
      <c r="F24" s="47">
        <v>499.58700000000005</v>
      </c>
      <c r="G24" s="47">
        <v>561.66000000000008</v>
      </c>
      <c r="H24" s="47">
        <v>586.08000000000004</v>
      </c>
      <c r="I24" s="47">
        <v>641.02500000000009</v>
      </c>
      <c r="J24" s="47">
        <v>671.55000000000007</v>
      </c>
    </row>
    <row r="25" spans="1:10" hidden="1" x14ac:dyDescent="0.25">
      <c r="A25" s="46" t="s">
        <v>37</v>
      </c>
      <c r="B25" s="46" t="s">
        <v>208</v>
      </c>
      <c r="C25" s="47">
        <v>104.797</v>
      </c>
      <c r="D25" s="47">
        <v>110.29700000000001</v>
      </c>
      <c r="E25" s="47">
        <v>135.52000000000001</v>
      </c>
      <c r="F25" s="47">
        <v>137.98400000000001</v>
      </c>
      <c r="G25" s="47">
        <v>221.76000000000002</v>
      </c>
      <c r="H25" s="47">
        <v>246.40000000000003</v>
      </c>
      <c r="I25" s="47">
        <v>332.64</v>
      </c>
      <c r="J25" s="47">
        <v>344.96000000000004</v>
      </c>
    </row>
    <row r="26" spans="1:10" hidden="1" x14ac:dyDescent="0.25">
      <c r="A26" s="46" t="s">
        <v>37</v>
      </c>
      <c r="B26" s="46" t="s">
        <v>217</v>
      </c>
      <c r="C26" s="47">
        <v>109.89000000000001</v>
      </c>
      <c r="D26" s="47">
        <v>146.52000000000001</v>
      </c>
      <c r="E26" s="47">
        <v>172.48000000000002</v>
      </c>
      <c r="F26" s="47">
        <v>190.96</v>
      </c>
      <c r="G26" s="47">
        <v>234.08000000000004</v>
      </c>
      <c r="H26" s="47">
        <v>246.40000000000003</v>
      </c>
      <c r="I26" s="47">
        <v>308</v>
      </c>
      <c r="J26" s="47">
        <v>317.46000000000004</v>
      </c>
    </row>
    <row r="27" spans="1:10" hidden="1" x14ac:dyDescent="0.25">
      <c r="A27" s="46" t="s">
        <v>37</v>
      </c>
      <c r="B27" s="46" t="s">
        <v>235</v>
      </c>
      <c r="C27" s="47">
        <v>366.3</v>
      </c>
      <c r="D27" s="47">
        <v>384.61500000000001</v>
      </c>
      <c r="E27" s="47">
        <v>477.40000000000003</v>
      </c>
      <c r="F27" s="47">
        <v>476.19</v>
      </c>
      <c r="G27" s="47">
        <v>525.03000000000009</v>
      </c>
      <c r="H27" s="47">
        <v>573.87000000000012</v>
      </c>
      <c r="I27" s="47">
        <v>769.23</v>
      </c>
      <c r="J27" s="47">
        <v>793.65000000000009</v>
      </c>
    </row>
    <row r="28" spans="1:10" hidden="1" x14ac:dyDescent="0.25">
      <c r="A28" s="46" t="s">
        <v>37</v>
      </c>
      <c r="B28" s="46" t="s">
        <v>244</v>
      </c>
      <c r="C28" s="47">
        <v>124.52000000000001</v>
      </c>
      <c r="D28" s="47">
        <v>135.52000000000001</v>
      </c>
      <c r="E28" s="47">
        <v>178.64000000000001</v>
      </c>
      <c r="F28" s="47">
        <v>195.36</v>
      </c>
      <c r="G28" s="47">
        <v>258.72000000000003</v>
      </c>
      <c r="H28" s="47">
        <v>283.36000000000007</v>
      </c>
      <c r="I28" s="47">
        <v>332.64</v>
      </c>
      <c r="J28" s="47">
        <v>357.28000000000003</v>
      </c>
    </row>
    <row r="29" spans="1:10" hidden="1" x14ac:dyDescent="0.25">
      <c r="A29" s="46" t="s">
        <v>37</v>
      </c>
      <c r="B29" s="46" t="s">
        <v>253</v>
      </c>
      <c r="C29" s="47">
        <v>134.31</v>
      </c>
      <c r="D29" s="47">
        <v>146.52000000000001</v>
      </c>
      <c r="E29" s="47">
        <v>166.32</v>
      </c>
      <c r="F29" s="47">
        <v>177.04500000000002</v>
      </c>
      <c r="G29" s="47">
        <v>262.51500000000004</v>
      </c>
      <c r="H29" s="47">
        <v>280.83000000000004</v>
      </c>
      <c r="I29" s="47">
        <v>366.3</v>
      </c>
      <c r="J29" s="47">
        <v>378.51000000000005</v>
      </c>
    </row>
    <row r="30" spans="1:10" hidden="1" x14ac:dyDescent="0.25">
      <c r="A30" s="46" t="s">
        <v>37</v>
      </c>
      <c r="B30" s="46" t="s">
        <v>37</v>
      </c>
      <c r="C30" s="47">
        <v>73.260000000000005</v>
      </c>
      <c r="D30" s="47">
        <v>73.260000000000005</v>
      </c>
      <c r="E30" s="47">
        <v>80.08</v>
      </c>
      <c r="F30" s="47">
        <v>85.470000000000013</v>
      </c>
      <c r="G30" s="47">
        <v>109.89000000000001</v>
      </c>
      <c r="H30" s="47">
        <v>123.20000000000002</v>
      </c>
      <c r="I30" s="47">
        <v>141.68000000000004</v>
      </c>
      <c r="J30" s="47">
        <v>147.84000000000003</v>
      </c>
    </row>
    <row r="31" spans="1:10" hidden="1" x14ac:dyDescent="0.25">
      <c r="A31" s="46" t="s">
        <v>37</v>
      </c>
      <c r="B31" s="46" t="s">
        <v>279</v>
      </c>
      <c r="C31" s="47">
        <v>152.625</v>
      </c>
      <c r="D31" s="47">
        <v>164.85700000000003</v>
      </c>
      <c r="E31" s="47">
        <v>214.31300000000005</v>
      </c>
      <c r="F31" s="47">
        <v>236.31300000000005</v>
      </c>
      <c r="G31" s="47">
        <v>301.83999999999997</v>
      </c>
      <c r="H31" s="47">
        <v>317.46000000000004</v>
      </c>
      <c r="I31" s="47">
        <v>431.20000000000005</v>
      </c>
      <c r="J31" s="47">
        <v>431.20000000000005</v>
      </c>
    </row>
    <row r="32" spans="1:10" hidden="1" x14ac:dyDescent="0.25">
      <c r="A32" s="46" t="s">
        <v>37</v>
      </c>
      <c r="B32" s="46" t="s">
        <v>306</v>
      </c>
      <c r="C32" s="47">
        <v>190.476</v>
      </c>
      <c r="D32" s="47">
        <v>207.57</v>
      </c>
      <c r="E32" s="47">
        <v>268.62</v>
      </c>
      <c r="F32" s="47">
        <v>280.83000000000004</v>
      </c>
      <c r="G32" s="47">
        <v>323.565</v>
      </c>
      <c r="H32" s="47">
        <v>341.88000000000005</v>
      </c>
      <c r="I32" s="47">
        <v>439.56000000000006</v>
      </c>
      <c r="J32" s="47">
        <v>463.98000000000008</v>
      </c>
    </row>
    <row r="33" spans="1:10" hidden="1" x14ac:dyDescent="0.25">
      <c r="A33" s="46" t="s">
        <v>37</v>
      </c>
      <c r="B33" s="46" t="s">
        <v>315</v>
      </c>
      <c r="C33" s="47">
        <v>454.15700000000004</v>
      </c>
      <c r="D33" s="47">
        <v>492.65700000000004</v>
      </c>
      <c r="E33" s="47">
        <v>577.3130000000001</v>
      </c>
      <c r="F33" s="47">
        <v>592.18500000000006</v>
      </c>
      <c r="G33" s="47">
        <v>689.86500000000001</v>
      </c>
      <c r="H33" s="47">
        <v>720.39</v>
      </c>
      <c r="I33" s="47">
        <v>924.00000000000011</v>
      </c>
      <c r="J33" s="47">
        <v>934.06500000000005</v>
      </c>
    </row>
    <row r="34" spans="1:10" hidden="1" x14ac:dyDescent="0.25">
      <c r="A34" s="46" t="s">
        <v>37</v>
      </c>
      <c r="B34" s="46" t="s">
        <v>333</v>
      </c>
      <c r="C34" s="47">
        <v>99.440000000000012</v>
      </c>
      <c r="D34" s="47">
        <v>110.44000000000001</v>
      </c>
      <c r="E34" s="47">
        <v>135.52000000000001</v>
      </c>
      <c r="F34" s="47">
        <v>147.84000000000003</v>
      </c>
      <c r="G34" s="47">
        <v>172.48000000000002</v>
      </c>
      <c r="H34" s="47">
        <v>195.36</v>
      </c>
      <c r="I34" s="47">
        <v>258.72000000000003</v>
      </c>
      <c r="J34" s="47">
        <v>258.72000000000003</v>
      </c>
    </row>
    <row r="35" spans="1:10" hidden="1" x14ac:dyDescent="0.25">
      <c r="A35" s="46" t="s">
        <v>37</v>
      </c>
      <c r="B35" s="46" t="s">
        <v>351</v>
      </c>
      <c r="C35" s="47">
        <v>244.20000000000002</v>
      </c>
      <c r="D35" s="47">
        <v>266.20000000000005</v>
      </c>
      <c r="E35" s="47">
        <v>330</v>
      </c>
      <c r="F35" s="47">
        <v>352</v>
      </c>
      <c r="G35" s="47">
        <v>409.03500000000008</v>
      </c>
      <c r="H35" s="47">
        <v>427.35</v>
      </c>
      <c r="I35" s="47">
        <v>586.08000000000004</v>
      </c>
      <c r="J35" s="47">
        <v>610.5</v>
      </c>
    </row>
    <row r="36" spans="1:10" hidden="1" x14ac:dyDescent="0.25">
      <c r="A36" s="46" t="s">
        <v>37</v>
      </c>
      <c r="B36" s="46" t="s">
        <v>360</v>
      </c>
      <c r="C36" s="47">
        <v>231.99000000000004</v>
      </c>
      <c r="D36" s="47">
        <v>265.46300000000002</v>
      </c>
      <c r="E36" s="47">
        <v>329.08700000000005</v>
      </c>
      <c r="F36" s="47">
        <v>351.08700000000005</v>
      </c>
      <c r="G36" s="47">
        <v>409.03500000000008</v>
      </c>
      <c r="H36" s="47">
        <v>427.35</v>
      </c>
      <c r="I36" s="47">
        <v>586.08000000000004</v>
      </c>
      <c r="J36" s="47">
        <v>610.5</v>
      </c>
    </row>
    <row r="37" spans="1:10" hidden="1" x14ac:dyDescent="0.25">
      <c r="A37" s="46" t="s">
        <v>37</v>
      </c>
      <c r="B37" s="46" t="s">
        <v>369</v>
      </c>
      <c r="C37" s="47">
        <v>390.72</v>
      </c>
      <c r="D37" s="47">
        <v>427.09700000000004</v>
      </c>
      <c r="E37" s="47">
        <v>533.86300000000006</v>
      </c>
      <c r="F37" s="47">
        <v>537.24</v>
      </c>
      <c r="G37" s="47">
        <v>622.71</v>
      </c>
      <c r="H37" s="47">
        <v>647.13</v>
      </c>
      <c r="I37" s="47">
        <v>769.23</v>
      </c>
      <c r="J37" s="47">
        <v>781.44</v>
      </c>
    </row>
    <row r="38" spans="1:10" hidden="1" x14ac:dyDescent="0.25">
      <c r="A38" s="46" t="s">
        <v>37</v>
      </c>
      <c r="B38" s="46" t="s">
        <v>387</v>
      </c>
      <c r="C38" s="47">
        <v>115.99500000000002</v>
      </c>
      <c r="D38" s="47">
        <v>128.20500000000001</v>
      </c>
      <c r="E38" s="47">
        <v>170.94000000000003</v>
      </c>
      <c r="F38" s="47">
        <v>183.15</v>
      </c>
      <c r="G38" s="47">
        <v>238.095</v>
      </c>
      <c r="H38" s="47">
        <v>256.41000000000003</v>
      </c>
      <c r="I38" s="47">
        <v>317.46000000000004</v>
      </c>
      <c r="J38" s="47">
        <v>329.67</v>
      </c>
    </row>
    <row r="39" spans="1:10" hidden="1" x14ac:dyDescent="0.25">
      <c r="A39" s="46" t="s">
        <v>37</v>
      </c>
      <c r="B39" s="46" t="s">
        <v>405</v>
      </c>
      <c r="C39" s="47">
        <v>79.365000000000009</v>
      </c>
      <c r="D39" s="47">
        <v>85.470000000000013</v>
      </c>
      <c r="E39" s="47">
        <v>103.785</v>
      </c>
      <c r="F39" s="47">
        <v>109.89000000000001</v>
      </c>
      <c r="G39" s="47">
        <v>146.52000000000001</v>
      </c>
      <c r="H39" s="47">
        <v>160.16</v>
      </c>
      <c r="I39" s="47">
        <v>197.12</v>
      </c>
      <c r="J39" s="47">
        <v>184.8</v>
      </c>
    </row>
    <row r="40" spans="1:10" hidden="1" x14ac:dyDescent="0.25">
      <c r="A40" s="46" t="s">
        <v>37</v>
      </c>
      <c r="B40" s="46" t="s">
        <v>432</v>
      </c>
      <c r="C40" s="47">
        <v>113.74000000000001</v>
      </c>
      <c r="D40" s="47">
        <v>115.99500000000002</v>
      </c>
      <c r="E40" s="47">
        <v>146.52000000000001</v>
      </c>
      <c r="F40" s="47">
        <v>170.94000000000003</v>
      </c>
      <c r="G40" s="47">
        <v>244.20000000000002</v>
      </c>
      <c r="H40" s="47">
        <v>256.41000000000003</v>
      </c>
      <c r="I40" s="47">
        <v>311.35500000000002</v>
      </c>
      <c r="J40" s="47">
        <v>329.67</v>
      </c>
    </row>
    <row r="41" spans="1:10" hidden="1" x14ac:dyDescent="0.25">
      <c r="A41" s="46" t="s">
        <v>37</v>
      </c>
      <c r="B41" s="46" t="s">
        <v>441</v>
      </c>
      <c r="C41" s="47">
        <v>191.69700000000003</v>
      </c>
      <c r="D41" s="47">
        <v>195.36</v>
      </c>
      <c r="E41" s="47">
        <v>256.41000000000003</v>
      </c>
      <c r="F41" s="47">
        <v>268.62</v>
      </c>
      <c r="G41" s="47">
        <v>317.46000000000004</v>
      </c>
      <c r="H41" s="47">
        <v>329.67</v>
      </c>
      <c r="I41" s="47">
        <v>439.56000000000006</v>
      </c>
      <c r="J41" s="47">
        <v>451.77000000000004</v>
      </c>
    </row>
    <row r="42" spans="1:10" hidden="1" x14ac:dyDescent="0.25">
      <c r="A42" s="46" t="s">
        <v>37</v>
      </c>
      <c r="B42" s="46" t="s">
        <v>450</v>
      </c>
      <c r="C42" s="47">
        <v>212.22300000000001</v>
      </c>
      <c r="D42" s="47">
        <v>223.22300000000001</v>
      </c>
      <c r="E42" s="47">
        <v>240.53700000000001</v>
      </c>
      <c r="F42" s="47">
        <v>257.03700000000003</v>
      </c>
      <c r="G42" s="47">
        <v>273.53700000000003</v>
      </c>
      <c r="H42" s="47">
        <v>301.83999999999997</v>
      </c>
      <c r="I42" s="47">
        <v>529.7600000000001</v>
      </c>
      <c r="J42" s="47">
        <v>554.40000000000009</v>
      </c>
    </row>
    <row r="43" spans="1:10" hidden="1" x14ac:dyDescent="0.25">
      <c r="A43" s="46" t="s">
        <v>37</v>
      </c>
      <c r="B43" s="46" t="s">
        <v>468</v>
      </c>
      <c r="C43" s="47">
        <v>256.41000000000003</v>
      </c>
      <c r="D43" s="47">
        <v>262.51500000000004</v>
      </c>
      <c r="E43" s="47">
        <v>415.14</v>
      </c>
      <c r="F43" s="47">
        <v>317.46000000000004</v>
      </c>
      <c r="G43" s="47">
        <v>402.93000000000006</v>
      </c>
      <c r="H43" s="47">
        <v>427.35</v>
      </c>
      <c r="I43" s="47">
        <v>561.66000000000008</v>
      </c>
      <c r="J43" s="47">
        <v>586.08000000000004</v>
      </c>
    </row>
    <row r="44" spans="1:10" hidden="1" x14ac:dyDescent="0.25">
      <c r="A44" s="46" t="s">
        <v>37</v>
      </c>
      <c r="B44" s="46" t="s">
        <v>522</v>
      </c>
      <c r="C44" s="47">
        <v>124.81700000000001</v>
      </c>
      <c r="D44" s="47">
        <v>141.68000000000004</v>
      </c>
      <c r="E44" s="47">
        <v>184.8</v>
      </c>
      <c r="F44" s="47">
        <v>197.12</v>
      </c>
      <c r="G44" s="47">
        <v>246.40000000000003</v>
      </c>
      <c r="H44" s="47">
        <v>283.36000000000007</v>
      </c>
      <c r="I44" s="47">
        <v>320.32</v>
      </c>
      <c r="J44" s="47">
        <v>344.96000000000004</v>
      </c>
    </row>
    <row r="45" spans="1:10" hidden="1" x14ac:dyDescent="0.25">
      <c r="A45" s="46" t="s">
        <v>37</v>
      </c>
      <c r="B45" s="46" t="s">
        <v>540</v>
      </c>
      <c r="C45" s="47">
        <v>170.94000000000003</v>
      </c>
      <c r="D45" s="47">
        <v>189.25500000000002</v>
      </c>
      <c r="E45" s="47">
        <v>262.51500000000004</v>
      </c>
      <c r="F45" s="47">
        <v>280.83000000000004</v>
      </c>
      <c r="G45" s="47">
        <v>335.77500000000003</v>
      </c>
      <c r="H45" s="47">
        <v>354.09000000000003</v>
      </c>
      <c r="I45" s="47">
        <v>427.35</v>
      </c>
      <c r="J45" s="47">
        <v>439.56000000000006</v>
      </c>
    </row>
    <row r="46" spans="1:10" hidden="1" x14ac:dyDescent="0.25">
      <c r="A46" s="46" t="s">
        <v>37</v>
      </c>
      <c r="B46" s="46" t="s">
        <v>594</v>
      </c>
      <c r="C46" s="47">
        <v>433.45500000000004</v>
      </c>
      <c r="D46" s="47">
        <v>467.13700000000006</v>
      </c>
      <c r="E46" s="47">
        <v>597.66300000000012</v>
      </c>
      <c r="F46" s="47">
        <v>608.66300000000012</v>
      </c>
      <c r="G46" s="47">
        <v>665.44500000000005</v>
      </c>
      <c r="H46" s="47">
        <v>689.86500000000001</v>
      </c>
      <c r="I46" s="47">
        <v>811.96500000000003</v>
      </c>
      <c r="J46" s="47">
        <v>830.28</v>
      </c>
    </row>
    <row r="47" spans="1:10" hidden="1" x14ac:dyDescent="0.25">
      <c r="A47" s="46" t="s">
        <v>37</v>
      </c>
      <c r="B47" s="46" t="s">
        <v>603</v>
      </c>
      <c r="C47" s="47">
        <v>164.83500000000001</v>
      </c>
      <c r="D47" s="47">
        <v>172.161</v>
      </c>
      <c r="E47" s="47">
        <v>231.99000000000004</v>
      </c>
      <c r="F47" s="47">
        <v>244.20000000000002</v>
      </c>
      <c r="G47" s="47">
        <v>299.14500000000004</v>
      </c>
      <c r="H47" s="47">
        <v>317.46000000000004</v>
      </c>
      <c r="I47" s="47">
        <v>409.03500000000008</v>
      </c>
      <c r="J47" s="47">
        <v>427.35</v>
      </c>
    </row>
    <row r="48" spans="1:10" hidden="1" x14ac:dyDescent="0.25">
      <c r="A48" s="46" t="s">
        <v>37</v>
      </c>
      <c r="B48" s="46" t="s">
        <v>630</v>
      </c>
      <c r="C48" s="47">
        <v>183.15</v>
      </c>
      <c r="D48" s="47">
        <v>201.46500000000003</v>
      </c>
      <c r="E48" s="47">
        <v>244.20000000000002</v>
      </c>
      <c r="F48" s="47">
        <v>256.41000000000003</v>
      </c>
      <c r="G48" s="47">
        <v>317.46000000000004</v>
      </c>
      <c r="H48" s="47">
        <v>341.88000000000005</v>
      </c>
      <c r="I48" s="47">
        <v>427.35</v>
      </c>
      <c r="J48" s="47">
        <v>457.87500000000006</v>
      </c>
    </row>
    <row r="49" spans="1:10" hidden="1" x14ac:dyDescent="0.25">
      <c r="A49" s="46" t="s">
        <v>37</v>
      </c>
      <c r="B49" s="46" t="s">
        <v>639</v>
      </c>
      <c r="C49" s="47">
        <v>207.57</v>
      </c>
      <c r="D49" s="47">
        <v>223.96</v>
      </c>
      <c r="E49" s="47">
        <v>241.45000000000002</v>
      </c>
      <c r="F49" s="47">
        <v>257.95000000000005</v>
      </c>
      <c r="G49" s="47">
        <v>274.45000000000005</v>
      </c>
      <c r="H49" s="47">
        <v>302.94</v>
      </c>
      <c r="I49" s="47">
        <v>529.7600000000001</v>
      </c>
      <c r="J49" s="47">
        <v>554.40000000000009</v>
      </c>
    </row>
    <row r="50" spans="1:10" hidden="1" x14ac:dyDescent="0.25">
      <c r="A50" s="46" t="s">
        <v>37</v>
      </c>
      <c r="B50" s="46" t="s">
        <v>648</v>
      </c>
      <c r="C50" s="47">
        <v>261.65700000000004</v>
      </c>
      <c r="D50" s="47">
        <v>272.65700000000004</v>
      </c>
      <c r="E50" s="47">
        <v>335.31299999999999</v>
      </c>
      <c r="F50" s="47">
        <v>351.81299999999999</v>
      </c>
      <c r="G50" s="47">
        <v>409.03500000000008</v>
      </c>
      <c r="H50" s="47">
        <v>427.35</v>
      </c>
      <c r="I50" s="47">
        <v>488.40000000000003</v>
      </c>
      <c r="J50" s="47">
        <v>512.82000000000005</v>
      </c>
    </row>
    <row r="51" spans="1:10" hidden="1" x14ac:dyDescent="0.25">
      <c r="A51" s="46" t="s">
        <v>37</v>
      </c>
      <c r="B51" s="46" t="s">
        <v>657</v>
      </c>
      <c r="C51" s="47">
        <v>201.46500000000003</v>
      </c>
      <c r="D51" s="47">
        <v>213.67500000000001</v>
      </c>
      <c r="E51" s="47">
        <v>268.62</v>
      </c>
      <c r="F51" s="47">
        <v>274.72500000000002</v>
      </c>
      <c r="G51" s="47">
        <v>335.77500000000003</v>
      </c>
      <c r="H51" s="47">
        <v>354.09000000000003</v>
      </c>
      <c r="I51" s="47">
        <v>476.19</v>
      </c>
      <c r="J51" s="47">
        <v>488.40000000000003</v>
      </c>
    </row>
    <row r="52" spans="1:10" hidden="1" x14ac:dyDescent="0.25">
      <c r="A52" s="46" t="s">
        <v>37</v>
      </c>
      <c r="B52" s="46" t="s">
        <v>675</v>
      </c>
      <c r="C52" s="47">
        <v>122.10000000000001</v>
      </c>
      <c r="D52" s="47">
        <v>134.31</v>
      </c>
      <c r="E52" s="47">
        <v>184.8</v>
      </c>
      <c r="F52" s="47">
        <v>195.36</v>
      </c>
      <c r="G52" s="47">
        <v>234.08000000000004</v>
      </c>
      <c r="H52" s="47">
        <v>246.40000000000003</v>
      </c>
      <c r="I52" s="47">
        <v>320.32</v>
      </c>
      <c r="J52" s="47">
        <v>332.64</v>
      </c>
    </row>
    <row r="53" spans="1:10" hidden="1" x14ac:dyDescent="0.25">
      <c r="A53" s="46" t="s">
        <v>37</v>
      </c>
      <c r="B53" s="46" t="s">
        <v>684</v>
      </c>
      <c r="C53" s="47">
        <v>207.57</v>
      </c>
      <c r="D53" s="47">
        <v>231.99000000000004</v>
      </c>
      <c r="E53" s="47">
        <v>256.41000000000003</v>
      </c>
      <c r="F53" s="47">
        <v>280.83000000000004</v>
      </c>
      <c r="G53" s="47">
        <v>341.88000000000005</v>
      </c>
      <c r="H53" s="47">
        <v>378.51000000000005</v>
      </c>
      <c r="I53" s="47">
        <v>549.45000000000005</v>
      </c>
      <c r="J53" s="47">
        <v>573.87000000000012</v>
      </c>
    </row>
    <row r="54" spans="1:10" hidden="1" x14ac:dyDescent="0.25">
      <c r="A54" s="46" t="s">
        <v>37</v>
      </c>
      <c r="B54" s="46" t="s">
        <v>702</v>
      </c>
      <c r="C54" s="47">
        <v>207.57</v>
      </c>
      <c r="D54" s="47">
        <v>241.12</v>
      </c>
      <c r="E54" s="47">
        <v>271.15000000000003</v>
      </c>
      <c r="F54" s="47">
        <v>282.15000000000003</v>
      </c>
      <c r="G54" s="47">
        <v>348.15000000000003</v>
      </c>
      <c r="H54" s="47">
        <v>389.18000000000006</v>
      </c>
      <c r="I54" s="47">
        <v>554.40000000000009</v>
      </c>
      <c r="J54" s="47">
        <v>579.04000000000008</v>
      </c>
    </row>
    <row r="55" spans="1:10" hidden="1" x14ac:dyDescent="0.25">
      <c r="A55" s="46" t="s">
        <v>37</v>
      </c>
      <c r="B55" s="46" t="s">
        <v>729</v>
      </c>
      <c r="C55" s="47">
        <v>166.54000000000002</v>
      </c>
      <c r="D55" s="47">
        <v>177.54000000000002</v>
      </c>
      <c r="E55" s="47">
        <v>234.08000000000004</v>
      </c>
      <c r="F55" s="47">
        <v>246.40000000000003</v>
      </c>
      <c r="G55" s="47">
        <v>314.16000000000003</v>
      </c>
      <c r="H55" s="47">
        <v>332.64</v>
      </c>
      <c r="I55" s="47">
        <v>449.68000000000006</v>
      </c>
      <c r="J55" s="47">
        <v>468.16000000000008</v>
      </c>
    </row>
    <row r="56" spans="1:10" hidden="1" x14ac:dyDescent="0.25">
      <c r="A56" s="46" t="s">
        <v>37</v>
      </c>
      <c r="B56" s="46" t="s">
        <v>738</v>
      </c>
      <c r="C56" s="47">
        <v>159.28000000000003</v>
      </c>
      <c r="D56" s="47">
        <v>164.78000000000003</v>
      </c>
      <c r="E56" s="47">
        <v>234.08000000000004</v>
      </c>
      <c r="F56" s="47">
        <v>256.41000000000003</v>
      </c>
      <c r="G56" s="47">
        <v>314.16000000000003</v>
      </c>
      <c r="H56" s="47">
        <v>332.64</v>
      </c>
      <c r="I56" s="47">
        <v>412.72</v>
      </c>
      <c r="J56" s="47">
        <v>431.20000000000005</v>
      </c>
    </row>
    <row r="57" spans="1:10" hidden="1" x14ac:dyDescent="0.25">
      <c r="A57" s="46" t="s">
        <v>37</v>
      </c>
      <c r="B57" s="46" t="s">
        <v>747</v>
      </c>
      <c r="C57" s="47">
        <v>200.49700000000001</v>
      </c>
      <c r="D57" s="47">
        <v>207.57</v>
      </c>
      <c r="E57" s="47">
        <v>268.62</v>
      </c>
      <c r="F57" s="47">
        <v>280.83000000000004</v>
      </c>
      <c r="G57" s="47">
        <v>323.565</v>
      </c>
      <c r="H57" s="47">
        <v>341.88000000000005</v>
      </c>
      <c r="I57" s="47">
        <v>439.56000000000006</v>
      </c>
      <c r="J57" s="47">
        <v>463.98000000000008</v>
      </c>
    </row>
    <row r="58" spans="1:10" hidden="1" x14ac:dyDescent="0.25">
      <c r="A58" s="46" t="s">
        <v>37</v>
      </c>
      <c r="B58" s="46" t="s">
        <v>756</v>
      </c>
      <c r="C58" s="47">
        <v>280.83000000000004</v>
      </c>
      <c r="D58" s="47">
        <v>299.14500000000004</v>
      </c>
      <c r="E58" s="47">
        <v>445.66500000000002</v>
      </c>
      <c r="F58" s="47">
        <v>482.29500000000002</v>
      </c>
      <c r="G58" s="47">
        <v>537.24</v>
      </c>
      <c r="H58" s="47">
        <v>549.45000000000005</v>
      </c>
      <c r="I58" s="47">
        <v>604.3950000000001</v>
      </c>
      <c r="J58" s="47">
        <v>628.81500000000005</v>
      </c>
    </row>
    <row r="59" spans="1:10" hidden="1" x14ac:dyDescent="0.25">
      <c r="A59" s="46" t="s">
        <v>37</v>
      </c>
      <c r="B59" s="46" t="s">
        <v>765</v>
      </c>
      <c r="C59" s="47" t="e">
        <v>#VALUE!</v>
      </c>
      <c r="D59" s="47" t="e">
        <v>#VALUE!</v>
      </c>
      <c r="E59" s="47" t="e">
        <v>#VALUE!</v>
      </c>
      <c r="F59" s="47" t="e">
        <v>#VALUE!</v>
      </c>
      <c r="G59" s="47" t="e">
        <v>#VALUE!</v>
      </c>
      <c r="H59" s="47" t="e">
        <v>#VALUE!</v>
      </c>
      <c r="I59" s="47" t="e">
        <v>#VALUE!</v>
      </c>
      <c r="J59" s="47" t="e">
        <v>#VALUE!</v>
      </c>
    </row>
    <row r="60" spans="1:10" hidden="1" x14ac:dyDescent="0.25">
      <c r="A60" s="46" t="s">
        <v>37</v>
      </c>
      <c r="B60" s="46" t="s">
        <v>783</v>
      </c>
      <c r="C60" s="47">
        <v>190.476</v>
      </c>
      <c r="D60" s="47">
        <v>207.57</v>
      </c>
      <c r="E60" s="47">
        <v>268.62</v>
      </c>
      <c r="F60" s="47">
        <v>280.83000000000004</v>
      </c>
      <c r="G60" s="47">
        <v>323.565</v>
      </c>
      <c r="H60" s="47">
        <v>341.88000000000005</v>
      </c>
      <c r="I60" s="47">
        <v>439.56000000000006</v>
      </c>
      <c r="J60" s="47">
        <v>463.98000000000008</v>
      </c>
    </row>
    <row r="61" spans="1:10" hidden="1" x14ac:dyDescent="0.25">
      <c r="A61" s="46" t="s">
        <v>37</v>
      </c>
      <c r="B61" s="46" t="s">
        <v>792</v>
      </c>
      <c r="C61" s="47">
        <v>286.93500000000006</v>
      </c>
      <c r="D61" s="47">
        <v>325.08299999999997</v>
      </c>
      <c r="E61" s="47">
        <v>482.29500000000002</v>
      </c>
      <c r="F61" s="47">
        <v>500.61000000000007</v>
      </c>
      <c r="G61" s="47">
        <v>567.76499999999999</v>
      </c>
      <c r="H61" s="47">
        <v>592.18500000000006</v>
      </c>
      <c r="I61" s="47">
        <v>647.13</v>
      </c>
      <c r="J61" s="47">
        <v>677.65499999999997</v>
      </c>
    </row>
    <row r="62" spans="1:10" x14ac:dyDescent="0.25">
      <c r="A62" s="46" t="s">
        <v>37</v>
      </c>
      <c r="B62" s="46" t="s">
        <v>819</v>
      </c>
      <c r="C62" s="47">
        <v>214.577</v>
      </c>
      <c r="D62" s="47">
        <v>236.577</v>
      </c>
      <c r="E62" s="47">
        <v>265.46300000000002</v>
      </c>
      <c r="F62" s="47">
        <v>287.46300000000002</v>
      </c>
      <c r="G62" s="47">
        <v>344.96000000000004</v>
      </c>
      <c r="H62" s="47">
        <v>382.36000000000007</v>
      </c>
      <c r="I62" s="47">
        <v>554.40000000000009</v>
      </c>
      <c r="J62" s="47">
        <v>579.04000000000008</v>
      </c>
    </row>
    <row r="63" spans="1:10" hidden="1" x14ac:dyDescent="0.25">
      <c r="A63" s="46" t="s">
        <v>37</v>
      </c>
      <c r="B63" s="46" t="s">
        <v>828</v>
      </c>
      <c r="C63" s="47">
        <v>152.625</v>
      </c>
      <c r="D63" s="47">
        <v>158.73000000000002</v>
      </c>
      <c r="E63" s="47">
        <v>244.20000000000002</v>
      </c>
      <c r="F63" s="47">
        <v>256.41000000000003</v>
      </c>
      <c r="G63" s="47">
        <v>293.04000000000002</v>
      </c>
      <c r="H63" s="47">
        <v>305.25</v>
      </c>
      <c r="I63" s="47">
        <v>366.3</v>
      </c>
      <c r="J63" s="47">
        <v>378.51000000000005</v>
      </c>
    </row>
    <row r="64" spans="1:10" hidden="1" x14ac:dyDescent="0.25">
      <c r="A64" s="46" t="s">
        <v>37</v>
      </c>
      <c r="B64" s="46" t="s">
        <v>846</v>
      </c>
      <c r="C64" s="47">
        <v>103.785</v>
      </c>
      <c r="D64" s="47">
        <v>109.89000000000001</v>
      </c>
      <c r="E64" s="47">
        <v>123.20000000000002</v>
      </c>
      <c r="F64" s="47">
        <v>135.52000000000001</v>
      </c>
      <c r="G64" s="47">
        <v>170.94000000000003</v>
      </c>
      <c r="H64" s="47">
        <v>197.12</v>
      </c>
      <c r="I64" s="47">
        <v>258.72000000000003</v>
      </c>
      <c r="J64" s="47">
        <v>283.36000000000007</v>
      </c>
    </row>
    <row r="65" spans="1:10" hidden="1" x14ac:dyDescent="0.25">
      <c r="A65" s="46" t="s">
        <v>37</v>
      </c>
      <c r="B65" s="46" t="s">
        <v>855</v>
      </c>
      <c r="C65" s="47">
        <v>186.85700000000003</v>
      </c>
      <c r="D65" s="47">
        <v>208.85700000000003</v>
      </c>
      <c r="E65" s="47">
        <v>247.31300000000005</v>
      </c>
      <c r="F65" s="47">
        <v>258.31300000000005</v>
      </c>
      <c r="G65" s="47">
        <v>280.83000000000004</v>
      </c>
      <c r="H65" s="47">
        <v>308</v>
      </c>
      <c r="I65" s="47">
        <v>463.98000000000008</v>
      </c>
      <c r="J65" s="47">
        <v>488.40000000000003</v>
      </c>
    </row>
    <row r="66" spans="1:10" hidden="1" x14ac:dyDescent="0.25">
      <c r="A66" s="46" t="s">
        <v>37</v>
      </c>
      <c r="B66" s="46" t="s">
        <v>864</v>
      </c>
      <c r="C66" s="47">
        <v>173.36</v>
      </c>
      <c r="D66" s="47">
        <v>195.36</v>
      </c>
      <c r="E66" s="47">
        <v>205.70000000000002</v>
      </c>
      <c r="F66" s="47">
        <v>211.20000000000002</v>
      </c>
      <c r="G66" s="47">
        <v>268.62</v>
      </c>
      <c r="H66" s="47">
        <v>293.04000000000002</v>
      </c>
      <c r="I66" s="47">
        <v>451.77000000000004</v>
      </c>
      <c r="J66" s="47">
        <v>451.77000000000004</v>
      </c>
    </row>
    <row r="67" spans="1:10" hidden="1" x14ac:dyDescent="0.25">
      <c r="A67" s="46" t="s">
        <v>37</v>
      </c>
      <c r="B67" s="46" t="s">
        <v>882</v>
      </c>
      <c r="C67" s="47">
        <v>354.09000000000003</v>
      </c>
      <c r="D67" s="47">
        <v>370.04</v>
      </c>
      <c r="E67" s="47">
        <v>457.05</v>
      </c>
      <c r="F67" s="47">
        <v>470.08500000000004</v>
      </c>
      <c r="G67" s="47">
        <v>537.24</v>
      </c>
      <c r="H67" s="47">
        <v>561.66000000000008</v>
      </c>
      <c r="I67" s="47">
        <v>616.60500000000002</v>
      </c>
      <c r="J67" s="47">
        <v>647.13</v>
      </c>
    </row>
    <row r="68" spans="1:10" hidden="1" x14ac:dyDescent="0.25">
      <c r="A68" s="46" t="s">
        <v>37</v>
      </c>
      <c r="B68" s="46" t="s">
        <v>909</v>
      </c>
      <c r="C68" s="47">
        <v>97.68</v>
      </c>
      <c r="D68" s="47">
        <v>109.89000000000001</v>
      </c>
      <c r="E68" s="47">
        <v>122.10000000000001</v>
      </c>
      <c r="F68" s="47">
        <v>134.31</v>
      </c>
      <c r="G68" s="47">
        <v>158.73000000000002</v>
      </c>
      <c r="H68" s="47">
        <v>195.36</v>
      </c>
      <c r="I68" s="47">
        <v>231.99000000000004</v>
      </c>
      <c r="J68" s="47">
        <v>256.41000000000003</v>
      </c>
    </row>
    <row r="69" spans="1:10" hidden="1" x14ac:dyDescent="0.25">
      <c r="A69" s="46" t="s">
        <v>333</v>
      </c>
      <c r="B69" s="46" t="s">
        <v>46</v>
      </c>
      <c r="C69" s="47">
        <v>329.67</v>
      </c>
      <c r="D69" s="47">
        <v>341.88000000000005</v>
      </c>
      <c r="E69" s="47">
        <v>415.14</v>
      </c>
      <c r="F69" s="47">
        <v>439.56000000000006</v>
      </c>
      <c r="G69" s="47">
        <v>506.71500000000003</v>
      </c>
      <c r="H69" s="47">
        <v>525.03000000000009</v>
      </c>
      <c r="I69" s="47">
        <v>622.71</v>
      </c>
      <c r="J69" s="47">
        <v>647.13</v>
      </c>
    </row>
    <row r="70" spans="1:10" hidden="1" x14ac:dyDescent="0.25">
      <c r="A70" s="46" t="s">
        <v>333</v>
      </c>
      <c r="B70" s="46" t="s">
        <v>82</v>
      </c>
      <c r="C70" s="47">
        <v>158.73000000000002</v>
      </c>
      <c r="D70" s="47">
        <v>164.83500000000001</v>
      </c>
      <c r="E70" s="47">
        <v>207.57</v>
      </c>
      <c r="F70" s="47">
        <v>219.78000000000003</v>
      </c>
      <c r="G70" s="47">
        <v>244.20000000000002</v>
      </c>
      <c r="H70" s="47">
        <v>305.25</v>
      </c>
      <c r="I70" s="47">
        <v>366.3</v>
      </c>
      <c r="J70" s="47">
        <v>366.3</v>
      </c>
    </row>
    <row r="71" spans="1:10" hidden="1" x14ac:dyDescent="0.25">
      <c r="A71" s="46" t="s">
        <v>333</v>
      </c>
      <c r="B71" s="46" t="s">
        <v>100</v>
      </c>
      <c r="C71" s="47">
        <v>323.565</v>
      </c>
      <c r="D71" s="47">
        <v>335.77500000000003</v>
      </c>
      <c r="E71" s="47">
        <v>445.66500000000002</v>
      </c>
      <c r="F71" s="47">
        <v>457.87500000000006</v>
      </c>
      <c r="G71" s="47">
        <v>494.50500000000005</v>
      </c>
      <c r="H71" s="47">
        <v>512.82000000000005</v>
      </c>
      <c r="I71" s="47">
        <v>659.34</v>
      </c>
      <c r="J71" s="47">
        <v>665.44500000000005</v>
      </c>
    </row>
    <row r="72" spans="1:10" hidden="1" x14ac:dyDescent="0.25">
      <c r="A72" s="46" t="s">
        <v>333</v>
      </c>
      <c r="B72" s="46" t="s">
        <v>109</v>
      </c>
      <c r="C72" s="47">
        <v>207.57</v>
      </c>
      <c r="D72" s="47">
        <v>219.78000000000003</v>
      </c>
      <c r="E72" s="47">
        <v>256.41000000000003</v>
      </c>
      <c r="F72" s="47">
        <v>274.72500000000002</v>
      </c>
      <c r="G72" s="47">
        <v>305.25</v>
      </c>
      <c r="H72" s="47">
        <v>323.565</v>
      </c>
      <c r="I72" s="47">
        <v>488.40000000000003</v>
      </c>
      <c r="J72" s="47">
        <v>500.61000000000007</v>
      </c>
    </row>
    <row r="73" spans="1:10" hidden="1" x14ac:dyDescent="0.25">
      <c r="A73" s="46" t="s">
        <v>333</v>
      </c>
      <c r="B73" s="46" t="s">
        <v>118</v>
      </c>
      <c r="C73" s="47">
        <v>256.41000000000003</v>
      </c>
      <c r="D73" s="47">
        <v>268.62</v>
      </c>
      <c r="E73" s="47">
        <v>320.32</v>
      </c>
      <c r="F73" s="47">
        <v>332.64</v>
      </c>
      <c r="G73" s="47">
        <v>396.82500000000005</v>
      </c>
      <c r="H73" s="47">
        <v>415.14</v>
      </c>
      <c r="I73" s="47">
        <v>498.96000000000009</v>
      </c>
      <c r="J73" s="47">
        <v>512.82000000000005</v>
      </c>
    </row>
    <row r="74" spans="1:10" hidden="1" x14ac:dyDescent="0.25">
      <c r="A74" s="46" t="s">
        <v>333</v>
      </c>
      <c r="B74" s="46" t="s">
        <v>127</v>
      </c>
      <c r="C74" s="47">
        <v>268.62</v>
      </c>
      <c r="D74" s="47">
        <v>280.83000000000004</v>
      </c>
      <c r="E74" s="47">
        <v>317.46000000000004</v>
      </c>
      <c r="F74" s="47">
        <v>335.77500000000003</v>
      </c>
      <c r="G74" s="47">
        <v>366.3</v>
      </c>
      <c r="H74" s="47">
        <v>378.51000000000005</v>
      </c>
      <c r="I74" s="47">
        <v>598.29000000000008</v>
      </c>
      <c r="J74" s="47">
        <v>616.60500000000002</v>
      </c>
    </row>
    <row r="75" spans="1:10" hidden="1" x14ac:dyDescent="0.25">
      <c r="A75" s="46" t="s">
        <v>333</v>
      </c>
      <c r="B75" s="46" t="s">
        <v>136</v>
      </c>
      <c r="C75" s="47">
        <v>195.36</v>
      </c>
      <c r="D75" s="47">
        <v>207.57</v>
      </c>
      <c r="E75" s="47">
        <v>256.41000000000003</v>
      </c>
      <c r="F75" s="47">
        <v>268.62</v>
      </c>
      <c r="G75" s="47">
        <v>305.25</v>
      </c>
      <c r="H75" s="47">
        <v>323.565</v>
      </c>
      <c r="I75" s="47">
        <v>488.40000000000003</v>
      </c>
      <c r="J75" s="47">
        <v>518.92500000000007</v>
      </c>
    </row>
    <row r="76" spans="1:10" hidden="1" x14ac:dyDescent="0.25">
      <c r="A76" s="46" t="s">
        <v>333</v>
      </c>
      <c r="B76" s="46" t="s">
        <v>190</v>
      </c>
      <c r="C76" s="47">
        <v>183.15</v>
      </c>
      <c r="D76" s="47">
        <v>189.25500000000002</v>
      </c>
      <c r="E76" s="47">
        <v>207.57</v>
      </c>
      <c r="F76" s="47">
        <v>219.78000000000003</v>
      </c>
      <c r="G76" s="47">
        <v>244.20000000000002</v>
      </c>
      <c r="H76" s="47">
        <v>305.25</v>
      </c>
      <c r="I76" s="47">
        <v>369.6</v>
      </c>
      <c r="J76" s="47">
        <v>406.56000000000006</v>
      </c>
    </row>
    <row r="77" spans="1:10" hidden="1" x14ac:dyDescent="0.25">
      <c r="A77" s="46" t="s">
        <v>333</v>
      </c>
      <c r="B77" s="46" t="s">
        <v>199</v>
      </c>
      <c r="C77" s="47">
        <v>323.565</v>
      </c>
      <c r="D77" s="47">
        <v>335.77500000000003</v>
      </c>
      <c r="E77" s="47">
        <v>360.19499999999999</v>
      </c>
      <c r="F77" s="47">
        <v>396.82500000000005</v>
      </c>
      <c r="G77" s="47">
        <v>457.87500000000006</v>
      </c>
      <c r="H77" s="47">
        <v>488.40000000000003</v>
      </c>
      <c r="I77" s="47">
        <v>586.08000000000004</v>
      </c>
      <c r="J77" s="47">
        <v>671.55000000000007</v>
      </c>
    </row>
    <row r="78" spans="1:10" hidden="1" x14ac:dyDescent="0.25">
      <c r="A78" s="46" t="s">
        <v>333</v>
      </c>
      <c r="B78" s="46" t="s">
        <v>208</v>
      </c>
      <c r="C78" s="47">
        <v>97.68</v>
      </c>
      <c r="D78" s="47">
        <v>109.89000000000001</v>
      </c>
      <c r="E78" s="47">
        <v>115.99500000000002</v>
      </c>
      <c r="F78" s="47">
        <v>122.10000000000001</v>
      </c>
      <c r="G78" s="47">
        <v>158.73000000000002</v>
      </c>
      <c r="H78" s="47">
        <v>183.15</v>
      </c>
      <c r="I78" s="47">
        <v>244.20000000000002</v>
      </c>
      <c r="J78" s="47">
        <v>271.04000000000002</v>
      </c>
    </row>
    <row r="79" spans="1:10" hidden="1" x14ac:dyDescent="0.25">
      <c r="A79" s="46" t="s">
        <v>333</v>
      </c>
      <c r="B79" s="46" t="s">
        <v>217</v>
      </c>
      <c r="C79" s="47">
        <v>183.15</v>
      </c>
      <c r="D79" s="47">
        <v>195.36</v>
      </c>
      <c r="E79" s="47">
        <v>240.53700000000001</v>
      </c>
      <c r="F79" s="47">
        <v>256.41000000000003</v>
      </c>
      <c r="G79" s="47">
        <v>311.35500000000002</v>
      </c>
      <c r="H79" s="47">
        <v>329.67</v>
      </c>
      <c r="I79" s="47">
        <v>409.03500000000008</v>
      </c>
      <c r="J79" s="47">
        <v>427.35</v>
      </c>
    </row>
    <row r="80" spans="1:10" hidden="1" x14ac:dyDescent="0.25">
      <c r="A80" s="46" t="s">
        <v>333</v>
      </c>
      <c r="B80" s="46" t="s">
        <v>235</v>
      </c>
      <c r="C80" s="47">
        <v>537.24</v>
      </c>
      <c r="D80" s="47">
        <v>549.45000000000005</v>
      </c>
      <c r="E80" s="47">
        <v>665.44500000000005</v>
      </c>
      <c r="F80" s="47">
        <v>683.7600000000001</v>
      </c>
      <c r="G80" s="47">
        <v>732.6</v>
      </c>
      <c r="H80" s="47">
        <v>744.81000000000006</v>
      </c>
      <c r="I80" s="47">
        <v>891.33</v>
      </c>
      <c r="J80" s="47">
        <v>909.6450000000001</v>
      </c>
    </row>
    <row r="81" spans="1:10" hidden="1" x14ac:dyDescent="0.25">
      <c r="A81" s="46" t="s">
        <v>333</v>
      </c>
      <c r="B81" s="46" t="s">
        <v>244</v>
      </c>
      <c r="C81" s="47">
        <v>158.73000000000002</v>
      </c>
      <c r="D81" s="47">
        <v>170.94000000000003</v>
      </c>
      <c r="E81" s="47">
        <v>195.36</v>
      </c>
      <c r="F81" s="47">
        <v>207.57</v>
      </c>
      <c r="G81" s="47">
        <v>258.72000000000003</v>
      </c>
      <c r="H81" s="47">
        <v>268.62</v>
      </c>
      <c r="I81" s="47">
        <v>338.8</v>
      </c>
      <c r="J81" s="47">
        <v>357.28000000000003</v>
      </c>
    </row>
    <row r="82" spans="1:10" hidden="1" x14ac:dyDescent="0.25">
      <c r="A82" s="46" t="s">
        <v>333</v>
      </c>
      <c r="B82" s="46" t="s">
        <v>253</v>
      </c>
      <c r="C82" s="47">
        <v>109.89000000000001</v>
      </c>
      <c r="D82" s="47">
        <v>122.10000000000001</v>
      </c>
      <c r="E82" s="47">
        <v>134.31</v>
      </c>
      <c r="F82" s="47">
        <v>146.52000000000001</v>
      </c>
      <c r="G82" s="47">
        <v>170.94000000000003</v>
      </c>
      <c r="H82" s="47">
        <v>189.25500000000002</v>
      </c>
      <c r="I82" s="47">
        <v>280.83000000000004</v>
      </c>
      <c r="J82" s="47">
        <v>293.04000000000002</v>
      </c>
    </row>
    <row r="83" spans="1:10" hidden="1" x14ac:dyDescent="0.25">
      <c r="A83" s="46" t="s">
        <v>333</v>
      </c>
      <c r="B83" s="46" t="s">
        <v>37</v>
      </c>
      <c r="C83" s="47">
        <v>134.31</v>
      </c>
      <c r="D83" s="47">
        <v>140.41500000000002</v>
      </c>
      <c r="E83" s="47">
        <v>152.625</v>
      </c>
      <c r="F83" s="47">
        <v>164.83500000000001</v>
      </c>
      <c r="G83" s="47">
        <v>190.96</v>
      </c>
      <c r="H83" s="47">
        <v>209.44000000000003</v>
      </c>
      <c r="I83" s="47">
        <v>258.72000000000003</v>
      </c>
      <c r="J83" s="47">
        <v>258.72000000000003</v>
      </c>
    </row>
    <row r="84" spans="1:10" hidden="1" x14ac:dyDescent="0.25">
      <c r="A84" s="46" t="s">
        <v>333</v>
      </c>
      <c r="B84" s="46" t="s">
        <v>279</v>
      </c>
      <c r="C84" s="47">
        <v>183.15</v>
      </c>
      <c r="D84" s="47">
        <v>189.25500000000002</v>
      </c>
      <c r="E84" s="47">
        <v>207.57</v>
      </c>
      <c r="F84" s="47">
        <v>221.76000000000002</v>
      </c>
      <c r="G84" s="47">
        <v>244.20000000000002</v>
      </c>
      <c r="H84" s="47">
        <v>308</v>
      </c>
      <c r="I84" s="47">
        <v>369.6</v>
      </c>
      <c r="J84" s="47">
        <v>366.3</v>
      </c>
    </row>
    <row r="85" spans="1:10" hidden="1" x14ac:dyDescent="0.25">
      <c r="A85" s="46" t="s">
        <v>333</v>
      </c>
      <c r="B85" s="46" t="s">
        <v>306</v>
      </c>
      <c r="C85" s="47">
        <v>183.15</v>
      </c>
      <c r="D85" s="47">
        <v>189.25500000000002</v>
      </c>
      <c r="E85" s="47">
        <v>207.57</v>
      </c>
      <c r="F85" s="47">
        <v>219.78000000000003</v>
      </c>
      <c r="G85" s="47">
        <v>244.20000000000002</v>
      </c>
      <c r="H85" s="47">
        <v>305.25</v>
      </c>
      <c r="I85" s="47">
        <v>366.3</v>
      </c>
      <c r="J85" s="47">
        <v>402.93000000000006</v>
      </c>
    </row>
    <row r="86" spans="1:10" hidden="1" x14ac:dyDescent="0.25">
      <c r="A86" s="46" t="s">
        <v>333</v>
      </c>
      <c r="B86" s="46" t="s">
        <v>315</v>
      </c>
      <c r="C86" s="47">
        <v>494.50500000000005</v>
      </c>
      <c r="D86" s="47">
        <v>518.92500000000007</v>
      </c>
      <c r="E86" s="47">
        <v>659.34</v>
      </c>
      <c r="F86" s="47">
        <v>683.7600000000001</v>
      </c>
      <c r="G86" s="47">
        <v>781.44</v>
      </c>
      <c r="H86" s="47">
        <v>793.65000000000009</v>
      </c>
      <c r="I86" s="47">
        <v>976.80000000000007</v>
      </c>
      <c r="J86" s="47">
        <v>989.0100000000001</v>
      </c>
    </row>
    <row r="87" spans="1:10" hidden="1" x14ac:dyDescent="0.25">
      <c r="A87" s="46" t="s">
        <v>333</v>
      </c>
      <c r="B87" s="46" t="s">
        <v>333</v>
      </c>
      <c r="C87" s="47">
        <v>85.470000000000013</v>
      </c>
      <c r="D87" s="47">
        <v>91.575000000000003</v>
      </c>
      <c r="E87" s="47">
        <v>110.88000000000001</v>
      </c>
      <c r="F87" s="47">
        <v>122.10000000000001</v>
      </c>
      <c r="G87" s="47">
        <v>158.73000000000002</v>
      </c>
      <c r="H87" s="47">
        <v>170.94000000000003</v>
      </c>
      <c r="I87" s="47">
        <v>227.92000000000002</v>
      </c>
      <c r="J87" s="47">
        <v>246.40000000000003</v>
      </c>
    </row>
    <row r="88" spans="1:10" hidden="1" x14ac:dyDescent="0.25">
      <c r="A88" s="46" t="s">
        <v>333</v>
      </c>
      <c r="B88" s="46" t="s">
        <v>351</v>
      </c>
      <c r="C88" s="47">
        <v>305.25</v>
      </c>
      <c r="D88" s="47">
        <v>317.46000000000004</v>
      </c>
      <c r="E88" s="47">
        <v>366.3</v>
      </c>
      <c r="F88" s="47">
        <v>384.61500000000001</v>
      </c>
      <c r="G88" s="47">
        <v>439.56000000000006</v>
      </c>
      <c r="H88" s="47">
        <v>457.87500000000006</v>
      </c>
      <c r="I88" s="47">
        <v>683.7600000000001</v>
      </c>
      <c r="J88" s="47">
        <v>708.18000000000006</v>
      </c>
    </row>
    <row r="89" spans="1:10" hidden="1" x14ac:dyDescent="0.25">
      <c r="A89" s="46" t="s">
        <v>333</v>
      </c>
      <c r="B89" s="46" t="s">
        <v>360</v>
      </c>
      <c r="C89" s="47">
        <v>305.25</v>
      </c>
      <c r="D89" s="47">
        <v>317.46000000000004</v>
      </c>
      <c r="E89" s="47">
        <v>366.3</v>
      </c>
      <c r="F89" s="47">
        <v>384.61500000000001</v>
      </c>
      <c r="G89" s="47">
        <v>439.56000000000006</v>
      </c>
      <c r="H89" s="47">
        <v>457.87500000000006</v>
      </c>
      <c r="I89" s="47">
        <v>683.7600000000001</v>
      </c>
      <c r="J89" s="47">
        <v>708.18000000000006</v>
      </c>
    </row>
    <row r="90" spans="1:10" hidden="1" x14ac:dyDescent="0.25">
      <c r="A90" s="46" t="s">
        <v>333</v>
      </c>
      <c r="B90" s="46" t="s">
        <v>369</v>
      </c>
      <c r="C90" s="47">
        <v>476.19</v>
      </c>
      <c r="D90" s="47">
        <v>488.40000000000003</v>
      </c>
      <c r="E90" s="47">
        <v>592.18500000000006</v>
      </c>
      <c r="F90" s="47">
        <v>610.5</v>
      </c>
      <c r="G90" s="47">
        <v>659.34</v>
      </c>
      <c r="H90" s="47">
        <v>671.55000000000007</v>
      </c>
      <c r="I90" s="47">
        <v>818.07000000000016</v>
      </c>
      <c r="J90" s="47">
        <v>836.3850000000001</v>
      </c>
    </row>
    <row r="91" spans="1:10" hidden="1" x14ac:dyDescent="0.25">
      <c r="A91" s="46" t="s">
        <v>333</v>
      </c>
      <c r="B91" s="46" t="s">
        <v>387</v>
      </c>
      <c r="C91" s="47">
        <v>122.10000000000001</v>
      </c>
      <c r="D91" s="47">
        <v>146.52000000000001</v>
      </c>
      <c r="E91" s="47">
        <v>177.04500000000002</v>
      </c>
      <c r="F91" s="47">
        <v>164.83500000000001</v>
      </c>
      <c r="G91" s="47">
        <v>183.15</v>
      </c>
      <c r="H91" s="47">
        <v>195.36</v>
      </c>
      <c r="I91" s="47">
        <v>256.41000000000003</v>
      </c>
      <c r="J91" s="47">
        <v>268.62</v>
      </c>
    </row>
    <row r="92" spans="1:10" hidden="1" x14ac:dyDescent="0.25">
      <c r="A92" s="46" t="s">
        <v>333</v>
      </c>
      <c r="B92" s="46" t="s">
        <v>405</v>
      </c>
      <c r="C92" s="47">
        <v>115.99500000000002</v>
      </c>
      <c r="D92" s="47">
        <v>122.10000000000001</v>
      </c>
      <c r="E92" s="47">
        <v>140.41500000000002</v>
      </c>
      <c r="F92" s="47">
        <v>152.625</v>
      </c>
      <c r="G92" s="47">
        <v>170.94000000000003</v>
      </c>
      <c r="H92" s="47">
        <v>183.15</v>
      </c>
      <c r="I92" s="47">
        <v>244.20000000000002</v>
      </c>
      <c r="J92" s="47">
        <v>256.41000000000003</v>
      </c>
    </row>
    <row r="93" spans="1:10" hidden="1" x14ac:dyDescent="0.25">
      <c r="A93" s="46" t="s">
        <v>333</v>
      </c>
      <c r="B93" s="46" t="s">
        <v>432</v>
      </c>
      <c r="C93" s="47">
        <v>109.89000000000001</v>
      </c>
      <c r="D93" s="47">
        <v>122.10000000000001</v>
      </c>
      <c r="E93" s="47">
        <v>134.31</v>
      </c>
      <c r="F93" s="47">
        <v>146.52000000000001</v>
      </c>
      <c r="G93" s="47">
        <v>170.94000000000003</v>
      </c>
      <c r="H93" s="47">
        <v>195.36</v>
      </c>
      <c r="I93" s="47">
        <v>244.20000000000002</v>
      </c>
      <c r="J93" s="47">
        <v>268.62</v>
      </c>
    </row>
    <row r="94" spans="1:10" hidden="1" x14ac:dyDescent="0.25">
      <c r="A94" s="46" t="s">
        <v>333</v>
      </c>
      <c r="B94" s="46" t="s">
        <v>441</v>
      </c>
      <c r="C94" s="47">
        <v>183.15</v>
      </c>
      <c r="D94" s="47">
        <v>189.25500000000002</v>
      </c>
      <c r="E94" s="47">
        <v>207.57</v>
      </c>
      <c r="F94" s="47">
        <v>219.78000000000003</v>
      </c>
      <c r="G94" s="47">
        <v>244.20000000000002</v>
      </c>
      <c r="H94" s="47">
        <v>305.25</v>
      </c>
      <c r="I94" s="47">
        <v>366.3</v>
      </c>
      <c r="J94" s="47">
        <v>402.93000000000006</v>
      </c>
    </row>
    <row r="95" spans="1:10" hidden="1" x14ac:dyDescent="0.25">
      <c r="A95" s="46" t="s">
        <v>333</v>
      </c>
      <c r="B95" s="46" t="s">
        <v>450</v>
      </c>
      <c r="C95" s="47">
        <v>244.20000000000002</v>
      </c>
      <c r="D95" s="47">
        <v>256.41000000000003</v>
      </c>
      <c r="E95" s="47">
        <v>317.46000000000004</v>
      </c>
      <c r="F95" s="47">
        <v>329.67</v>
      </c>
      <c r="G95" s="47">
        <v>409.03500000000008</v>
      </c>
      <c r="H95" s="47">
        <v>427.35</v>
      </c>
      <c r="I95" s="47">
        <v>604.3950000000001</v>
      </c>
      <c r="J95" s="47">
        <v>622.71</v>
      </c>
    </row>
    <row r="96" spans="1:10" hidden="1" x14ac:dyDescent="0.25">
      <c r="A96" s="46" t="s">
        <v>333</v>
      </c>
      <c r="B96" s="46" t="s">
        <v>468</v>
      </c>
      <c r="C96" s="47">
        <v>222.56300000000005</v>
      </c>
      <c r="D96" s="47">
        <v>225.88500000000002</v>
      </c>
      <c r="E96" s="47">
        <v>323.565</v>
      </c>
      <c r="F96" s="47">
        <v>335.77500000000003</v>
      </c>
      <c r="G96" s="47">
        <v>372.40500000000003</v>
      </c>
      <c r="H96" s="47">
        <v>390.72</v>
      </c>
      <c r="I96" s="47">
        <v>537.24</v>
      </c>
      <c r="J96" s="47">
        <v>549.45000000000005</v>
      </c>
    </row>
    <row r="97" spans="1:10" hidden="1" x14ac:dyDescent="0.25">
      <c r="A97" s="46" t="s">
        <v>333</v>
      </c>
      <c r="B97" s="46" t="s">
        <v>522</v>
      </c>
      <c r="C97" s="47">
        <v>201.88300000000001</v>
      </c>
      <c r="D97" s="47">
        <v>213.67500000000001</v>
      </c>
      <c r="E97" s="47">
        <v>264.88000000000005</v>
      </c>
      <c r="F97" s="47">
        <v>274.72500000000002</v>
      </c>
      <c r="G97" s="47">
        <v>341.88000000000005</v>
      </c>
      <c r="H97" s="47">
        <v>363.44</v>
      </c>
      <c r="I97" s="47">
        <v>443.52000000000004</v>
      </c>
      <c r="J97" s="47">
        <v>462.00000000000006</v>
      </c>
    </row>
    <row r="98" spans="1:10" hidden="1" x14ac:dyDescent="0.25">
      <c r="A98" s="46" t="s">
        <v>333</v>
      </c>
      <c r="B98" s="46" t="s">
        <v>540</v>
      </c>
      <c r="C98" s="47">
        <v>195.36</v>
      </c>
      <c r="D98" s="47">
        <v>207.57</v>
      </c>
      <c r="E98" s="47">
        <v>244.20000000000002</v>
      </c>
      <c r="F98" s="47">
        <v>262.51500000000004</v>
      </c>
      <c r="G98" s="47">
        <v>293.04000000000002</v>
      </c>
      <c r="H98" s="47">
        <v>311.35500000000002</v>
      </c>
      <c r="I98" s="47">
        <v>476.19</v>
      </c>
      <c r="J98" s="47">
        <v>488.40000000000003</v>
      </c>
    </row>
    <row r="99" spans="1:10" hidden="1" x14ac:dyDescent="0.25">
      <c r="A99" s="46" t="s">
        <v>333</v>
      </c>
      <c r="B99" s="46" t="s">
        <v>594</v>
      </c>
      <c r="C99" s="47">
        <v>518.61700000000008</v>
      </c>
      <c r="D99" s="47">
        <v>525.03000000000009</v>
      </c>
      <c r="E99" s="47">
        <v>641.02500000000009</v>
      </c>
      <c r="F99" s="47">
        <v>659.34</v>
      </c>
      <c r="G99" s="47">
        <v>708.18000000000006</v>
      </c>
      <c r="H99" s="47">
        <v>720.39</v>
      </c>
      <c r="I99" s="47">
        <v>866.91000000000008</v>
      </c>
      <c r="J99" s="47">
        <v>885.22500000000002</v>
      </c>
    </row>
    <row r="100" spans="1:10" hidden="1" x14ac:dyDescent="0.25">
      <c r="A100" s="46" t="s">
        <v>333</v>
      </c>
      <c r="B100" s="46" t="s">
        <v>603</v>
      </c>
      <c r="C100" s="47">
        <v>183.15</v>
      </c>
      <c r="D100" s="47">
        <v>189.25500000000002</v>
      </c>
      <c r="E100" s="47">
        <v>207.57</v>
      </c>
      <c r="F100" s="47">
        <v>219.78000000000003</v>
      </c>
      <c r="G100" s="47">
        <v>244.20000000000002</v>
      </c>
      <c r="H100" s="47">
        <v>305.25</v>
      </c>
      <c r="I100" s="47">
        <v>366.3</v>
      </c>
      <c r="J100" s="47">
        <v>366.3</v>
      </c>
    </row>
    <row r="101" spans="1:10" hidden="1" x14ac:dyDescent="0.25">
      <c r="A101" s="46" t="s">
        <v>333</v>
      </c>
      <c r="B101" s="46" t="s">
        <v>630</v>
      </c>
      <c r="C101" s="47">
        <v>183.15</v>
      </c>
      <c r="D101" s="47">
        <v>189.25500000000002</v>
      </c>
      <c r="E101" s="47">
        <v>207.57</v>
      </c>
      <c r="F101" s="47">
        <v>219.78000000000003</v>
      </c>
      <c r="G101" s="47">
        <v>244.20000000000002</v>
      </c>
      <c r="H101" s="47">
        <v>305.25</v>
      </c>
      <c r="I101" s="47">
        <v>366.3</v>
      </c>
      <c r="J101" s="47">
        <v>366.3</v>
      </c>
    </row>
    <row r="102" spans="1:10" hidden="1" x14ac:dyDescent="0.25">
      <c r="A102" s="46" t="s">
        <v>333</v>
      </c>
      <c r="B102" s="46" t="s">
        <v>639</v>
      </c>
      <c r="C102" s="47">
        <v>293.04000000000002</v>
      </c>
      <c r="D102" s="47">
        <v>305.25</v>
      </c>
      <c r="E102" s="47">
        <v>351.08700000000005</v>
      </c>
      <c r="F102" s="47">
        <v>360.19499999999999</v>
      </c>
      <c r="G102" s="47">
        <v>384.61500000000001</v>
      </c>
      <c r="H102" s="47">
        <v>402.93000000000006</v>
      </c>
      <c r="I102" s="47">
        <v>616.60500000000002</v>
      </c>
      <c r="J102" s="47">
        <v>647.13</v>
      </c>
    </row>
    <row r="103" spans="1:10" hidden="1" x14ac:dyDescent="0.25">
      <c r="A103" s="46" t="s">
        <v>333</v>
      </c>
      <c r="B103" s="46" t="s">
        <v>648</v>
      </c>
      <c r="C103" s="47">
        <v>183.15</v>
      </c>
      <c r="D103" s="47">
        <v>195.36</v>
      </c>
      <c r="E103" s="47">
        <v>280.83000000000004</v>
      </c>
      <c r="F103" s="47">
        <v>293.04000000000002</v>
      </c>
      <c r="G103" s="47">
        <v>329.67</v>
      </c>
      <c r="H103" s="47">
        <v>347.98500000000007</v>
      </c>
      <c r="I103" s="47">
        <v>494.50500000000005</v>
      </c>
      <c r="J103" s="47">
        <v>506.71500000000003</v>
      </c>
    </row>
    <row r="104" spans="1:10" hidden="1" x14ac:dyDescent="0.25">
      <c r="A104" s="46" t="s">
        <v>333</v>
      </c>
      <c r="B104" s="46" t="s">
        <v>657</v>
      </c>
      <c r="C104" s="47">
        <v>207.57</v>
      </c>
      <c r="D104" s="47">
        <v>219.78000000000003</v>
      </c>
      <c r="E104" s="47">
        <v>250.30500000000004</v>
      </c>
      <c r="F104" s="47">
        <v>262.51500000000004</v>
      </c>
      <c r="G104" s="47">
        <v>396.82500000000005</v>
      </c>
      <c r="H104" s="47">
        <v>415.14</v>
      </c>
      <c r="I104" s="47">
        <v>518.92500000000007</v>
      </c>
      <c r="J104" s="47">
        <v>537.24</v>
      </c>
    </row>
    <row r="105" spans="1:10" hidden="1" x14ac:dyDescent="0.25">
      <c r="A105" s="46" t="s">
        <v>333</v>
      </c>
      <c r="B105" s="46" t="s">
        <v>675</v>
      </c>
      <c r="C105" s="47">
        <v>170.94000000000003</v>
      </c>
      <c r="D105" s="47">
        <v>183.15</v>
      </c>
      <c r="E105" s="47">
        <v>221.76000000000002</v>
      </c>
      <c r="F105" s="47">
        <v>244.20000000000002</v>
      </c>
      <c r="G105" s="47">
        <v>299.14500000000004</v>
      </c>
      <c r="H105" s="47">
        <v>320.32</v>
      </c>
      <c r="I105" s="47">
        <v>394.24</v>
      </c>
      <c r="J105" s="47">
        <v>406.56000000000006</v>
      </c>
    </row>
    <row r="106" spans="1:10" hidden="1" x14ac:dyDescent="0.25">
      <c r="A106" s="46" t="s">
        <v>333</v>
      </c>
      <c r="B106" s="46" t="s">
        <v>684</v>
      </c>
      <c r="C106" s="47">
        <v>329.67</v>
      </c>
      <c r="D106" s="47">
        <v>341.88000000000005</v>
      </c>
      <c r="E106" s="47">
        <v>415.14</v>
      </c>
      <c r="F106" s="47">
        <v>439.56000000000006</v>
      </c>
      <c r="G106" s="47">
        <v>506.71500000000003</v>
      </c>
      <c r="H106" s="47">
        <v>525.03000000000009</v>
      </c>
      <c r="I106" s="47">
        <v>622.71</v>
      </c>
      <c r="J106" s="47">
        <v>647.13</v>
      </c>
    </row>
    <row r="107" spans="1:10" hidden="1" x14ac:dyDescent="0.25">
      <c r="A107" s="46" t="s">
        <v>333</v>
      </c>
      <c r="B107" s="46" t="s">
        <v>702</v>
      </c>
      <c r="C107" s="47">
        <v>329.67</v>
      </c>
      <c r="D107" s="47">
        <v>341.88000000000005</v>
      </c>
      <c r="E107" s="47">
        <v>415.14</v>
      </c>
      <c r="F107" s="47">
        <v>439.56000000000006</v>
      </c>
      <c r="G107" s="47">
        <v>506.71500000000003</v>
      </c>
      <c r="H107" s="47">
        <v>525.03000000000009</v>
      </c>
      <c r="I107" s="47">
        <v>622.71</v>
      </c>
      <c r="J107" s="47">
        <v>647.13</v>
      </c>
    </row>
    <row r="108" spans="1:10" hidden="1" x14ac:dyDescent="0.25">
      <c r="A108" s="46" t="s">
        <v>333</v>
      </c>
      <c r="B108" s="46" t="s">
        <v>729</v>
      </c>
      <c r="C108" s="47">
        <v>183.15</v>
      </c>
      <c r="D108" s="47">
        <v>189.25500000000002</v>
      </c>
      <c r="E108" s="47">
        <v>209.44000000000003</v>
      </c>
      <c r="F108" s="47">
        <v>219.78000000000003</v>
      </c>
      <c r="G108" s="47">
        <v>246.40000000000003</v>
      </c>
      <c r="H108" s="47">
        <v>305.25</v>
      </c>
      <c r="I108" s="47">
        <v>369.6</v>
      </c>
      <c r="J108" s="47">
        <v>369.6</v>
      </c>
    </row>
    <row r="109" spans="1:10" hidden="1" x14ac:dyDescent="0.25">
      <c r="A109" s="46" t="s">
        <v>333</v>
      </c>
      <c r="B109" s="46" t="s">
        <v>738</v>
      </c>
      <c r="C109" s="47">
        <v>164.83500000000001</v>
      </c>
      <c r="D109" s="47">
        <v>170.94000000000003</v>
      </c>
      <c r="E109" s="47">
        <v>207.57</v>
      </c>
      <c r="F109" s="47">
        <v>219.78000000000003</v>
      </c>
      <c r="G109" s="47">
        <v>244.20000000000002</v>
      </c>
      <c r="H109" s="47">
        <v>305.25</v>
      </c>
      <c r="I109" s="47">
        <v>366.3</v>
      </c>
      <c r="J109" s="47">
        <v>369.6</v>
      </c>
    </row>
    <row r="110" spans="1:10" hidden="1" x14ac:dyDescent="0.25">
      <c r="A110" s="46" t="s">
        <v>333</v>
      </c>
      <c r="B110" s="46" t="s">
        <v>747</v>
      </c>
      <c r="C110" s="47">
        <v>183.33699999999999</v>
      </c>
      <c r="D110" s="47">
        <v>189.25500000000002</v>
      </c>
      <c r="E110" s="47">
        <v>207.57</v>
      </c>
      <c r="F110" s="47">
        <v>219.78000000000003</v>
      </c>
      <c r="G110" s="47">
        <v>244.20000000000002</v>
      </c>
      <c r="H110" s="47">
        <v>305.25</v>
      </c>
      <c r="I110" s="47">
        <v>366.3</v>
      </c>
      <c r="J110" s="47">
        <v>402.93000000000006</v>
      </c>
    </row>
    <row r="111" spans="1:10" hidden="1" x14ac:dyDescent="0.25">
      <c r="A111" s="46" t="s">
        <v>333</v>
      </c>
      <c r="B111" s="46" t="s">
        <v>756</v>
      </c>
      <c r="C111" s="47">
        <v>238.095</v>
      </c>
      <c r="D111" s="47">
        <v>250.30500000000004</v>
      </c>
      <c r="E111" s="47">
        <v>347.98500000000007</v>
      </c>
      <c r="F111" s="47">
        <v>372.40500000000003</v>
      </c>
      <c r="G111" s="47">
        <v>409.03500000000008</v>
      </c>
      <c r="H111" s="47">
        <v>427.35</v>
      </c>
      <c r="I111" s="47">
        <v>573.87000000000012</v>
      </c>
      <c r="J111" s="47">
        <v>586.08000000000004</v>
      </c>
    </row>
    <row r="112" spans="1:10" hidden="1" x14ac:dyDescent="0.25">
      <c r="A112" s="46" t="s">
        <v>333</v>
      </c>
      <c r="B112" s="46" t="s">
        <v>765</v>
      </c>
      <c r="C112" s="47" t="e">
        <v>#VALUE!</v>
      </c>
      <c r="D112" s="47" t="e">
        <v>#VALUE!</v>
      </c>
      <c r="E112" s="47" t="e">
        <v>#VALUE!</v>
      </c>
      <c r="F112" s="47" t="e">
        <v>#VALUE!</v>
      </c>
      <c r="G112" s="47" t="e">
        <v>#VALUE!</v>
      </c>
      <c r="H112" s="47" t="e">
        <v>#VALUE!</v>
      </c>
      <c r="I112" s="47" t="e">
        <v>#VALUE!</v>
      </c>
      <c r="J112" s="47" t="e">
        <v>#VALUE!</v>
      </c>
    </row>
    <row r="113" spans="1:10" hidden="1" x14ac:dyDescent="0.25">
      <c r="A113" s="46" t="s">
        <v>333</v>
      </c>
      <c r="B113" s="46" t="s">
        <v>783</v>
      </c>
      <c r="C113" s="47">
        <v>183.15</v>
      </c>
      <c r="D113" s="47">
        <v>189.25500000000002</v>
      </c>
      <c r="E113" s="47">
        <v>207.57</v>
      </c>
      <c r="F113" s="47">
        <v>219.78000000000003</v>
      </c>
      <c r="G113" s="47">
        <v>244.20000000000002</v>
      </c>
      <c r="H113" s="47">
        <v>305.25</v>
      </c>
      <c r="I113" s="47">
        <v>366.3</v>
      </c>
      <c r="J113" s="47">
        <v>402.93000000000006</v>
      </c>
    </row>
    <row r="114" spans="1:10" hidden="1" x14ac:dyDescent="0.25">
      <c r="A114" s="46" t="s">
        <v>333</v>
      </c>
      <c r="B114" s="46" t="s">
        <v>792</v>
      </c>
      <c r="C114" s="47">
        <v>354.09000000000003</v>
      </c>
      <c r="D114" s="47">
        <v>366.3</v>
      </c>
      <c r="E114" s="47">
        <v>457.87500000000006</v>
      </c>
      <c r="F114" s="47">
        <v>476.19</v>
      </c>
      <c r="G114" s="47">
        <v>512.82000000000005</v>
      </c>
      <c r="H114" s="47">
        <v>531.1350000000001</v>
      </c>
      <c r="I114" s="47">
        <v>677.65499999999997</v>
      </c>
      <c r="J114" s="47">
        <v>695.97000000000014</v>
      </c>
    </row>
    <row r="115" spans="1:10" x14ac:dyDescent="0.25">
      <c r="A115" s="46" t="s">
        <v>333</v>
      </c>
      <c r="B115" s="46" t="s">
        <v>819</v>
      </c>
      <c r="C115" s="47">
        <v>329.67</v>
      </c>
      <c r="D115" s="47">
        <v>341.88000000000005</v>
      </c>
      <c r="E115" s="47">
        <v>415.14</v>
      </c>
      <c r="F115" s="47">
        <v>439.56000000000006</v>
      </c>
      <c r="G115" s="47">
        <v>506.71500000000003</v>
      </c>
      <c r="H115" s="47">
        <v>525.03000000000009</v>
      </c>
      <c r="I115" s="47">
        <v>622.71</v>
      </c>
      <c r="J115" s="47">
        <v>652.96</v>
      </c>
    </row>
    <row r="116" spans="1:10" hidden="1" x14ac:dyDescent="0.25">
      <c r="A116" s="46" t="s">
        <v>333</v>
      </c>
      <c r="B116" s="46" t="s">
        <v>828</v>
      </c>
      <c r="C116" s="47">
        <v>225.88500000000002</v>
      </c>
      <c r="D116" s="47">
        <v>238.095</v>
      </c>
      <c r="E116" s="47">
        <v>286.93500000000006</v>
      </c>
      <c r="F116" s="47">
        <v>299.14500000000004</v>
      </c>
      <c r="G116" s="47">
        <v>366.3</v>
      </c>
      <c r="H116" s="47">
        <v>384.61500000000001</v>
      </c>
      <c r="I116" s="47">
        <v>463.98000000000008</v>
      </c>
      <c r="J116" s="47">
        <v>482.29500000000002</v>
      </c>
    </row>
    <row r="117" spans="1:10" hidden="1" x14ac:dyDescent="0.25">
      <c r="A117" s="46" t="s">
        <v>333</v>
      </c>
      <c r="B117" s="46" t="s">
        <v>846</v>
      </c>
      <c r="C117" s="47">
        <v>195.36</v>
      </c>
      <c r="D117" s="47">
        <v>201.46500000000003</v>
      </c>
      <c r="E117" s="47">
        <v>227.92000000000002</v>
      </c>
      <c r="F117" s="47">
        <v>231.99000000000004</v>
      </c>
      <c r="G117" s="47">
        <v>280.83000000000004</v>
      </c>
      <c r="H117" s="47">
        <v>295.68000000000006</v>
      </c>
      <c r="I117" s="47">
        <v>344.96000000000004</v>
      </c>
      <c r="J117" s="47">
        <v>369.6</v>
      </c>
    </row>
    <row r="118" spans="1:10" hidden="1" x14ac:dyDescent="0.25">
      <c r="A118" s="46" t="s">
        <v>333</v>
      </c>
      <c r="B118" s="46" t="s">
        <v>855</v>
      </c>
      <c r="C118" s="47">
        <v>207.57</v>
      </c>
      <c r="D118" s="47">
        <v>219.78000000000003</v>
      </c>
      <c r="E118" s="47">
        <v>256.41000000000003</v>
      </c>
      <c r="F118" s="47">
        <v>274.72500000000002</v>
      </c>
      <c r="G118" s="47">
        <v>305.25</v>
      </c>
      <c r="H118" s="47">
        <v>323.565</v>
      </c>
      <c r="I118" s="47">
        <v>488.40000000000003</v>
      </c>
      <c r="J118" s="47">
        <v>500.61000000000007</v>
      </c>
    </row>
    <row r="119" spans="1:10" hidden="1" x14ac:dyDescent="0.25">
      <c r="A119" s="46" t="s">
        <v>333</v>
      </c>
      <c r="B119" s="46" t="s">
        <v>864</v>
      </c>
      <c r="C119" s="47">
        <v>293.04000000000002</v>
      </c>
      <c r="D119" s="47">
        <v>305.25</v>
      </c>
      <c r="E119" s="47">
        <v>354.09000000000003</v>
      </c>
      <c r="F119" s="47">
        <v>366.3</v>
      </c>
      <c r="G119" s="47">
        <v>433.45500000000004</v>
      </c>
      <c r="H119" s="47">
        <v>451.77000000000004</v>
      </c>
      <c r="I119" s="47">
        <v>531.1350000000001</v>
      </c>
      <c r="J119" s="47">
        <v>518.92500000000007</v>
      </c>
    </row>
    <row r="120" spans="1:10" hidden="1" x14ac:dyDescent="0.25">
      <c r="A120" s="46" t="s">
        <v>333</v>
      </c>
      <c r="B120" s="46" t="s">
        <v>882</v>
      </c>
      <c r="C120" s="47">
        <v>274.72500000000002</v>
      </c>
      <c r="D120" s="47">
        <v>286.93500000000006</v>
      </c>
      <c r="E120" s="47">
        <v>384.61500000000001</v>
      </c>
      <c r="F120" s="47">
        <v>409.03500000000008</v>
      </c>
      <c r="G120" s="47">
        <v>445.66500000000002</v>
      </c>
      <c r="H120" s="47">
        <v>463.98000000000008</v>
      </c>
      <c r="I120" s="47">
        <v>610.5</v>
      </c>
      <c r="J120" s="47">
        <v>616.60500000000002</v>
      </c>
    </row>
    <row r="121" spans="1:10" hidden="1" x14ac:dyDescent="0.25">
      <c r="A121" s="46" t="s">
        <v>333</v>
      </c>
      <c r="B121" s="46" t="s">
        <v>909</v>
      </c>
      <c r="C121" s="47">
        <v>122.10000000000001</v>
      </c>
      <c r="D121" s="47">
        <v>134.31</v>
      </c>
      <c r="E121" s="47">
        <v>170.94000000000003</v>
      </c>
      <c r="F121" s="47">
        <v>183.15</v>
      </c>
      <c r="G121" s="47">
        <v>213.67500000000001</v>
      </c>
      <c r="H121" s="47">
        <v>231.99000000000004</v>
      </c>
      <c r="I121" s="47">
        <v>305.25</v>
      </c>
      <c r="J121" s="47">
        <v>317.46000000000004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DC88E-D782-43DF-8E30-58048E6F0746}">
  <dimension ref="A1:K66"/>
  <sheetViews>
    <sheetView workbookViewId="0">
      <selection activeCell="E8" sqref="E8"/>
    </sheetView>
  </sheetViews>
  <sheetFormatPr baseColWidth="10" defaultColWidth="11.42578125" defaultRowHeight="15" x14ac:dyDescent="0.25"/>
  <cols>
    <col min="1" max="1" width="10.5703125" bestFit="1" customWidth="1"/>
    <col min="2" max="2" width="19.5703125" bestFit="1" customWidth="1"/>
    <col min="3" max="5" width="11.5703125" bestFit="1" customWidth="1"/>
    <col min="6" max="6" width="12.5703125" bestFit="1" customWidth="1"/>
    <col min="7" max="9" width="13.5703125" bestFit="1" customWidth="1"/>
    <col min="10" max="10" width="14" bestFit="1" customWidth="1"/>
    <col min="11" max="11" width="13.42578125" bestFit="1" customWidth="1"/>
    <col min="12" max="12" width="14" bestFit="1" customWidth="1"/>
    <col min="13" max="13" width="13.42578125" bestFit="1" customWidth="1"/>
  </cols>
  <sheetData>
    <row r="1" spans="1:11" x14ac:dyDescent="0.25">
      <c r="A1" t="s">
        <v>1</v>
      </c>
      <c r="B1" t="s">
        <v>2</v>
      </c>
      <c r="C1" t="s">
        <v>21</v>
      </c>
      <c r="D1" t="s">
        <v>29</v>
      </c>
      <c r="E1" t="s">
        <v>31</v>
      </c>
      <c r="F1" t="s">
        <v>33</v>
      </c>
      <c r="G1" t="s">
        <v>23</v>
      </c>
      <c r="H1" t="s">
        <v>25</v>
      </c>
      <c r="I1" t="s">
        <v>27</v>
      </c>
      <c r="J1" t="s">
        <v>35</v>
      </c>
      <c r="K1" t="s">
        <v>2786</v>
      </c>
    </row>
    <row r="2" spans="1:11" x14ac:dyDescent="0.25">
      <c r="A2" t="s">
        <v>333</v>
      </c>
      <c r="B2" t="s">
        <v>56</v>
      </c>
      <c r="C2">
        <v>0</v>
      </c>
      <c r="D2">
        <v>139.78</v>
      </c>
      <c r="E2">
        <v>187.85</v>
      </c>
      <c r="F2">
        <v>204.43</v>
      </c>
      <c r="G2">
        <v>0</v>
      </c>
      <c r="H2">
        <v>0</v>
      </c>
      <c r="I2">
        <v>0</v>
      </c>
      <c r="J2">
        <v>0</v>
      </c>
      <c r="K2" t="s">
        <v>5</v>
      </c>
    </row>
    <row r="3" spans="1:11" x14ac:dyDescent="0.25">
      <c r="A3" t="s">
        <v>333</v>
      </c>
      <c r="B3" t="s">
        <v>82</v>
      </c>
      <c r="C3">
        <v>0</v>
      </c>
      <c r="D3">
        <v>138.13</v>
      </c>
      <c r="E3">
        <v>176.8</v>
      </c>
      <c r="F3">
        <v>198.9</v>
      </c>
      <c r="G3">
        <v>0</v>
      </c>
      <c r="H3">
        <v>0</v>
      </c>
      <c r="I3">
        <v>0</v>
      </c>
      <c r="J3">
        <v>0</v>
      </c>
      <c r="K3" t="s">
        <v>5</v>
      </c>
    </row>
    <row r="4" spans="1:11" x14ac:dyDescent="0.25">
      <c r="A4" t="s">
        <v>333</v>
      </c>
      <c r="B4" t="s">
        <v>91</v>
      </c>
      <c r="C4">
        <v>0</v>
      </c>
      <c r="D4">
        <v>170.39</v>
      </c>
      <c r="E4">
        <v>194.25</v>
      </c>
      <c r="F4">
        <v>210.9</v>
      </c>
      <c r="G4">
        <v>0</v>
      </c>
      <c r="H4">
        <v>0</v>
      </c>
      <c r="I4">
        <v>0</v>
      </c>
      <c r="J4">
        <v>0</v>
      </c>
      <c r="K4" t="s">
        <v>5</v>
      </c>
    </row>
    <row r="5" spans="1:11" x14ac:dyDescent="0.25">
      <c r="A5" t="s">
        <v>333</v>
      </c>
      <c r="B5" t="s">
        <v>118</v>
      </c>
      <c r="C5">
        <v>0</v>
      </c>
      <c r="D5">
        <v>246.24</v>
      </c>
      <c r="E5">
        <v>296.39999999999998</v>
      </c>
      <c r="F5">
        <v>319.2</v>
      </c>
      <c r="G5">
        <v>0</v>
      </c>
      <c r="H5">
        <v>0</v>
      </c>
      <c r="I5">
        <v>0</v>
      </c>
      <c r="J5">
        <v>0</v>
      </c>
      <c r="K5" t="s">
        <v>5</v>
      </c>
    </row>
    <row r="6" spans="1:11" x14ac:dyDescent="0.25">
      <c r="A6" t="s">
        <v>333</v>
      </c>
      <c r="B6" t="s">
        <v>181</v>
      </c>
      <c r="C6">
        <v>0</v>
      </c>
      <c r="D6">
        <v>140.80000000000001</v>
      </c>
      <c r="E6">
        <v>165</v>
      </c>
      <c r="F6">
        <v>170.5</v>
      </c>
      <c r="G6">
        <v>0</v>
      </c>
      <c r="H6">
        <v>0</v>
      </c>
      <c r="I6">
        <v>0</v>
      </c>
      <c r="J6">
        <v>0</v>
      </c>
      <c r="K6" t="s">
        <v>5</v>
      </c>
    </row>
    <row r="7" spans="1:11" x14ac:dyDescent="0.25">
      <c r="A7" t="s">
        <v>333</v>
      </c>
      <c r="B7" t="s">
        <v>190</v>
      </c>
      <c r="C7">
        <v>0</v>
      </c>
      <c r="D7">
        <v>115.5</v>
      </c>
      <c r="E7">
        <v>170.5</v>
      </c>
      <c r="F7">
        <v>176</v>
      </c>
      <c r="G7">
        <v>0</v>
      </c>
      <c r="H7">
        <v>0</v>
      </c>
      <c r="I7">
        <v>0</v>
      </c>
      <c r="J7">
        <v>0</v>
      </c>
      <c r="K7" t="s">
        <v>5</v>
      </c>
    </row>
    <row r="8" spans="1:11" x14ac:dyDescent="0.25">
      <c r="A8" t="s">
        <v>333</v>
      </c>
      <c r="B8" t="s">
        <v>208</v>
      </c>
      <c r="C8">
        <v>0</v>
      </c>
      <c r="D8">
        <v>92.65</v>
      </c>
      <c r="E8">
        <v>109</v>
      </c>
      <c r="F8">
        <v>114.45</v>
      </c>
      <c r="G8">
        <v>0</v>
      </c>
      <c r="H8">
        <v>0</v>
      </c>
      <c r="I8">
        <v>0</v>
      </c>
      <c r="J8">
        <v>0</v>
      </c>
      <c r="K8" t="s">
        <v>5</v>
      </c>
    </row>
    <row r="9" spans="1:11" x14ac:dyDescent="0.25">
      <c r="A9" t="s">
        <v>333</v>
      </c>
      <c r="B9" t="s">
        <v>217</v>
      </c>
      <c r="C9">
        <v>0</v>
      </c>
      <c r="D9">
        <v>168.21</v>
      </c>
      <c r="E9">
        <v>218.67</v>
      </c>
      <c r="F9">
        <v>241.1</v>
      </c>
      <c r="G9">
        <v>0</v>
      </c>
      <c r="H9">
        <v>0</v>
      </c>
      <c r="I9">
        <v>0</v>
      </c>
      <c r="J9">
        <v>0</v>
      </c>
      <c r="K9" t="s">
        <v>5</v>
      </c>
    </row>
    <row r="10" spans="1:11" x14ac:dyDescent="0.25">
      <c r="A10" t="s">
        <v>333</v>
      </c>
      <c r="B10" t="s">
        <v>226</v>
      </c>
      <c r="C10">
        <v>0</v>
      </c>
      <c r="D10">
        <v>227.46</v>
      </c>
      <c r="E10">
        <v>278.64</v>
      </c>
      <c r="F10">
        <v>295.7</v>
      </c>
      <c r="G10">
        <v>0</v>
      </c>
      <c r="H10">
        <v>0</v>
      </c>
      <c r="I10">
        <v>0</v>
      </c>
      <c r="J10">
        <v>0</v>
      </c>
      <c r="K10" t="s">
        <v>5</v>
      </c>
    </row>
    <row r="11" spans="1:11" x14ac:dyDescent="0.25">
      <c r="A11" t="s">
        <v>333</v>
      </c>
      <c r="B11" t="s">
        <v>244</v>
      </c>
      <c r="C11">
        <v>0</v>
      </c>
      <c r="D11">
        <v>99</v>
      </c>
      <c r="E11">
        <v>137.5</v>
      </c>
      <c r="F11">
        <v>165</v>
      </c>
      <c r="G11">
        <v>0</v>
      </c>
      <c r="H11">
        <v>0</v>
      </c>
      <c r="I11">
        <v>0</v>
      </c>
      <c r="J11">
        <v>0</v>
      </c>
      <c r="K11" t="s">
        <v>5</v>
      </c>
    </row>
    <row r="12" spans="1:11" x14ac:dyDescent="0.25">
      <c r="A12" t="s">
        <v>333</v>
      </c>
      <c r="B12" t="s">
        <v>37</v>
      </c>
      <c r="C12">
        <v>0</v>
      </c>
      <c r="D12">
        <v>123</v>
      </c>
      <c r="E12">
        <v>134.18</v>
      </c>
      <c r="F12">
        <v>139.78</v>
      </c>
      <c r="G12">
        <v>0</v>
      </c>
      <c r="H12">
        <v>0</v>
      </c>
      <c r="I12">
        <v>0</v>
      </c>
      <c r="J12">
        <v>0</v>
      </c>
      <c r="K12" t="s">
        <v>5</v>
      </c>
    </row>
    <row r="13" spans="1:11" x14ac:dyDescent="0.25">
      <c r="A13" t="s">
        <v>333</v>
      </c>
      <c r="B13" t="s">
        <v>279</v>
      </c>
      <c r="C13">
        <v>0</v>
      </c>
      <c r="D13">
        <v>144.94999999999999</v>
      </c>
      <c r="E13">
        <v>172.83</v>
      </c>
      <c r="F13">
        <v>189.55</v>
      </c>
      <c r="G13">
        <v>0</v>
      </c>
      <c r="H13">
        <v>0</v>
      </c>
      <c r="I13">
        <v>0</v>
      </c>
      <c r="J13">
        <v>0</v>
      </c>
      <c r="K13" t="s">
        <v>5</v>
      </c>
    </row>
    <row r="14" spans="1:11" x14ac:dyDescent="0.25">
      <c r="A14" t="s">
        <v>333</v>
      </c>
      <c r="B14" t="s">
        <v>333</v>
      </c>
      <c r="C14">
        <v>0</v>
      </c>
      <c r="D14">
        <v>79.2</v>
      </c>
      <c r="E14">
        <v>99</v>
      </c>
      <c r="F14">
        <v>110</v>
      </c>
      <c r="G14">
        <v>0</v>
      </c>
      <c r="H14">
        <v>0</v>
      </c>
      <c r="I14">
        <v>0</v>
      </c>
      <c r="J14">
        <v>0</v>
      </c>
      <c r="K14" t="s">
        <v>5</v>
      </c>
    </row>
    <row r="15" spans="1:11" x14ac:dyDescent="0.25">
      <c r="A15" t="s">
        <v>333</v>
      </c>
      <c r="B15" t="s">
        <v>2787</v>
      </c>
      <c r="C15">
        <v>0</v>
      </c>
      <c r="D15">
        <v>112.5</v>
      </c>
      <c r="E15">
        <v>138.38</v>
      </c>
      <c r="F15">
        <v>180</v>
      </c>
      <c r="G15">
        <v>0</v>
      </c>
      <c r="H15">
        <v>0</v>
      </c>
      <c r="I15">
        <v>0</v>
      </c>
      <c r="J15">
        <v>0</v>
      </c>
      <c r="K15" t="s">
        <v>5</v>
      </c>
    </row>
    <row r="16" spans="1:11" x14ac:dyDescent="0.25">
      <c r="A16" t="s">
        <v>333</v>
      </c>
      <c r="B16" t="s">
        <v>432</v>
      </c>
      <c r="C16">
        <v>0</v>
      </c>
      <c r="D16">
        <v>104.5</v>
      </c>
      <c r="E16">
        <v>126.5</v>
      </c>
      <c r="F16">
        <v>137.5</v>
      </c>
      <c r="G16">
        <v>0</v>
      </c>
      <c r="H16">
        <v>0</v>
      </c>
      <c r="I16">
        <v>0</v>
      </c>
      <c r="J16">
        <v>0</v>
      </c>
      <c r="K16" t="s">
        <v>5</v>
      </c>
    </row>
    <row r="17" spans="1:11" x14ac:dyDescent="0.25">
      <c r="A17" t="s">
        <v>333</v>
      </c>
      <c r="B17" t="s">
        <v>459</v>
      </c>
      <c r="C17">
        <v>0</v>
      </c>
      <c r="D17">
        <v>198</v>
      </c>
      <c r="E17">
        <v>264</v>
      </c>
      <c r="F17">
        <v>286</v>
      </c>
      <c r="G17">
        <v>0</v>
      </c>
      <c r="H17">
        <v>0</v>
      </c>
      <c r="I17">
        <v>0</v>
      </c>
      <c r="J17">
        <v>0</v>
      </c>
      <c r="K17" t="s">
        <v>5</v>
      </c>
    </row>
    <row r="18" spans="1:11" x14ac:dyDescent="0.25">
      <c r="A18" t="s">
        <v>333</v>
      </c>
      <c r="B18" t="s">
        <v>477</v>
      </c>
      <c r="C18">
        <v>0</v>
      </c>
      <c r="D18">
        <v>143</v>
      </c>
      <c r="E18">
        <v>203.5</v>
      </c>
      <c r="F18">
        <v>217.8</v>
      </c>
      <c r="G18">
        <v>0</v>
      </c>
      <c r="H18">
        <v>0</v>
      </c>
      <c r="I18">
        <v>0</v>
      </c>
      <c r="J18">
        <v>0</v>
      </c>
      <c r="K18" t="s">
        <v>5</v>
      </c>
    </row>
    <row r="19" spans="1:11" x14ac:dyDescent="0.25">
      <c r="A19" t="s">
        <v>333</v>
      </c>
      <c r="B19" t="s">
        <v>522</v>
      </c>
      <c r="C19">
        <v>0</v>
      </c>
      <c r="D19">
        <v>197.75</v>
      </c>
      <c r="E19">
        <v>305.10000000000002</v>
      </c>
      <c r="F19">
        <v>310.75</v>
      </c>
      <c r="G19">
        <v>0</v>
      </c>
      <c r="H19">
        <v>0</v>
      </c>
      <c r="I19">
        <v>0</v>
      </c>
      <c r="J19">
        <v>0</v>
      </c>
      <c r="K19" t="s">
        <v>5</v>
      </c>
    </row>
    <row r="20" spans="1:11" x14ac:dyDescent="0.25">
      <c r="A20" t="s">
        <v>333</v>
      </c>
      <c r="B20" t="s">
        <v>558</v>
      </c>
      <c r="C20">
        <v>0</v>
      </c>
      <c r="D20">
        <v>154</v>
      </c>
      <c r="E20">
        <v>226.6</v>
      </c>
      <c r="F20">
        <v>233.2</v>
      </c>
      <c r="G20">
        <v>0</v>
      </c>
      <c r="H20">
        <v>0</v>
      </c>
      <c r="I20">
        <v>0</v>
      </c>
      <c r="J20">
        <v>0</v>
      </c>
      <c r="K20" t="s">
        <v>5</v>
      </c>
    </row>
    <row r="21" spans="1:11" x14ac:dyDescent="0.25">
      <c r="A21" t="s">
        <v>333</v>
      </c>
      <c r="B21" t="s">
        <v>567</v>
      </c>
      <c r="C21">
        <v>0</v>
      </c>
      <c r="D21">
        <v>188.16</v>
      </c>
      <c r="E21">
        <v>240.8</v>
      </c>
      <c r="F21">
        <v>246.4</v>
      </c>
      <c r="G21">
        <v>0</v>
      </c>
      <c r="H21">
        <v>0</v>
      </c>
      <c r="I21">
        <v>0</v>
      </c>
      <c r="J21">
        <v>0</v>
      </c>
      <c r="K21" t="s">
        <v>5</v>
      </c>
    </row>
    <row r="22" spans="1:11" x14ac:dyDescent="0.25">
      <c r="A22" t="s">
        <v>333</v>
      </c>
      <c r="B22" t="s">
        <v>603</v>
      </c>
      <c r="C22">
        <v>0</v>
      </c>
      <c r="D22">
        <v>143</v>
      </c>
      <c r="E22">
        <v>181.5</v>
      </c>
      <c r="F22">
        <v>192.5</v>
      </c>
      <c r="G22">
        <v>0</v>
      </c>
      <c r="H22">
        <v>0</v>
      </c>
      <c r="I22">
        <v>0</v>
      </c>
      <c r="J22">
        <v>0</v>
      </c>
      <c r="K22" t="s">
        <v>5</v>
      </c>
    </row>
    <row r="23" spans="1:11" x14ac:dyDescent="0.25">
      <c r="A23" t="s">
        <v>333</v>
      </c>
      <c r="B23" t="s">
        <v>612</v>
      </c>
      <c r="C23">
        <v>0</v>
      </c>
      <c r="D23">
        <v>188.16</v>
      </c>
      <c r="E23">
        <v>240.8</v>
      </c>
      <c r="F23">
        <v>252</v>
      </c>
      <c r="G23">
        <v>0</v>
      </c>
      <c r="H23">
        <v>0</v>
      </c>
      <c r="I23">
        <v>0</v>
      </c>
      <c r="J23">
        <v>0</v>
      </c>
      <c r="K23" t="s">
        <v>5</v>
      </c>
    </row>
    <row r="24" spans="1:11" x14ac:dyDescent="0.25">
      <c r="A24" t="s">
        <v>333</v>
      </c>
      <c r="B24" t="s">
        <v>630</v>
      </c>
      <c r="C24">
        <v>0</v>
      </c>
      <c r="D24">
        <v>176.96</v>
      </c>
      <c r="E24">
        <v>188.16</v>
      </c>
      <c r="F24">
        <v>201.6</v>
      </c>
      <c r="G24">
        <v>0</v>
      </c>
      <c r="H24">
        <v>0</v>
      </c>
      <c r="I24">
        <v>0</v>
      </c>
      <c r="J24">
        <v>0</v>
      </c>
      <c r="K24" t="s">
        <v>5</v>
      </c>
    </row>
    <row r="25" spans="1:11" x14ac:dyDescent="0.25">
      <c r="A25" t="s">
        <v>333</v>
      </c>
      <c r="B25" t="s">
        <v>675</v>
      </c>
      <c r="C25">
        <v>0</v>
      </c>
      <c r="D25">
        <v>168</v>
      </c>
      <c r="E25">
        <v>224</v>
      </c>
      <c r="F25">
        <v>246.4</v>
      </c>
      <c r="G25">
        <v>0</v>
      </c>
      <c r="H25">
        <v>0</v>
      </c>
      <c r="I25">
        <v>0</v>
      </c>
      <c r="J25">
        <v>0</v>
      </c>
      <c r="K25" t="s">
        <v>5</v>
      </c>
    </row>
    <row r="26" spans="1:11" x14ac:dyDescent="0.25">
      <c r="A26" t="s">
        <v>333</v>
      </c>
      <c r="B26" t="s">
        <v>729</v>
      </c>
      <c r="C26">
        <v>0</v>
      </c>
      <c r="D26">
        <v>154</v>
      </c>
      <c r="E26">
        <v>184.8</v>
      </c>
      <c r="F26">
        <v>192.5</v>
      </c>
      <c r="G26">
        <v>0</v>
      </c>
      <c r="H26">
        <v>0</v>
      </c>
      <c r="I26">
        <v>0</v>
      </c>
      <c r="J26">
        <v>0</v>
      </c>
      <c r="K26" t="s">
        <v>5</v>
      </c>
    </row>
    <row r="27" spans="1:11" x14ac:dyDescent="0.25">
      <c r="A27" t="s">
        <v>333</v>
      </c>
      <c r="B27" t="s">
        <v>738</v>
      </c>
      <c r="C27">
        <v>0</v>
      </c>
      <c r="D27">
        <v>146.38999999999999</v>
      </c>
      <c r="E27">
        <v>184.39</v>
      </c>
      <c r="F27">
        <v>198.92</v>
      </c>
      <c r="G27">
        <v>0</v>
      </c>
      <c r="H27">
        <v>0</v>
      </c>
      <c r="I27">
        <v>0</v>
      </c>
      <c r="J27">
        <v>0</v>
      </c>
      <c r="K27" t="s">
        <v>5</v>
      </c>
    </row>
    <row r="28" spans="1:11" x14ac:dyDescent="0.25">
      <c r="A28" t="s">
        <v>333</v>
      </c>
      <c r="B28" t="s">
        <v>747</v>
      </c>
      <c r="C28">
        <v>0</v>
      </c>
      <c r="D28">
        <v>145.86000000000001</v>
      </c>
      <c r="E28">
        <v>176.8</v>
      </c>
      <c r="F28">
        <v>193.38</v>
      </c>
      <c r="G28">
        <v>0</v>
      </c>
      <c r="H28">
        <v>0</v>
      </c>
      <c r="I28">
        <v>0</v>
      </c>
      <c r="J28">
        <v>0</v>
      </c>
      <c r="K28" t="s">
        <v>5</v>
      </c>
    </row>
    <row r="29" spans="1:11" x14ac:dyDescent="0.25">
      <c r="A29" t="s">
        <v>333</v>
      </c>
      <c r="B29" t="s">
        <v>783</v>
      </c>
      <c r="C29">
        <v>0</v>
      </c>
      <c r="D29">
        <v>145.86000000000001</v>
      </c>
      <c r="E29">
        <v>190.06</v>
      </c>
      <c r="F29">
        <v>204.43</v>
      </c>
      <c r="G29">
        <v>0</v>
      </c>
      <c r="H29">
        <v>0</v>
      </c>
      <c r="I29">
        <v>0</v>
      </c>
      <c r="J29">
        <v>0</v>
      </c>
      <c r="K29" t="s">
        <v>5</v>
      </c>
    </row>
    <row r="30" spans="1:11" x14ac:dyDescent="0.25">
      <c r="A30" t="s">
        <v>333</v>
      </c>
      <c r="B30" t="s">
        <v>801</v>
      </c>
      <c r="C30">
        <v>0</v>
      </c>
      <c r="D30">
        <v>155.4</v>
      </c>
      <c r="E30">
        <v>190.92</v>
      </c>
      <c r="F30">
        <v>205.35</v>
      </c>
      <c r="G30">
        <v>0</v>
      </c>
      <c r="H30">
        <v>0</v>
      </c>
      <c r="I30">
        <v>0</v>
      </c>
      <c r="J30">
        <v>0</v>
      </c>
      <c r="K30" t="s">
        <v>5</v>
      </c>
    </row>
    <row r="31" spans="1:11" x14ac:dyDescent="0.25">
      <c r="A31" t="s">
        <v>333</v>
      </c>
      <c r="B31" t="s">
        <v>810</v>
      </c>
      <c r="C31">
        <v>0</v>
      </c>
      <c r="D31">
        <v>136.63999999999999</v>
      </c>
      <c r="E31">
        <v>151.19999999999999</v>
      </c>
      <c r="F31">
        <v>168</v>
      </c>
      <c r="G31">
        <v>0</v>
      </c>
      <c r="H31">
        <v>0</v>
      </c>
      <c r="I31">
        <v>0</v>
      </c>
      <c r="J31">
        <v>0</v>
      </c>
      <c r="K31" t="s">
        <v>5</v>
      </c>
    </row>
    <row r="32" spans="1:11" x14ac:dyDescent="0.25">
      <c r="A32" t="s">
        <v>333</v>
      </c>
      <c r="B32" t="s">
        <v>846</v>
      </c>
      <c r="C32">
        <v>0</v>
      </c>
      <c r="D32">
        <v>188.16</v>
      </c>
      <c r="E32">
        <v>201.6</v>
      </c>
      <c r="F32">
        <v>224</v>
      </c>
      <c r="G32">
        <v>0</v>
      </c>
      <c r="H32">
        <v>0</v>
      </c>
      <c r="I32">
        <v>0</v>
      </c>
      <c r="J32">
        <v>0</v>
      </c>
      <c r="K32" t="s">
        <v>5</v>
      </c>
    </row>
    <row r="33" spans="1:11" x14ac:dyDescent="0.25">
      <c r="A33" t="s">
        <v>333</v>
      </c>
      <c r="B33" t="s">
        <v>909</v>
      </c>
      <c r="C33">
        <v>0</v>
      </c>
      <c r="D33">
        <v>121</v>
      </c>
      <c r="E33">
        <v>154</v>
      </c>
      <c r="F33">
        <v>162.80000000000001</v>
      </c>
      <c r="G33">
        <v>0</v>
      </c>
      <c r="H33">
        <v>0</v>
      </c>
      <c r="I33">
        <v>0</v>
      </c>
      <c r="J33">
        <v>0</v>
      </c>
      <c r="K33" t="s">
        <v>5</v>
      </c>
    </row>
    <row r="34" spans="1:11" x14ac:dyDescent="0.25">
      <c r="A34" t="s">
        <v>37</v>
      </c>
      <c r="B34" t="s">
        <v>56</v>
      </c>
      <c r="C34">
        <v>0</v>
      </c>
      <c r="D34">
        <v>188.53</v>
      </c>
      <c r="E34">
        <v>213.97</v>
      </c>
      <c r="F34">
        <v>231.32</v>
      </c>
      <c r="G34">
        <v>0</v>
      </c>
      <c r="H34">
        <v>0</v>
      </c>
      <c r="I34">
        <v>0</v>
      </c>
      <c r="J34">
        <v>0</v>
      </c>
      <c r="K34" t="s">
        <v>5</v>
      </c>
    </row>
    <row r="35" spans="1:11" x14ac:dyDescent="0.25">
      <c r="A35" t="s">
        <v>37</v>
      </c>
      <c r="B35" t="s">
        <v>82</v>
      </c>
      <c r="C35">
        <v>0</v>
      </c>
      <c r="D35">
        <v>145.72999999999999</v>
      </c>
      <c r="E35">
        <v>188.53</v>
      </c>
      <c r="F35">
        <v>215.13</v>
      </c>
      <c r="G35">
        <v>0</v>
      </c>
      <c r="H35">
        <v>0</v>
      </c>
      <c r="I35">
        <v>0</v>
      </c>
      <c r="J35">
        <v>0</v>
      </c>
      <c r="K35" t="s">
        <v>5</v>
      </c>
    </row>
    <row r="36" spans="1:11" x14ac:dyDescent="0.25">
      <c r="A36" t="s">
        <v>37</v>
      </c>
      <c r="B36" t="s">
        <v>91</v>
      </c>
      <c r="C36">
        <v>0</v>
      </c>
      <c r="D36">
        <v>180.12</v>
      </c>
      <c r="E36">
        <v>205.2</v>
      </c>
      <c r="F36">
        <v>216.6</v>
      </c>
      <c r="G36">
        <v>0</v>
      </c>
      <c r="H36">
        <v>0</v>
      </c>
      <c r="I36">
        <v>0</v>
      </c>
      <c r="J36">
        <v>0</v>
      </c>
      <c r="K36" t="s">
        <v>5</v>
      </c>
    </row>
    <row r="37" spans="1:11" x14ac:dyDescent="0.25">
      <c r="A37" t="s">
        <v>37</v>
      </c>
      <c r="B37" t="s">
        <v>118</v>
      </c>
      <c r="C37">
        <v>0</v>
      </c>
      <c r="D37">
        <v>147.21</v>
      </c>
      <c r="E37">
        <v>195.16</v>
      </c>
      <c r="F37">
        <v>223.04</v>
      </c>
      <c r="G37">
        <v>0</v>
      </c>
      <c r="H37">
        <v>0</v>
      </c>
      <c r="I37">
        <v>0</v>
      </c>
      <c r="J37">
        <v>0</v>
      </c>
      <c r="K37" t="s">
        <v>5</v>
      </c>
    </row>
    <row r="38" spans="1:11" x14ac:dyDescent="0.25">
      <c r="A38" t="s">
        <v>37</v>
      </c>
      <c r="B38" t="s">
        <v>181</v>
      </c>
      <c r="C38">
        <v>0</v>
      </c>
      <c r="D38">
        <v>147.97999999999999</v>
      </c>
      <c r="E38">
        <v>176.44</v>
      </c>
      <c r="F38">
        <v>193.51</v>
      </c>
      <c r="G38">
        <v>0</v>
      </c>
      <c r="H38">
        <v>0</v>
      </c>
      <c r="I38">
        <v>0</v>
      </c>
      <c r="J38">
        <v>0</v>
      </c>
      <c r="K38" t="s">
        <v>5</v>
      </c>
    </row>
    <row r="39" spans="1:11" x14ac:dyDescent="0.25">
      <c r="A39" t="s">
        <v>37</v>
      </c>
      <c r="B39" t="s">
        <v>190</v>
      </c>
      <c r="C39">
        <v>0</v>
      </c>
      <c r="D39">
        <v>184.83</v>
      </c>
      <c r="E39">
        <v>197.46</v>
      </c>
      <c r="F39">
        <v>215.82</v>
      </c>
      <c r="G39">
        <v>0</v>
      </c>
      <c r="H39">
        <v>0</v>
      </c>
      <c r="I39">
        <v>0</v>
      </c>
      <c r="J39">
        <v>0</v>
      </c>
      <c r="K39" t="s">
        <v>5</v>
      </c>
    </row>
    <row r="40" spans="1:11" x14ac:dyDescent="0.25">
      <c r="A40" t="s">
        <v>37</v>
      </c>
      <c r="B40" t="s">
        <v>208</v>
      </c>
      <c r="C40">
        <v>0</v>
      </c>
      <c r="D40">
        <v>98.56</v>
      </c>
      <c r="E40">
        <v>123.2</v>
      </c>
      <c r="F40">
        <v>128.80000000000001</v>
      </c>
      <c r="G40">
        <v>0</v>
      </c>
      <c r="H40">
        <v>0</v>
      </c>
      <c r="I40">
        <v>0</v>
      </c>
      <c r="J40">
        <v>0</v>
      </c>
      <c r="K40" t="s">
        <v>5</v>
      </c>
    </row>
    <row r="41" spans="1:11" x14ac:dyDescent="0.25">
      <c r="A41" t="s">
        <v>37</v>
      </c>
      <c r="B41" t="s">
        <v>217</v>
      </c>
      <c r="C41">
        <v>0</v>
      </c>
      <c r="D41">
        <v>132</v>
      </c>
      <c r="E41">
        <v>165</v>
      </c>
      <c r="F41">
        <v>176</v>
      </c>
      <c r="G41">
        <v>0</v>
      </c>
      <c r="H41">
        <v>0</v>
      </c>
      <c r="I41">
        <v>0</v>
      </c>
      <c r="J41">
        <v>0</v>
      </c>
      <c r="K41" t="s">
        <v>5</v>
      </c>
    </row>
    <row r="42" spans="1:11" x14ac:dyDescent="0.25">
      <c r="A42" t="s">
        <v>37</v>
      </c>
      <c r="B42" t="s">
        <v>226</v>
      </c>
      <c r="C42">
        <v>0</v>
      </c>
      <c r="D42">
        <v>191.17</v>
      </c>
      <c r="E42">
        <v>243.1</v>
      </c>
      <c r="F42">
        <v>259.68</v>
      </c>
      <c r="G42">
        <v>0</v>
      </c>
      <c r="H42">
        <v>0</v>
      </c>
      <c r="I42">
        <v>0</v>
      </c>
      <c r="J42">
        <v>0</v>
      </c>
      <c r="K42" t="s">
        <v>5</v>
      </c>
    </row>
    <row r="43" spans="1:11" x14ac:dyDescent="0.25">
      <c r="A43" t="s">
        <v>37</v>
      </c>
      <c r="B43" t="s">
        <v>244</v>
      </c>
      <c r="C43">
        <v>0</v>
      </c>
      <c r="D43">
        <v>112.69</v>
      </c>
      <c r="E43">
        <v>146.5</v>
      </c>
      <c r="F43">
        <v>175.8</v>
      </c>
      <c r="G43">
        <v>0</v>
      </c>
      <c r="H43">
        <v>0</v>
      </c>
      <c r="I43">
        <v>0</v>
      </c>
      <c r="J43">
        <v>0</v>
      </c>
      <c r="K43" t="s">
        <v>5</v>
      </c>
    </row>
    <row r="44" spans="1:11" x14ac:dyDescent="0.25">
      <c r="A44" t="s">
        <v>37</v>
      </c>
      <c r="B44" t="s">
        <v>253</v>
      </c>
      <c r="C44">
        <v>0</v>
      </c>
      <c r="D44">
        <v>127.65</v>
      </c>
      <c r="E44">
        <v>138.75</v>
      </c>
      <c r="F44">
        <v>149.85</v>
      </c>
      <c r="G44">
        <v>0</v>
      </c>
      <c r="H44">
        <v>0</v>
      </c>
      <c r="I44">
        <v>0</v>
      </c>
      <c r="J44">
        <v>0</v>
      </c>
      <c r="K44" t="s">
        <v>5</v>
      </c>
    </row>
    <row r="45" spans="1:11" x14ac:dyDescent="0.25">
      <c r="A45" t="s">
        <v>37</v>
      </c>
      <c r="B45" t="s">
        <v>37</v>
      </c>
      <c r="C45">
        <v>0</v>
      </c>
      <c r="D45">
        <v>65.400000000000006</v>
      </c>
      <c r="E45">
        <v>70.849999999999994</v>
      </c>
      <c r="F45">
        <v>76.3</v>
      </c>
      <c r="G45">
        <v>0</v>
      </c>
      <c r="H45">
        <v>0</v>
      </c>
      <c r="I45">
        <v>0</v>
      </c>
      <c r="J45">
        <v>0</v>
      </c>
      <c r="K45" t="s">
        <v>5</v>
      </c>
    </row>
    <row r="46" spans="1:11" x14ac:dyDescent="0.25">
      <c r="A46" t="s">
        <v>37</v>
      </c>
      <c r="B46" t="s">
        <v>279</v>
      </c>
      <c r="C46">
        <v>0</v>
      </c>
      <c r="D46">
        <v>152.49</v>
      </c>
      <c r="E46">
        <v>184.83</v>
      </c>
      <c r="F46">
        <v>202.16</v>
      </c>
      <c r="G46">
        <v>0</v>
      </c>
      <c r="H46">
        <v>0</v>
      </c>
      <c r="I46">
        <v>0</v>
      </c>
      <c r="J46">
        <v>0</v>
      </c>
      <c r="K46" t="s">
        <v>5</v>
      </c>
    </row>
    <row r="47" spans="1:11" x14ac:dyDescent="0.25">
      <c r="A47" t="s">
        <v>37</v>
      </c>
      <c r="B47" t="s">
        <v>333</v>
      </c>
      <c r="C47">
        <v>0</v>
      </c>
      <c r="D47">
        <v>98.4</v>
      </c>
      <c r="E47">
        <v>123</v>
      </c>
      <c r="F47">
        <v>134.18</v>
      </c>
      <c r="G47">
        <v>0</v>
      </c>
      <c r="H47">
        <v>0</v>
      </c>
      <c r="I47">
        <v>0</v>
      </c>
      <c r="J47">
        <v>0</v>
      </c>
      <c r="K47" t="s">
        <v>5</v>
      </c>
    </row>
    <row r="48" spans="1:11" x14ac:dyDescent="0.25">
      <c r="A48" t="s">
        <v>37</v>
      </c>
      <c r="B48" t="s">
        <v>2787</v>
      </c>
      <c r="C48">
        <v>0</v>
      </c>
      <c r="D48">
        <v>81.75</v>
      </c>
      <c r="E48">
        <v>130.80000000000001</v>
      </c>
      <c r="F48">
        <v>136.25</v>
      </c>
      <c r="G48">
        <v>0</v>
      </c>
      <c r="H48">
        <v>0</v>
      </c>
      <c r="I48">
        <v>0</v>
      </c>
      <c r="J48">
        <v>0</v>
      </c>
      <c r="K48" t="s">
        <v>5</v>
      </c>
    </row>
    <row r="49" spans="1:11" x14ac:dyDescent="0.25">
      <c r="A49" t="s">
        <v>37</v>
      </c>
      <c r="B49" t="s">
        <v>432</v>
      </c>
      <c r="C49">
        <v>0</v>
      </c>
      <c r="D49">
        <v>105.45</v>
      </c>
      <c r="E49">
        <v>135.41999999999999</v>
      </c>
      <c r="F49">
        <v>150.96</v>
      </c>
      <c r="G49">
        <v>0</v>
      </c>
      <c r="H49">
        <v>0</v>
      </c>
      <c r="I49">
        <v>0</v>
      </c>
      <c r="J49">
        <v>0</v>
      </c>
      <c r="K49" t="s">
        <v>5</v>
      </c>
    </row>
    <row r="50" spans="1:11" x14ac:dyDescent="0.25">
      <c r="A50" t="s">
        <v>37</v>
      </c>
      <c r="B50" t="s">
        <v>459</v>
      </c>
      <c r="C50">
        <v>0</v>
      </c>
      <c r="D50">
        <v>226</v>
      </c>
      <c r="E50">
        <v>310.75</v>
      </c>
      <c r="F50">
        <v>333.35</v>
      </c>
      <c r="G50">
        <v>0</v>
      </c>
      <c r="H50">
        <v>0</v>
      </c>
      <c r="I50">
        <v>0</v>
      </c>
      <c r="J50">
        <v>0</v>
      </c>
      <c r="K50" t="s">
        <v>5</v>
      </c>
    </row>
    <row r="51" spans="1:11" x14ac:dyDescent="0.25">
      <c r="A51" t="s">
        <v>37</v>
      </c>
      <c r="B51" t="s">
        <v>477</v>
      </c>
      <c r="C51">
        <v>0</v>
      </c>
      <c r="D51">
        <v>189.84</v>
      </c>
      <c r="E51">
        <v>226</v>
      </c>
      <c r="F51">
        <v>248.6</v>
      </c>
      <c r="G51">
        <v>0</v>
      </c>
      <c r="H51">
        <v>0</v>
      </c>
      <c r="I51">
        <v>0</v>
      </c>
      <c r="J51">
        <v>0</v>
      </c>
      <c r="K51" t="s">
        <v>5</v>
      </c>
    </row>
    <row r="52" spans="1:11" x14ac:dyDescent="0.25">
      <c r="A52" t="s">
        <v>37</v>
      </c>
      <c r="B52" t="s">
        <v>522</v>
      </c>
      <c r="C52">
        <v>0</v>
      </c>
      <c r="D52">
        <v>138.75</v>
      </c>
      <c r="E52">
        <v>183.15</v>
      </c>
      <c r="F52">
        <v>188.7</v>
      </c>
      <c r="G52">
        <v>0</v>
      </c>
      <c r="H52">
        <v>0</v>
      </c>
      <c r="I52">
        <v>0</v>
      </c>
      <c r="J52">
        <v>0</v>
      </c>
      <c r="K52" t="s">
        <v>5</v>
      </c>
    </row>
    <row r="53" spans="1:11" x14ac:dyDescent="0.25">
      <c r="A53" t="s">
        <v>37</v>
      </c>
      <c r="B53" t="s">
        <v>558</v>
      </c>
      <c r="C53">
        <v>0</v>
      </c>
      <c r="D53">
        <v>201.6</v>
      </c>
      <c r="E53">
        <v>229.6</v>
      </c>
      <c r="F53">
        <v>240.8</v>
      </c>
      <c r="G53">
        <v>0</v>
      </c>
      <c r="H53">
        <v>0</v>
      </c>
      <c r="I53">
        <v>0</v>
      </c>
      <c r="J53">
        <v>0</v>
      </c>
      <c r="K53" t="s">
        <v>5</v>
      </c>
    </row>
    <row r="54" spans="1:11" x14ac:dyDescent="0.25">
      <c r="A54" t="s">
        <v>37</v>
      </c>
      <c r="B54" t="s">
        <v>567</v>
      </c>
      <c r="C54">
        <v>0</v>
      </c>
      <c r="D54">
        <v>115.5</v>
      </c>
      <c r="E54">
        <v>137.5</v>
      </c>
      <c r="F54">
        <v>148.5</v>
      </c>
      <c r="G54">
        <v>0</v>
      </c>
      <c r="H54">
        <v>0</v>
      </c>
      <c r="I54">
        <v>0</v>
      </c>
      <c r="J54">
        <v>0</v>
      </c>
      <c r="K54" t="s">
        <v>5</v>
      </c>
    </row>
    <row r="55" spans="1:11" x14ac:dyDescent="0.25">
      <c r="A55" t="s">
        <v>37</v>
      </c>
      <c r="B55" t="s">
        <v>603</v>
      </c>
      <c r="C55">
        <v>0</v>
      </c>
      <c r="D55">
        <v>156.80000000000001</v>
      </c>
      <c r="E55">
        <v>201.6</v>
      </c>
      <c r="F55">
        <v>215.04</v>
      </c>
      <c r="G55">
        <v>0</v>
      </c>
      <c r="H55">
        <v>0</v>
      </c>
      <c r="I55">
        <v>0</v>
      </c>
      <c r="J55">
        <v>0</v>
      </c>
      <c r="K55" t="s">
        <v>5</v>
      </c>
    </row>
    <row r="56" spans="1:11" x14ac:dyDescent="0.25">
      <c r="A56" t="s">
        <v>37</v>
      </c>
      <c r="B56" t="s">
        <v>612</v>
      </c>
      <c r="C56">
        <v>0</v>
      </c>
      <c r="D56">
        <v>115.5</v>
      </c>
      <c r="E56">
        <v>137.5</v>
      </c>
      <c r="F56">
        <v>148.5</v>
      </c>
      <c r="G56">
        <v>0</v>
      </c>
      <c r="H56">
        <v>0</v>
      </c>
      <c r="I56">
        <v>0</v>
      </c>
      <c r="J56">
        <v>0</v>
      </c>
      <c r="K56" t="s">
        <v>5</v>
      </c>
    </row>
    <row r="57" spans="1:11" x14ac:dyDescent="0.25">
      <c r="A57" t="s">
        <v>37</v>
      </c>
      <c r="B57" t="s">
        <v>630</v>
      </c>
      <c r="C57">
        <v>0</v>
      </c>
      <c r="D57">
        <v>179.68</v>
      </c>
      <c r="E57">
        <v>211.12</v>
      </c>
      <c r="F57">
        <v>224.6</v>
      </c>
      <c r="G57">
        <v>0</v>
      </c>
      <c r="H57">
        <v>0</v>
      </c>
      <c r="I57">
        <v>0</v>
      </c>
      <c r="J57">
        <v>0</v>
      </c>
      <c r="K57" t="s">
        <v>5</v>
      </c>
    </row>
    <row r="58" spans="1:11" x14ac:dyDescent="0.25">
      <c r="A58" t="s">
        <v>37</v>
      </c>
      <c r="B58" t="s">
        <v>675</v>
      </c>
      <c r="C58">
        <v>0</v>
      </c>
      <c r="D58">
        <v>126.5</v>
      </c>
      <c r="E58">
        <v>170.5</v>
      </c>
      <c r="F58">
        <v>187</v>
      </c>
      <c r="G58">
        <v>0</v>
      </c>
      <c r="H58">
        <v>0</v>
      </c>
      <c r="I58">
        <v>0</v>
      </c>
      <c r="J58">
        <v>0</v>
      </c>
      <c r="K58" t="s">
        <v>5</v>
      </c>
    </row>
    <row r="59" spans="1:11" x14ac:dyDescent="0.25">
      <c r="A59" t="s">
        <v>37</v>
      </c>
      <c r="B59" t="s">
        <v>729</v>
      </c>
      <c r="C59">
        <v>0</v>
      </c>
      <c r="D59">
        <v>165.3</v>
      </c>
      <c r="E59">
        <v>212.04</v>
      </c>
      <c r="F59">
        <v>216.6</v>
      </c>
      <c r="G59">
        <v>0</v>
      </c>
      <c r="H59">
        <v>0</v>
      </c>
      <c r="I59">
        <v>0</v>
      </c>
      <c r="J59">
        <v>0</v>
      </c>
      <c r="K59" t="s">
        <v>5</v>
      </c>
    </row>
    <row r="60" spans="1:11" x14ac:dyDescent="0.25">
      <c r="A60" t="s">
        <v>37</v>
      </c>
      <c r="B60" t="s">
        <v>738</v>
      </c>
      <c r="C60">
        <v>0</v>
      </c>
      <c r="D60">
        <v>155.25</v>
      </c>
      <c r="E60">
        <v>212.75</v>
      </c>
      <c r="F60">
        <v>230</v>
      </c>
      <c r="G60">
        <v>0</v>
      </c>
      <c r="H60">
        <v>0</v>
      </c>
      <c r="I60">
        <v>0</v>
      </c>
      <c r="J60">
        <v>0</v>
      </c>
      <c r="K60" t="s">
        <v>5</v>
      </c>
    </row>
    <row r="61" spans="1:11" x14ac:dyDescent="0.25">
      <c r="A61" t="s">
        <v>37</v>
      </c>
      <c r="B61" t="s">
        <v>747</v>
      </c>
      <c r="C61">
        <v>0</v>
      </c>
      <c r="D61">
        <v>188.1</v>
      </c>
      <c r="E61">
        <v>214.32</v>
      </c>
      <c r="F61">
        <v>256.5</v>
      </c>
      <c r="G61">
        <v>0</v>
      </c>
      <c r="H61">
        <v>0</v>
      </c>
      <c r="I61">
        <v>0</v>
      </c>
      <c r="J61">
        <v>0</v>
      </c>
      <c r="K61" t="s">
        <v>5</v>
      </c>
    </row>
    <row r="62" spans="1:11" x14ac:dyDescent="0.25">
      <c r="A62" t="s">
        <v>37</v>
      </c>
      <c r="B62" t="s">
        <v>783</v>
      </c>
      <c r="C62">
        <v>0</v>
      </c>
      <c r="D62">
        <v>188.1</v>
      </c>
      <c r="E62">
        <v>238.26</v>
      </c>
      <c r="F62">
        <v>250.8</v>
      </c>
      <c r="G62">
        <v>0</v>
      </c>
      <c r="H62">
        <v>0</v>
      </c>
      <c r="I62">
        <v>0</v>
      </c>
      <c r="J62">
        <v>0</v>
      </c>
      <c r="K62" t="s">
        <v>5</v>
      </c>
    </row>
    <row r="63" spans="1:11" x14ac:dyDescent="0.25">
      <c r="A63" t="s">
        <v>37</v>
      </c>
      <c r="B63" t="s">
        <v>801</v>
      </c>
      <c r="C63">
        <v>0</v>
      </c>
      <c r="D63">
        <v>188.1</v>
      </c>
      <c r="E63">
        <v>245.1</v>
      </c>
      <c r="F63">
        <v>262.2</v>
      </c>
      <c r="G63">
        <v>0</v>
      </c>
      <c r="H63">
        <v>0</v>
      </c>
      <c r="I63">
        <v>0</v>
      </c>
      <c r="J63">
        <v>0</v>
      </c>
      <c r="K63" t="s">
        <v>5</v>
      </c>
    </row>
    <row r="64" spans="1:11" x14ac:dyDescent="0.25">
      <c r="A64" t="s">
        <v>37</v>
      </c>
      <c r="B64" t="s">
        <v>810</v>
      </c>
      <c r="C64">
        <v>0</v>
      </c>
      <c r="D64">
        <v>173.6</v>
      </c>
      <c r="E64">
        <v>224</v>
      </c>
      <c r="F64">
        <v>235.2</v>
      </c>
      <c r="G64">
        <v>0</v>
      </c>
      <c r="H64">
        <v>0</v>
      </c>
      <c r="I64">
        <v>0</v>
      </c>
      <c r="J64">
        <v>0</v>
      </c>
      <c r="K64" t="s">
        <v>5</v>
      </c>
    </row>
    <row r="65" spans="1:11" x14ac:dyDescent="0.25">
      <c r="A65" t="s">
        <v>37</v>
      </c>
      <c r="B65" t="s">
        <v>846</v>
      </c>
      <c r="C65">
        <v>0</v>
      </c>
      <c r="D65">
        <v>104.5</v>
      </c>
      <c r="E65">
        <v>138.6</v>
      </c>
      <c r="F65">
        <v>143</v>
      </c>
      <c r="G65">
        <v>0</v>
      </c>
      <c r="H65">
        <v>0</v>
      </c>
      <c r="I65">
        <v>0</v>
      </c>
      <c r="J65">
        <v>0</v>
      </c>
      <c r="K65" t="s">
        <v>5</v>
      </c>
    </row>
    <row r="66" spans="1:11" x14ac:dyDescent="0.25">
      <c r="A66" t="s">
        <v>37</v>
      </c>
      <c r="B66" t="s">
        <v>909</v>
      </c>
      <c r="C66">
        <v>0</v>
      </c>
      <c r="D66">
        <v>93.5</v>
      </c>
      <c r="E66">
        <v>96.8</v>
      </c>
      <c r="F66">
        <v>99</v>
      </c>
      <c r="G66">
        <v>0</v>
      </c>
      <c r="H66">
        <v>0</v>
      </c>
      <c r="I66">
        <v>0</v>
      </c>
      <c r="J66">
        <v>0</v>
      </c>
      <c r="K66" t="s">
        <v>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D575C-D9E7-47F6-AF89-D4CDD2169B79}">
  <sheetPr>
    <tabColor theme="8"/>
  </sheetPr>
  <dimension ref="A1:J66"/>
  <sheetViews>
    <sheetView topLeftCell="A38" zoomScale="70" zoomScaleNormal="70" workbookViewId="0">
      <selection activeCell="C2" sqref="C2"/>
    </sheetView>
  </sheetViews>
  <sheetFormatPr baseColWidth="10" defaultColWidth="11.42578125" defaultRowHeight="15" x14ac:dyDescent="0.25"/>
  <cols>
    <col min="1" max="1" width="10.5703125" bestFit="1" customWidth="1"/>
    <col min="2" max="2" width="19.5703125" bestFit="1" customWidth="1"/>
    <col min="3" max="3" width="10.5703125" style="1" customWidth="1"/>
    <col min="4" max="5" width="12" style="1" customWidth="1"/>
    <col min="6" max="10" width="12.5703125" style="1" customWidth="1"/>
  </cols>
  <sheetData>
    <row r="1" spans="1:10" x14ac:dyDescent="0.25">
      <c r="A1" s="3" t="s">
        <v>1</v>
      </c>
      <c r="B1" s="3" t="s">
        <v>2</v>
      </c>
      <c r="C1" s="4" t="s">
        <v>21</v>
      </c>
      <c r="D1" s="4" t="s">
        <v>29</v>
      </c>
      <c r="E1" s="4" t="s">
        <v>31</v>
      </c>
      <c r="F1" s="4" t="s">
        <v>33</v>
      </c>
      <c r="G1" s="4" t="s">
        <v>23</v>
      </c>
      <c r="H1" s="4" t="s">
        <v>25</v>
      </c>
      <c r="I1" s="4" t="s">
        <v>27</v>
      </c>
      <c r="J1" s="4" t="s">
        <v>35</v>
      </c>
    </row>
    <row r="2" spans="1:10" x14ac:dyDescent="0.25">
      <c r="A2" t="s">
        <v>333</v>
      </c>
      <c r="B2" t="s">
        <v>56</v>
      </c>
      <c r="C2" s="1">
        <v>0</v>
      </c>
      <c r="D2" s="1">
        <v>153.75800000000001</v>
      </c>
      <c r="E2" s="1">
        <v>206.63500000000002</v>
      </c>
      <c r="F2" s="1">
        <v>224.87300000000002</v>
      </c>
      <c r="G2" s="1">
        <v>0</v>
      </c>
      <c r="H2" s="1">
        <v>0</v>
      </c>
      <c r="I2" s="1">
        <v>0</v>
      </c>
      <c r="J2" s="1">
        <v>0</v>
      </c>
    </row>
    <row r="3" spans="1:10" x14ac:dyDescent="0.25">
      <c r="A3" t="s">
        <v>333</v>
      </c>
      <c r="B3" t="s">
        <v>82</v>
      </c>
      <c r="C3" s="1">
        <v>0</v>
      </c>
      <c r="D3" s="1">
        <v>151.94300000000001</v>
      </c>
      <c r="E3" s="1">
        <v>194.48000000000002</v>
      </c>
      <c r="F3" s="1">
        <v>218.79000000000002</v>
      </c>
      <c r="G3" s="1">
        <v>0</v>
      </c>
      <c r="H3" s="1">
        <v>0</v>
      </c>
      <c r="I3" s="1">
        <v>0</v>
      </c>
      <c r="J3" s="1">
        <v>0</v>
      </c>
    </row>
    <row r="4" spans="1:10" x14ac:dyDescent="0.25">
      <c r="A4" t="s">
        <v>333</v>
      </c>
      <c r="B4" t="s">
        <v>91</v>
      </c>
      <c r="C4" s="1">
        <v>0</v>
      </c>
      <c r="D4" s="1">
        <v>187.429</v>
      </c>
      <c r="E4" s="1">
        <v>213.67500000000001</v>
      </c>
      <c r="F4" s="1">
        <v>231.99000000000004</v>
      </c>
      <c r="G4" s="1">
        <v>0</v>
      </c>
      <c r="H4" s="1">
        <v>0</v>
      </c>
      <c r="I4" s="1">
        <v>0</v>
      </c>
      <c r="J4" s="1">
        <v>0</v>
      </c>
    </row>
    <row r="5" spans="1:10" x14ac:dyDescent="0.25">
      <c r="A5" t="s">
        <v>333</v>
      </c>
      <c r="B5" t="s">
        <v>118</v>
      </c>
      <c r="C5" s="1">
        <v>0</v>
      </c>
      <c r="D5" s="1">
        <v>270.86400000000003</v>
      </c>
      <c r="E5" s="1">
        <v>326.04000000000002</v>
      </c>
      <c r="F5" s="1">
        <v>351.12</v>
      </c>
      <c r="G5" s="1">
        <v>0</v>
      </c>
      <c r="H5" s="1">
        <v>0</v>
      </c>
      <c r="I5" s="1">
        <v>0</v>
      </c>
      <c r="J5" s="1">
        <v>0</v>
      </c>
    </row>
    <row r="6" spans="1:10" x14ac:dyDescent="0.25">
      <c r="A6" t="s">
        <v>333</v>
      </c>
      <c r="B6" t="s">
        <v>181</v>
      </c>
      <c r="C6" s="1">
        <v>0</v>
      </c>
      <c r="D6" s="1">
        <v>154.88000000000002</v>
      </c>
      <c r="E6" s="1">
        <v>181.50000000000003</v>
      </c>
      <c r="F6" s="1">
        <v>187.55</v>
      </c>
      <c r="G6" s="1">
        <v>0</v>
      </c>
      <c r="H6" s="1">
        <v>0</v>
      </c>
      <c r="I6" s="1">
        <v>0</v>
      </c>
      <c r="J6" s="1">
        <v>0</v>
      </c>
    </row>
    <row r="7" spans="1:10" x14ac:dyDescent="0.25">
      <c r="A7" t="s">
        <v>333</v>
      </c>
      <c r="B7" t="s">
        <v>190</v>
      </c>
      <c r="C7" s="1">
        <v>0</v>
      </c>
      <c r="D7" s="1">
        <v>127.05000000000001</v>
      </c>
      <c r="E7" s="1">
        <v>187.55</v>
      </c>
      <c r="F7" s="1">
        <v>193.60000000000002</v>
      </c>
      <c r="G7" s="1">
        <v>0</v>
      </c>
      <c r="H7" s="1">
        <v>0</v>
      </c>
      <c r="I7" s="1">
        <v>0</v>
      </c>
      <c r="J7" s="1">
        <v>0</v>
      </c>
    </row>
    <row r="8" spans="1:10" x14ac:dyDescent="0.25">
      <c r="A8" t="s">
        <v>333</v>
      </c>
      <c r="B8" t="s">
        <v>208</v>
      </c>
      <c r="C8" s="1">
        <v>0</v>
      </c>
      <c r="D8" s="1">
        <v>101.91500000000002</v>
      </c>
      <c r="E8" s="1">
        <v>119.9</v>
      </c>
      <c r="F8" s="1">
        <v>125.89500000000001</v>
      </c>
      <c r="G8" s="1">
        <v>0</v>
      </c>
      <c r="H8" s="1">
        <v>0</v>
      </c>
      <c r="I8" s="1">
        <v>0</v>
      </c>
      <c r="J8" s="1">
        <v>0</v>
      </c>
    </row>
    <row r="9" spans="1:10" x14ac:dyDescent="0.25">
      <c r="A9" t="s">
        <v>333</v>
      </c>
      <c r="B9" t="s">
        <v>217</v>
      </c>
      <c r="C9" s="1">
        <v>0</v>
      </c>
      <c r="D9" s="1">
        <v>185.03100000000003</v>
      </c>
      <c r="E9" s="1">
        <v>240.53700000000001</v>
      </c>
      <c r="F9" s="1">
        <v>265.21000000000004</v>
      </c>
      <c r="G9" s="1">
        <v>0</v>
      </c>
      <c r="H9" s="1">
        <v>0</v>
      </c>
      <c r="I9" s="1">
        <v>0</v>
      </c>
      <c r="J9" s="1">
        <v>0</v>
      </c>
    </row>
    <row r="10" spans="1:10" x14ac:dyDescent="0.25">
      <c r="A10" t="s">
        <v>333</v>
      </c>
      <c r="B10" t="s">
        <v>226</v>
      </c>
      <c r="C10" s="1">
        <v>0</v>
      </c>
      <c r="D10" s="1">
        <v>250.20600000000002</v>
      </c>
      <c r="E10" s="1">
        <v>306.50400000000002</v>
      </c>
      <c r="F10" s="1">
        <v>325.27000000000004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25">
      <c r="A11" t="s">
        <v>333</v>
      </c>
      <c r="B11" t="s">
        <v>244</v>
      </c>
      <c r="C11" s="1">
        <v>0</v>
      </c>
      <c r="D11" s="1">
        <v>108.9</v>
      </c>
      <c r="E11" s="1">
        <v>151.25</v>
      </c>
      <c r="F11" s="1">
        <v>181.50000000000003</v>
      </c>
      <c r="G11" s="1">
        <v>0</v>
      </c>
      <c r="H11" s="1">
        <v>0</v>
      </c>
      <c r="I11" s="1">
        <v>0</v>
      </c>
      <c r="J11" s="1">
        <v>0</v>
      </c>
    </row>
    <row r="12" spans="1:10" x14ac:dyDescent="0.25">
      <c r="A12" t="s">
        <v>333</v>
      </c>
      <c r="B12" t="s">
        <v>37</v>
      </c>
      <c r="C12" s="1">
        <v>0</v>
      </c>
      <c r="D12" s="1">
        <v>135.30000000000001</v>
      </c>
      <c r="E12" s="1">
        <v>147.59800000000001</v>
      </c>
      <c r="F12" s="1">
        <v>153.75800000000001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25">
      <c r="A13" t="s">
        <v>333</v>
      </c>
      <c r="B13" t="s">
        <v>279</v>
      </c>
      <c r="C13" s="1">
        <v>0</v>
      </c>
      <c r="D13" s="1">
        <v>159.44499999999999</v>
      </c>
      <c r="E13" s="1">
        <v>190.11300000000003</v>
      </c>
      <c r="F13" s="1">
        <v>208.50500000000002</v>
      </c>
      <c r="G13" s="1">
        <v>0</v>
      </c>
      <c r="H13" s="1">
        <v>0</v>
      </c>
      <c r="I13" s="1">
        <v>0</v>
      </c>
      <c r="J13" s="1">
        <v>0</v>
      </c>
    </row>
    <row r="14" spans="1:10" x14ac:dyDescent="0.25">
      <c r="A14" t="s">
        <v>333</v>
      </c>
      <c r="B14" t="s">
        <v>333</v>
      </c>
      <c r="C14" s="1">
        <v>0</v>
      </c>
      <c r="D14" s="1">
        <v>87.12</v>
      </c>
      <c r="E14" s="1">
        <v>108.9</v>
      </c>
      <c r="F14" s="1">
        <v>121.00000000000001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25">
      <c r="A15" t="s">
        <v>333</v>
      </c>
      <c r="B15" t="s">
        <v>405</v>
      </c>
      <c r="C15" s="1">
        <v>0</v>
      </c>
      <c r="D15" s="1">
        <v>123.75000000000001</v>
      </c>
      <c r="E15" s="1">
        <v>152.21800000000002</v>
      </c>
      <c r="F15" s="1">
        <v>198.00000000000003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25">
      <c r="A16" t="s">
        <v>333</v>
      </c>
      <c r="B16" t="s">
        <v>432</v>
      </c>
      <c r="C16" s="1">
        <v>0</v>
      </c>
      <c r="D16" s="1">
        <v>114.95</v>
      </c>
      <c r="E16" s="1">
        <v>139.15</v>
      </c>
      <c r="F16" s="1">
        <v>151.25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25">
      <c r="A17" t="s">
        <v>333</v>
      </c>
      <c r="B17" t="s">
        <v>459</v>
      </c>
      <c r="C17" s="1">
        <v>0</v>
      </c>
      <c r="D17" s="1">
        <v>217.8</v>
      </c>
      <c r="E17" s="1">
        <v>290.40000000000003</v>
      </c>
      <c r="F17" s="1">
        <v>314.60000000000002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25">
      <c r="A18" t="s">
        <v>333</v>
      </c>
      <c r="B18" t="s">
        <v>477</v>
      </c>
      <c r="C18" s="1">
        <v>0</v>
      </c>
      <c r="D18" s="1">
        <v>157.30000000000001</v>
      </c>
      <c r="E18" s="1">
        <v>223.85000000000002</v>
      </c>
      <c r="F18" s="1">
        <v>239.58000000000004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25">
      <c r="A19" t="s">
        <v>333</v>
      </c>
      <c r="B19" t="s">
        <v>522</v>
      </c>
      <c r="C19" s="1">
        <v>0</v>
      </c>
      <c r="D19" s="1">
        <v>217.52500000000001</v>
      </c>
      <c r="E19" s="1">
        <v>335.61000000000007</v>
      </c>
      <c r="F19" s="1">
        <v>341.82500000000005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25">
      <c r="A20" t="s">
        <v>333</v>
      </c>
      <c r="B20" t="s">
        <v>558</v>
      </c>
      <c r="C20" s="1">
        <v>0</v>
      </c>
      <c r="D20" s="1">
        <v>169.4</v>
      </c>
      <c r="E20" s="1">
        <v>249.26000000000002</v>
      </c>
      <c r="F20" s="1">
        <v>256.52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25">
      <c r="A21" t="s">
        <v>333</v>
      </c>
      <c r="B21" t="s">
        <v>567</v>
      </c>
      <c r="C21" s="1">
        <v>0</v>
      </c>
      <c r="D21" s="1">
        <v>206.976</v>
      </c>
      <c r="E21" s="1">
        <v>264.88000000000005</v>
      </c>
      <c r="F21" s="1">
        <v>271.04000000000002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25">
      <c r="A22" t="s">
        <v>333</v>
      </c>
      <c r="B22" t="s">
        <v>603</v>
      </c>
      <c r="C22" s="1">
        <v>0</v>
      </c>
      <c r="D22" s="1">
        <v>157.30000000000001</v>
      </c>
      <c r="E22" s="1">
        <v>199.65</v>
      </c>
      <c r="F22" s="1">
        <v>211.75000000000003</v>
      </c>
      <c r="G22" s="1">
        <v>0</v>
      </c>
      <c r="H22" s="1">
        <v>0</v>
      </c>
      <c r="I22" s="1">
        <v>0</v>
      </c>
      <c r="J22" s="1">
        <v>0</v>
      </c>
    </row>
    <row r="23" spans="1:10" x14ac:dyDescent="0.25">
      <c r="A23" t="s">
        <v>333</v>
      </c>
      <c r="B23" t="s">
        <v>612</v>
      </c>
      <c r="C23" s="1">
        <v>0</v>
      </c>
      <c r="D23" s="1">
        <v>206.976</v>
      </c>
      <c r="E23" s="1">
        <v>264.88000000000005</v>
      </c>
      <c r="F23" s="1">
        <v>277.20000000000005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25">
      <c r="A24" t="s">
        <v>333</v>
      </c>
      <c r="B24" t="s">
        <v>630</v>
      </c>
      <c r="C24" s="1">
        <v>0</v>
      </c>
      <c r="D24" s="1">
        <v>194.65600000000003</v>
      </c>
      <c r="E24" s="1">
        <v>206.976</v>
      </c>
      <c r="F24" s="1">
        <v>221.76000000000002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25">
      <c r="A25" t="s">
        <v>333</v>
      </c>
      <c r="B25" t="s">
        <v>675</v>
      </c>
      <c r="C25" s="1">
        <v>0</v>
      </c>
      <c r="D25" s="1">
        <v>184.8</v>
      </c>
      <c r="E25" s="1">
        <v>246.40000000000003</v>
      </c>
      <c r="F25" s="1">
        <v>271.04000000000002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25">
      <c r="A26" t="s">
        <v>333</v>
      </c>
      <c r="B26" t="s">
        <v>729</v>
      </c>
      <c r="C26" s="1">
        <v>0</v>
      </c>
      <c r="D26" s="1">
        <v>169.4</v>
      </c>
      <c r="E26" s="1">
        <v>203.28000000000003</v>
      </c>
      <c r="F26" s="1">
        <v>211.75000000000003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25">
      <c r="A27" t="s">
        <v>333</v>
      </c>
      <c r="B27" t="s">
        <v>738</v>
      </c>
      <c r="C27" s="1">
        <v>0</v>
      </c>
      <c r="D27" s="1">
        <v>161.029</v>
      </c>
      <c r="E27" s="1">
        <v>202.82900000000001</v>
      </c>
      <c r="F27" s="1">
        <v>218.81200000000001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25">
      <c r="A28" t="s">
        <v>333</v>
      </c>
      <c r="B28" t="s">
        <v>747</v>
      </c>
      <c r="C28" s="1">
        <v>0</v>
      </c>
      <c r="D28" s="1">
        <v>160.44600000000003</v>
      </c>
      <c r="E28" s="1">
        <v>194.48000000000002</v>
      </c>
      <c r="F28" s="1">
        <v>212.71800000000002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25">
      <c r="A29" t="s">
        <v>333</v>
      </c>
      <c r="B29" t="s">
        <v>783</v>
      </c>
      <c r="C29" s="1">
        <v>0</v>
      </c>
      <c r="D29" s="1">
        <v>160.44600000000003</v>
      </c>
      <c r="E29" s="1">
        <v>209.06600000000003</v>
      </c>
      <c r="F29" s="1">
        <v>224.87300000000002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25">
      <c r="A30" t="s">
        <v>333</v>
      </c>
      <c r="B30" t="s">
        <v>801</v>
      </c>
      <c r="C30" s="1">
        <v>0</v>
      </c>
      <c r="D30" s="1">
        <v>170.94000000000003</v>
      </c>
      <c r="E30" s="1">
        <v>210.012</v>
      </c>
      <c r="F30" s="1">
        <v>225.88500000000002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25">
      <c r="A31" t="s">
        <v>333</v>
      </c>
      <c r="B31" t="s">
        <v>810</v>
      </c>
      <c r="C31" s="1">
        <v>0</v>
      </c>
      <c r="D31" s="1">
        <v>150.304</v>
      </c>
      <c r="E31" s="1">
        <v>166.32</v>
      </c>
      <c r="F31" s="1">
        <v>184.8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25">
      <c r="A32" t="s">
        <v>333</v>
      </c>
      <c r="B32" t="s">
        <v>846</v>
      </c>
      <c r="C32" s="1">
        <v>0</v>
      </c>
      <c r="D32" s="1">
        <v>206.976</v>
      </c>
      <c r="E32" s="1">
        <v>221.76000000000002</v>
      </c>
      <c r="F32" s="1">
        <v>246.40000000000003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25">
      <c r="A33" t="s">
        <v>333</v>
      </c>
      <c r="B33" t="s">
        <v>909</v>
      </c>
      <c r="C33" s="1">
        <v>0</v>
      </c>
      <c r="D33" s="1">
        <v>133.10000000000002</v>
      </c>
      <c r="E33" s="1">
        <v>169.4</v>
      </c>
      <c r="F33" s="1">
        <v>179.08000000000004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25">
      <c r="A34" t="s">
        <v>37</v>
      </c>
      <c r="B34" t="s">
        <v>56</v>
      </c>
      <c r="C34" s="1">
        <v>0</v>
      </c>
      <c r="D34" s="1">
        <v>207.38300000000001</v>
      </c>
      <c r="E34" s="1">
        <v>235.36700000000002</v>
      </c>
      <c r="F34" s="1">
        <v>254.45200000000003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25">
      <c r="A35" t="s">
        <v>37</v>
      </c>
      <c r="B35" t="s">
        <v>82</v>
      </c>
      <c r="C35" s="1">
        <v>0</v>
      </c>
      <c r="D35" s="1">
        <v>160.303</v>
      </c>
      <c r="E35" s="1">
        <v>207.38300000000001</v>
      </c>
      <c r="F35" s="1">
        <v>236.643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25">
      <c r="A36" t="s">
        <v>37</v>
      </c>
      <c r="B36" t="s">
        <v>91</v>
      </c>
      <c r="C36" s="1">
        <v>0</v>
      </c>
      <c r="D36" s="1">
        <v>198.13200000000003</v>
      </c>
      <c r="E36" s="1">
        <v>225.72</v>
      </c>
      <c r="F36" s="1">
        <v>238.26000000000002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25">
      <c r="A37" t="s">
        <v>37</v>
      </c>
      <c r="B37" t="s">
        <v>118</v>
      </c>
      <c r="C37" s="1">
        <v>0</v>
      </c>
      <c r="D37" s="1">
        <v>161.93100000000001</v>
      </c>
      <c r="E37" s="1">
        <v>214.67600000000002</v>
      </c>
      <c r="F37" s="1">
        <v>245.34400000000002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25">
      <c r="A38" t="s">
        <v>37</v>
      </c>
      <c r="B38" t="s">
        <v>181</v>
      </c>
      <c r="C38" s="1">
        <v>0</v>
      </c>
      <c r="D38" s="1">
        <v>162.77799999999999</v>
      </c>
      <c r="E38" s="1">
        <v>194.084</v>
      </c>
      <c r="F38" s="1">
        <v>212.86100000000002</v>
      </c>
      <c r="G38" s="1">
        <v>0</v>
      </c>
      <c r="H38" s="1">
        <v>0</v>
      </c>
      <c r="I38" s="1">
        <v>0</v>
      </c>
      <c r="J38" s="1">
        <v>0</v>
      </c>
    </row>
    <row r="39" spans="1:10" x14ac:dyDescent="0.25">
      <c r="A39" t="s">
        <v>37</v>
      </c>
      <c r="B39" t="s">
        <v>190</v>
      </c>
      <c r="C39" s="1">
        <v>0</v>
      </c>
      <c r="D39" s="1">
        <v>203.31300000000002</v>
      </c>
      <c r="E39" s="1">
        <v>217.20600000000002</v>
      </c>
      <c r="F39" s="1">
        <v>237.40200000000002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25">
      <c r="A40" t="s">
        <v>37</v>
      </c>
      <c r="B40" t="s">
        <v>208</v>
      </c>
      <c r="C40" s="1">
        <v>0</v>
      </c>
      <c r="D40" s="1">
        <v>108.41600000000001</v>
      </c>
      <c r="E40" s="1">
        <v>135.52000000000001</v>
      </c>
      <c r="F40" s="1">
        <v>141.68000000000004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25">
      <c r="A41" t="s">
        <v>37</v>
      </c>
      <c r="B41" t="s">
        <v>217</v>
      </c>
      <c r="C41" s="1">
        <v>0</v>
      </c>
      <c r="D41" s="1">
        <v>145.20000000000002</v>
      </c>
      <c r="E41" s="1">
        <v>181.50000000000003</v>
      </c>
      <c r="F41" s="1">
        <v>193.60000000000002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25">
      <c r="A42" t="s">
        <v>37</v>
      </c>
      <c r="B42" t="s">
        <v>226</v>
      </c>
      <c r="C42" s="1">
        <v>0</v>
      </c>
      <c r="D42" s="1">
        <v>210.28700000000001</v>
      </c>
      <c r="E42" s="1">
        <v>267.41000000000003</v>
      </c>
      <c r="F42" s="1">
        <v>285.64800000000002</v>
      </c>
      <c r="G42" s="1">
        <v>0</v>
      </c>
      <c r="H42" s="1">
        <v>0</v>
      </c>
      <c r="I42" s="1">
        <v>0</v>
      </c>
      <c r="J42" s="1">
        <v>0</v>
      </c>
    </row>
    <row r="43" spans="1:10" x14ac:dyDescent="0.25">
      <c r="A43" t="s">
        <v>37</v>
      </c>
      <c r="B43" t="s">
        <v>244</v>
      </c>
      <c r="C43" s="1">
        <v>0</v>
      </c>
      <c r="D43" s="1">
        <v>123.959</v>
      </c>
      <c r="E43" s="1">
        <v>161.15</v>
      </c>
      <c r="F43" s="1">
        <v>193.38000000000002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25">
      <c r="A44" t="s">
        <v>37</v>
      </c>
      <c r="B44" t="s">
        <v>253</v>
      </c>
      <c r="C44" s="1">
        <v>0</v>
      </c>
      <c r="D44" s="1">
        <v>140.41500000000002</v>
      </c>
      <c r="E44" s="1">
        <v>152.625</v>
      </c>
      <c r="F44" s="1">
        <v>164.83500000000001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25">
      <c r="A45" t="s">
        <v>37</v>
      </c>
      <c r="B45" t="s">
        <v>37</v>
      </c>
      <c r="C45" s="1">
        <v>0</v>
      </c>
      <c r="D45" s="1">
        <v>71.940000000000012</v>
      </c>
      <c r="E45" s="1">
        <v>77.935000000000002</v>
      </c>
      <c r="F45" s="1">
        <v>83.93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25">
      <c r="A46" t="s">
        <v>37</v>
      </c>
      <c r="B46" t="s">
        <v>279</v>
      </c>
      <c r="C46" s="1">
        <v>0</v>
      </c>
      <c r="D46" s="1">
        <v>167.73900000000003</v>
      </c>
      <c r="E46" s="1">
        <v>203.31300000000002</v>
      </c>
      <c r="F46" s="1">
        <v>222.376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25">
      <c r="A47" t="s">
        <v>37</v>
      </c>
      <c r="B47" t="s">
        <v>333</v>
      </c>
      <c r="C47" s="1">
        <v>0</v>
      </c>
      <c r="D47" s="1">
        <v>108.24000000000001</v>
      </c>
      <c r="E47" s="1">
        <v>135.30000000000001</v>
      </c>
      <c r="F47" s="1">
        <v>147.59800000000001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25">
      <c r="A48" t="s">
        <v>37</v>
      </c>
      <c r="B48" t="s">
        <v>405</v>
      </c>
      <c r="C48" s="1">
        <v>0</v>
      </c>
      <c r="D48" s="1">
        <v>89.925000000000011</v>
      </c>
      <c r="E48" s="1">
        <v>143.88000000000002</v>
      </c>
      <c r="F48" s="1">
        <v>149.875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25">
      <c r="A49" t="s">
        <v>37</v>
      </c>
      <c r="B49" t="s">
        <v>432</v>
      </c>
      <c r="C49" s="1">
        <v>0</v>
      </c>
      <c r="D49" s="1">
        <v>115.99500000000002</v>
      </c>
      <c r="E49" s="1">
        <v>148.96199999999999</v>
      </c>
      <c r="F49" s="1">
        <v>166.05600000000001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25">
      <c r="A50" t="s">
        <v>37</v>
      </c>
      <c r="B50" t="s">
        <v>459</v>
      </c>
      <c r="C50" s="1">
        <v>0</v>
      </c>
      <c r="D50" s="1">
        <v>248.60000000000002</v>
      </c>
      <c r="E50" s="1">
        <v>341.82500000000005</v>
      </c>
      <c r="F50" s="1">
        <v>366.68500000000006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25">
      <c r="A51" t="s">
        <v>37</v>
      </c>
      <c r="B51" t="s">
        <v>477</v>
      </c>
      <c r="C51" s="1">
        <v>0</v>
      </c>
      <c r="D51" s="1">
        <v>208.82400000000001</v>
      </c>
      <c r="E51" s="1">
        <v>248.60000000000002</v>
      </c>
      <c r="F51" s="1">
        <v>273.46000000000004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25">
      <c r="A52" t="s">
        <v>37</v>
      </c>
      <c r="B52" t="s">
        <v>522</v>
      </c>
      <c r="C52" s="1">
        <v>0</v>
      </c>
      <c r="D52" s="1">
        <v>152.625</v>
      </c>
      <c r="E52" s="1">
        <v>201.46500000000003</v>
      </c>
      <c r="F52" s="1">
        <v>207.57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25">
      <c r="A53" t="s">
        <v>37</v>
      </c>
      <c r="B53" t="s">
        <v>558</v>
      </c>
      <c r="C53" s="1">
        <v>0</v>
      </c>
      <c r="D53" s="1">
        <v>221.76000000000002</v>
      </c>
      <c r="E53" s="1">
        <v>252.56</v>
      </c>
      <c r="F53" s="1">
        <v>264.88000000000005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25">
      <c r="A54" t="s">
        <v>37</v>
      </c>
      <c r="B54" t="s">
        <v>567</v>
      </c>
      <c r="C54" s="1">
        <v>0</v>
      </c>
      <c r="D54" s="1">
        <v>127.05000000000001</v>
      </c>
      <c r="E54" s="1">
        <v>151.25</v>
      </c>
      <c r="F54" s="1">
        <v>163.35000000000002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25">
      <c r="A55" t="s">
        <v>37</v>
      </c>
      <c r="B55" t="s">
        <v>603</v>
      </c>
      <c r="C55" s="1">
        <v>0</v>
      </c>
      <c r="D55" s="1">
        <v>172.48000000000002</v>
      </c>
      <c r="E55" s="1">
        <v>221.76000000000002</v>
      </c>
      <c r="F55" s="1">
        <v>236.54400000000001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25">
      <c r="A56" t="s">
        <v>37</v>
      </c>
      <c r="B56" t="s">
        <v>612</v>
      </c>
      <c r="C56" s="1">
        <v>0</v>
      </c>
      <c r="D56" s="1">
        <v>127.05000000000001</v>
      </c>
      <c r="E56" s="1">
        <v>151.25</v>
      </c>
      <c r="F56" s="1">
        <v>163.35000000000002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25">
      <c r="A57" t="s">
        <v>37</v>
      </c>
      <c r="B57" t="s">
        <v>630</v>
      </c>
      <c r="C57" s="1">
        <v>0</v>
      </c>
      <c r="D57" s="1">
        <v>197.64800000000002</v>
      </c>
      <c r="E57" s="1">
        <v>232.23200000000003</v>
      </c>
      <c r="F57" s="1">
        <v>247.06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25">
      <c r="A58" t="s">
        <v>37</v>
      </c>
      <c r="B58" t="s">
        <v>675</v>
      </c>
      <c r="C58" s="1">
        <v>0</v>
      </c>
      <c r="D58" s="1">
        <v>139.15</v>
      </c>
      <c r="E58" s="1">
        <v>187.55</v>
      </c>
      <c r="F58" s="1">
        <v>205.70000000000002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25">
      <c r="A59" t="s">
        <v>37</v>
      </c>
      <c r="B59" t="s">
        <v>729</v>
      </c>
      <c r="C59" s="1">
        <v>0</v>
      </c>
      <c r="D59" s="1">
        <v>181.83000000000004</v>
      </c>
      <c r="E59" s="1">
        <v>233.244</v>
      </c>
      <c r="F59" s="1">
        <v>238.26000000000002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25">
      <c r="A60" t="s">
        <v>37</v>
      </c>
      <c r="B60" t="s">
        <v>738</v>
      </c>
      <c r="C60" s="1">
        <v>0</v>
      </c>
      <c r="D60" s="1">
        <v>170.77500000000001</v>
      </c>
      <c r="E60" s="1">
        <v>234.02500000000001</v>
      </c>
      <c r="F60" s="1">
        <v>253.00000000000003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25">
      <c r="A61" t="s">
        <v>37</v>
      </c>
      <c r="B61" t="s">
        <v>747</v>
      </c>
      <c r="C61" s="1">
        <v>0</v>
      </c>
      <c r="D61" s="1">
        <v>206.91</v>
      </c>
      <c r="E61" s="1">
        <v>235.75200000000001</v>
      </c>
      <c r="F61" s="1">
        <v>282.15000000000003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25">
      <c r="A62" t="s">
        <v>37</v>
      </c>
      <c r="B62" t="s">
        <v>783</v>
      </c>
      <c r="C62" s="1">
        <v>0</v>
      </c>
      <c r="D62" s="1">
        <v>206.91</v>
      </c>
      <c r="E62" s="1">
        <v>262.08600000000001</v>
      </c>
      <c r="F62" s="1">
        <v>275.88000000000005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25">
      <c r="A63" t="s">
        <v>37</v>
      </c>
      <c r="B63" t="s">
        <v>801</v>
      </c>
      <c r="C63" s="1">
        <v>0</v>
      </c>
      <c r="D63" s="1">
        <v>206.91</v>
      </c>
      <c r="E63" s="1">
        <v>269.61</v>
      </c>
      <c r="F63" s="1">
        <v>288.42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25">
      <c r="A64" t="s">
        <v>37</v>
      </c>
      <c r="B64" t="s">
        <v>810</v>
      </c>
      <c r="C64" s="1">
        <v>0</v>
      </c>
      <c r="D64" s="1">
        <v>190.96</v>
      </c>
      <c r="E64" s="1">
        <v>246.40000000000003</v>
      </c>
      <c r="F64" s="1">
        <v>258.72000000000003</v>
      </c>
      <c r="G64" s="1">
        <v>0</v>
      </c>
      <c r="H64" s="1">
        <v>0</v>
      </c>
      <c r="I64" s="1">
        <v>0</v>
      </c>
      <c r="J64" s="1">
        <v>0</v>
      </c>
    </row>
    <row r="65" spans="1:10" x14ac:dyDescent="0.25">
      <c r="A65" t="s">
        <v>37</v>
      </c>
      <c r="B65" t="s">
        <v>846</v>
      </c>
      <c r="C65" s="1">
        <v>0</v>
      </c>
      <c r="D65" s="1">
        <v>114.95</v>
      </c>
      <c r="E65" s="1">
        <v>152.46</v>
      </c>
      <c r="F65" s="1">
        <v>157.30000000000001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25">
      <c r="A66" t="s">
        <v>37</v>
      </c>
      <c r="B66" t="s">
        <v>909</v>
      </c>
      <c r="C66" s="1">
        <v>0</v>
      </c>
      <c r="D66" s="1">
        <v>102.85000000000001</v>
      </c>
      <c r="E66" s="1">
        <v>106.48</v>
      </c>
      <c r="F66" s="1">
        <v>108.9</v>
      </c>
      <c r="G66" s="1">
        <v>0</v>
      </c>
      <c r="H66" s="1">
        <v>0</v>
      </c>
      <c r="I66" s="1">
        <v>0</v>
      </c>
      <c r="J66" s="1">
        <v>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8A180-2237-4CE4-9A29-2D2432F25C6B}">
  <sheetPr>
    <tabColor theme="8"/>
  </sheetPr>
  <dimension ref="A1:K66"/>
  <sheetViews>
    <sheetView workbookViewId="0">
      <selection activeCell="B11" sqref="B11"/>
    </sheetView>
  </sheetViews>
  <sheetFormatPr baseColWidth="10" defaultColWidth="11.42578125" defaultRowHeight="15" x14ac:dyDescent="0.25"/>
  <cols>
    <col min="1" max="1" width="10.5703125" bestFit="1" customWidth="1"/>
    <col min="2" max="2" width="19.5703125" bestFit="1" customWidth="1"/>
    <col min="3" max="5" width="11.5703125" bestFit="1" customWidth="1"/>
    <col min="6" max="6" width="12.5703125" bestFit="1" customWidth="1"/>
    <col min="7" max="9" width="13.5703125" bestFit="1" customWidth="1"/>
    <col min="10" max="10" width="14" bestFit="1" customWidth="1"/>
    <col min="11" max="11" width="14.140625" bestFit="1" customWidth="1"/>
  </cols>
  <sheetData>
    <row r="1" spans="1:11" x14ac:dyDescent="0.25">
      <c r="A1" t="s">
        <v>1</v>
      </c>
      <c r="B1" t="s">
        <v>2</v>
      </c>
      <c r="C1" t="s">
        <v>21</v>
      </c>
      <c r="D1" t="s">
        <v>29</v>
      </c>
      <c r="E1" t="s">
        <v>31</v>
      </c>
      <c r="F1" t="s">
        <v>33</v>
      </c>
      <c r="G1" t="s">
        <v>23</v>
      </c>
      <c r="H1" t="s">
        <v>25</v>
      </c>
      <c r="I1" t="s">
        <v>27</v>
      </c>
      <c r="J1" t="s">
        <v>35</v>
      </c>
      <c r="K1" t="s">
        <v>2786</v>
      </c>
    </row>
    <row r="2" spans="1:11" x14ac:dyDescent="0.25">
      <c r="A2" t="s">
        <v>333</v>
      </c>
      <c r="B2" t="s">
        <v>56</v>
      </c>
      <c r="C2">
        <v>0</v>
      </c>
      <c r="D2">
        <v>139.78</v>
      </c>
      <c r="E2">
        <v>187.85</v>
      </c>
      <c r="F2">
        <v>204.43</v>
      </c>
      <c r="G2">
        <v>0</v>
      </c>
      <c r="H2">
        <v>0</v>
      </c>
      <c r="I2">
        <v>0</v>
      </c>
      <c r="J2">
        <v>0</v>
      </c>
      <c r="K2" t="s">
        <v>16</v>
      </c>
    </row>
    <row r="3" spans="1:11" x14ac:dyDescent="0.25">
      <c r="A3" t="s">
        <v>333</v>
      </c>
      <c r="B3" t="s">
        <v>82</v>
      </c>
      <c r="C3">
        <v>0</v>
      </c>
      <c r="D3">
        <v>138.13</v>
      </c>
      <c r="E3">
        <v>176.8</v>
      </c>
      <c r="F3">
        <v>198.9</v>
      </c>
      <c r="G3">
        <v>0</v>
      </c>
      <c r="H3">
        <v>0</v>
      </c>
      <c r="I3">
        <v>0</v>
      </c>
      <c r="J3">
        <v>0</v>
      </c>
      <c r="K3" t="s">
        <v>16</v>
      </c>
    </row>
    <row r="4" spans="1:11" x14ac:dyDescent="0.25">
      <c r="A4" t="s">
        <v>333</v>
      </c>
      <c r="B4" t="s">
        <v>91</v>
      </c>
      <c r="C4">
        <v>0</v>
      </c>
      <c r="D4">
        <v>170.39</v>
      </c>
      <c r="E4">
        <v>194.25</v>
      </c>
      <c r="F4">
        <v>210.9</v>
      </c>
      <c r="G4">
        <v>0</v>
      </c>
      <c r="H4">
        <v>0</v>
      </c>
      <c r="I4">
        <v>0</v>
      </c>
      <c r="J4">
        <v>0</v>
      </c>
      <c r="K4" t="s">
        <v>16</v>
      </c>
    </row>
    <row r="5" spans="1:11" x14ac:dyDescent="0.25">
      <c r="A5" t="s">
        <v>333</v>
      </c>
      <c r="B5" t="s">
        <v>118</v>
      </c>
      <c r="C5">
        <v>0</v>
      </c>
      <c r="D5">
        <v>246.24</v>
      </c>
      <c r="E5">
        <v>296.39999999999998</v>
      </c>
      <c r="F5">
        <v>319.2</v>
      </c>
      <c r="G5">
        <v>0</v>
      </c>
      <c r="H5">
        <v>0</v>
      </c>
      <c r="I5">
        <v>0</v>
      </c>
      <c r="J5">
        <v>0</v>
      </c>
      <c r="K5" t="s">
        <v>16</v>
      </c>
    </row>
    <row r="6" spans="1:11" x14ac:dyDescent="0.25">
      <c r="A6" t="s">
        <v>333</v>
      </c>
      <c r="B6" t="s">
        <v>181</v>
      </c>
      <c r="C6">
        <v>0</v>
      </c>
      <c r="D6">
        <v>140.80000000000001</v>
      </c>
      <c r="E6">
        <v>165</v>
      </c>
      <c r="F6">
        <v>170.5</v>
      </c>
      <c r="G6">
        <v>0</v>
      </c>
      <c r="H6">
        <v>0</v>
      </c>
      <c r="I6">
        <v>0</v>
      </c>
      <c r="J6">
        <v>0</v>
      </c>
      <c r="K6" t="s">
        <v>16</v>
      </c>
    </row>
    <row r="7" spans="1:11" x14ac:dyDescent="0.25">
      <c r="A7" t="s">
        <v>333</v>
      </c>
      <c r="B7" t="s">
        <v>190</v>
      </c>
      <c r="C7">
        <v>0</v>
      </c>
      <c r="D7">
        <v>115.5</v>
      </c>
      <c r="E7">
        <v>170.5</v>
      </c>
      <c r="F7">
        <v>176</v>
      </c>
      <c r="G7">
        <v>0</v>
      </c>
      <c r="H7">
        <v>0</v>
      </c>
      <c r="I7">
        <v>0</v>
      </c>
      <c r="J7">
        <v>0</v>
      </c>
      <c r="K7" t="s">
        <v>16</v>
      </c>
    </row>
    <row r="8" spans="1:11" x14ac:dyDescent="0.25">
      <c r="A8" t="s">
        <v>333</v>
      </c>
      <c r="B8" t="s">
        <v>208</v>
      </c>
      <c r="C8">
        <v>0</v>
      </c>
      <c r="D8">
        <v>92.65</v>
      </c>
      <c r="E8">
        <v>109</v>
      </c>
      <c r="F8">
        <v>114.45</v>
      </c>
      <c r="G8">
        <v>0</v>
      </c>
      <c r="H8">
        <v>0</v>
      </c>
      <c r="I8">
        <v>0</v>
      </c>
      <c r="J8">
        <v>0</v>
      </c>
      <c r="K8" t="s">
        <v>16</v>
      </c>
    </row>
    <row r="9" spans="1:11" x14ac:dyDescent="0.25">
      <c r="A9" t="s">
        <v>333</v>
      </c>
      <c r="B9" t="s">
        <v>217</v>
      </c>
      <c r="C9">
        <v>0</v>
      </c>
      <c r="D9">
        <v>168.21</v>
      </c>
      <c r="E9">
        <v>218.67</v>
      </c>
      <c r="F9">
        <v>241.1</v>
      </c>
      <c r="G9">
        <v>0</v>
      </c>
      <c r="H9">
        <v>0</v>
      </c>
      <c r="I9">
        <v>0</v>
      </c>
      <c r="J9">
        <v>0</v>
      </c>
      <c r="K9" t="s">
        <v>16</v>
      </c>
    </row>
    <row r="10" spans="1:11" x14ac:dyDescent="0.25">
      <c r="A10" t="s">
        <v>333</v>
      </c>
      <c r="B10" t="s">
        <v>226</v>
      </c>
      <c r="C10">
        <v>0</v>
      </c>
      <c r="D10">
        <v>227.46</v>
      </c>
      <c r="E10">
        <v>278.64</v>
      </c>
      <c r="F10">
        <v>295.7</v>
      </c>
      <c r="G10">
        <v>0</v>
      </c>
      <c r="H10">
        <v>0</v>
      </c>
      <c r="I10">
        <v>0</v>
      </c>
      <c r="J10">
        <v>0</v>
      </c>
      <c r="K10" t="s">
        <v>16</v>
      </c>
    </row>
    <row r="11" spans="1:11" x14ac:dyDescent="0.25">
      <c r="A11" t="s">
        <v>333</v>
      </c>
      <c r="B11" t="s">
        <v>244</v>
      </c>
      <c r="C11">
        <v>0</v>
      </c>
      <c r="D11">
        <v>99</v>
      </c>
      <c r="E11">
        <v>137.5</v>
      </c>
      <c r="F11">
        <v>165</v>
      </c>
      <c r="G11">
        <v>0</v>
      </c>
      <c r="H11">
        <v>0</v>
      </c>
      <c r="I11">
        <v>0</v>
      </c>
      <c r="J11">
        <v>0</v>
      </c>
      <c r="K11" t="s">
        <v>16</v>
      </c>
    </row>
    <row r="12" spans="1:11" x14ac:dyDescent="0.25">
      <c r="A12" t="s">
        <v>333</v>
      </c>
      <c r="B12" t="s">
        <v>37</v>
      </c>
      <c r="C12">
        <v>0</v>
      </c>
      <c r="D12">
        <v>123</v>
      </c>
      <c r="E12">
        <v>134.18</v>
      </c>
      <c r="F12">
        <v>139.78</v>
      </c>
      <c r="G12">
        <v>0</v>
      </c>
      <c r="H12">
        <v>0</v>
      </c>
      <c r="I12">
        <v>0</v>
      </c>
      <c r="J12">
        <v>0</v>
      </c>
      <c r="K12" t="s">
        <v>16</v>
      </c>
    </row>
    <row r="13" spans="1:11" x14ac:dyDescent="0.25">
      <c r="A13" t="s">
        <v>333</v>
      </c>
      <c r="B13" t="s">
        <v>279</v>
      </c>
      <c r="C13">
        <v>0</v>
      </c>
      <c r="D13">
        <v>144.94999999999999</v>
      </c>
      <c r="E13">
        <v>172.83</v>
      </c>
      <c r="F13">
        <v>189.55</v>
      </c>
      <c r="G13">
        <v>0</v>
      </c>
      <c r="H13">
        <v>0</v>
      </c>
      <c r="I13">
        <v>0</v>
      </c>
      <c r="J13">
        <v>0</v>
      </c>
      <c r="K13" t="s">
        <v>16</v>
      </c>
    </row>
    <row r="14" spans="1:11" x14ac:dyDescent="0.25">
      <c r="A14" t="s">
        <v>333</v>
      </c>
      <c r="B14" t="s">
        <v>333</v>
      </c>
      <c r="C14">
        <v>0</v>
      </c>
      <c r="D14">
        <v>79.2</v>
      </c>
      <c r="E14">
        <v>99</v>
      </c>
      <c r="F14">
        <v>110</v>
      </c>
      <c r="G14">
        <v>0</v>
      </c>
      <c r="H14">
        <v>0</v>
      </c>
      <c r="I14">
        <v>0</v>
      </c>
      <c r="J14">
        <v>0</v>
      </c>
      <c r="K14" t="s">
        <v>16</v>
      </c>
    </row>
    <row r="15" spans="1:11" x14ac:dyDescent="0.25">
      <c r="A15" t="s">
        <v>333</v>
      </c>
      <c r="B15" t="s">
        <v>2787</v>
      </c>
      <c r="C15">
        <v>0</v>
      </c>
      <c r="D15">
        <v>112.5</v>
      </c>
      <c r="E15">
        <v>138.38</v>
      </c>
      <c r="F15">
        <v>180</v>
      </c>
      <c r="G15">
        <v>0</v>
      </c>
      <c r="H15">
        <v>0</v>
      </c>
      <c r="I15">
        <v>0</v>
      </c>
      <c r="J15">
        <v>0</v>
      </c>
      <c r="K15" t="s">
        <v>16</v>
      </c>
    </row>
    <row r="16" spans="1:11" x14ac:dyDescent="0.25">
      <c r="A16" t="s">
        <v>333</v>
      </c>
      <c r="B16" t="s">
        <v>432</v>
      </c>
      <c r="C16">
        <v>0</v>
      </c>
      <c r="D16">
        <v>104.5</v>
      </c>
      <c r="E16">
        <v>126.5</v>
      </c>
      <c r="F16">
        <v>137.5</v>
      </c>
      <c r="G16">
        <v>0</v>
      </c>
      <c r="H16">
        <v>0</v>
      </c>
      <c r="I16">
        <v>0</v>
      </c>
      <c r="J16">
        <v>0</v>
      </c>
      <c r="K16" t="s">
        <v>16</v>
      </c>
    </row>
    <row r="17" spans="1:11" x14ac:dyDescent="0.25">
      <c r="A17" t="s">
        <v>333</v>
      </c>
      <c r="B17" t="s">
        <v>459</v>
      </c>
      <c r="C17">
        <v>0</v>
      </c>
      <c r="D17">
        <v>198</v>
      </c>
      <c r="E17">
        <v>264</v>
      </c>
      <c r="F17">
        <v>286</v>
      </c>
      <c r="G17">
        <v>0</v>
      </c>
      <c r="H17">
        <v>0</v>
      </c>
      <c r="I17">
        <v>0</v>
      </c>
      <c r="J17">
        <v>0</v>
      </c>
      <c r="K17" t="s">
        <v>16</v>
      </c>
    </row>
    <row r="18" spans="1:11" x14ac:dyDescent="0.25">
      <c r="A18" t="s">
        <v>333</v>
      </c>
      <c r="B18" t="s">
        <v>477</v>
      </c>
      <c r="C18">
        <v>0</v>
      </c>
      <c r="D18">
        <v>143</v>
      </c>
      <c r="E18">
        <v>203.5</v>
      </c>
      <c r="F18">
        <v>217.8</v>
      </c>
      <c r="G18">
        <v>0</v>
      </c>
      <c r="H18">
        <v>0</v>
      </c>
      <c r="I18">
        <v>0</v>
      </c>
      <c r="J18">
        <v>0</v>
      </c>
      <c r="K18" t="s">
        <v>16</v>
      </c>
    </row>
    <row r="19" spans="1:11" x14ac:dyDescent="0.25">
      <c r="A19" t="s">
        <v>333</v>
      </c>
      <c r="B19" t="s">
        <v>522</v>
      </c>
      <c r="C19">
        <v>0</v>
      </c>
      <c r="D19">
        <v>197.75</v>
      </c>
      <c r="E19">
        <v>305.10000000000002</v>
      </c>
      <c r="F19">
        <v>310.75</v>
      </c>
      <c r="G19">
        <v>0</v>
      </c>
      <c r="H19">
        <v>0</v>
      </c>
      <c r="I19">
        <v>0</v>
      </c>
      <c r="J19">
        <v>0</v>
      </c>
      <c r="K19" t="s">
        <v>16</v>
      </c>
    </row>
    <row r="20" spans="1:11" x14ac:dyDescent="0.25">
      <c r="A20" t="s">
        <v>333</v>
      </c>
      <c r="B20" t="s">
        <v>558</v>
      </c>
      <c r="C20">
        <v>0</v>
      </c>
      <c r="D20">
        <v>154</v>
      </c>
      <c r="E20">
        <v>226.6</v>
      </c>
      <c r="F20">
        <v>233.2</v>
      </c>
      <c r="G20">
        <v>0</v>
      </c>
      <c r="H20">
        <v>0</v>
      </c>
      <c r="I20">
        <v>0</v>
      </c>
      <c r="J20">
        <v>0</v>
      </c>
      <c r="K20" t="s">
        <v>16</v>
      </c>
    </row>
    <row r="21" spans="1:11" x14ac:dyDescent="0.25">
      <c r="A21" t="s">
        <v>333</v>
      </c>
      <c r="B21" t="s">
        <v>567</v>
      </c>
      <c r="C21">
        <v>0</v>
      </c>
      <c r="D21">
        <v>188.16</v>
      </c>
      <c r="E21">
        <v>240.8</v>
      </c>
      <c r="F21">
        <v>246.4</v>
      </c>
      <c r="G21">
        <v>0</v>
      </c>
      <c r="H21">
        <v>0</v>
      </c>
      <c r="I21">
        <v>0</v>
      </c>
      <c r="J21">
        <v>0</v>
      </c>
      <c r="K21" t="s">
        <v>16</v>
      </c>
    </row>
    <row r="22" spans="1:11" x14ac:dyDescent="0.25">
      <c r="A22" t="s">
        <v>333</v>
      </c>
      <c r="B22" t="s">
        <v>603</v>
      </c>
      <c r="C22">
        <v>0</v>
      </c>
      <c r="D22">
        <v>143</v>
      </c>
      <c r="E22">
        <v>181.5</v>
      </c>
      <c r="F22">
        <v>192.5</v>
      </c>
      <c r="G22">
        <v>0</v>
      </c>
      <c r="H22">
        <v>0</v>
      </c>
      <c r="I22">
        <v>0</v>
      </c>
      <c r="J22">
        <v>0</v>
      </c>
      <c r="K22" t="s">
        <v>16</v>
      </c>
    </row>
    <row r="23" spans="1:11" x14ac:dyDescent="0.25">
      <c r="A23" t="s">
        <v>333</v>
      </c>
      <c r="B23" t="s">
        <v>612</v>
      </c>
      <c r="C23">
        <v>0</v>
      </c>
      <c r="D23">
        <v>188.16</v>
      </c>
      <c r="E23">
        <v>240.8</v>
      </c>
      <c r="F23">
        <v>252</v>
      </c>
      <c r="G23">
        <v>0</v>
      </c>
      <c r="H23">
        <v>0</v>
      </c>
      <c r="I23">
        <v>0</v>
      </c>
      <c r="J23">
        <v>0</v>
      </c>
      <c r="K23" t="s">
        <v>16</v>
      </c>
    </row>
    <row r="24" spans="1:11" x14ac:dyDescent="0.25">
      <c r="A24" t="s">
        <v>333</v>
      </c>
      <c r="B24" t="s">
        <v>630</v>
      </c>
      <c r="C24">
        <v>0</v>
      </c>
      <c r="D24">
        <v>176.96</v>
      </c>
      <c r="E24">
        <v>188.16</v>
      </c>
      <c r="F24">
        <v>201.6</v>
      </c>
      <c r="G24">
        <v>0</v>
      </c>
      <c r="H24">
        <v>0</v>
      </c>
      <c r="I24">
        <v>0</v>
      </c>
      <c r="J24">
        <v>0</v>
      </c>
      <c r="K24" t="s">
        <v>16</v>
      </c>
    </row>
    <row r="25" spans="1:11" x14ac:dyDescent="0.25">
      <c r="A25" t="s">
        <v>333</v>
      </c>
      <c r="B25" t="s">
        <v>675</v>
      </c>
      <c r="C25">
        <v>0</v>
      </c>
      <c r="D25">
        <v>168</v>
      </c>
      <c r="E25">
        <v>224</v>
      </c>
      <c r="F25">
        <v>246.4</v>
      </c>
      <c r="G25">
        <v>0</v>
      </c>
      <c r="H25">
        <v>0</v>
      </c>
      <c r="I25">
        <v>0</v>
      </c>
      <c r="J25">
        <v>0</v>
      </c>
      <c r="K25" t="s">
        <v>16</v>
      </c>
    </row>
    <row r="26" spans="1:11" x14ac:dyDescent="0.25">
      <c r="A26" t="s">
        <v>333</v>
      </c>
      <c r="B26" t="s">
        <v>729</v>
      </c>
      <c r="C26">
        <v>0</v>
      </c>
      <c r="D26">
        <v>154</v>
      </c>
      <c r="E26">
        <v>184.8</v>
      </c>
      <c r="F26">
        <v>192.5</v>
      </c>
      <c r="G26">
        <v>0</v>
      </c>
      <c r="H26">
        <v>0</v>
      </c>
      <c r="I26">
        <v>0</v>
      </c>
      <c r="J26">
        <v>0</v>
      </c>
      <c r="K26" t="s">
        <v>16</v>
      </c>
    </row>
    <row r="27" spans="1:11" x14ac:dyDescent="0.25">
      <c r="A27" t="s">
        <v>333</v>
      </c>
      <c r="B27" t="s">
        <v>738</v>
      </c>
      <c r="C27">
        <v>0</v>
      </c>
      <c r="D27">
        <v>146.38999999999999</v>
      </c>
      <c r="E27">
        <v>184.39</v>
      </c>
      <c r="F27">
        <v>198.92</v>
      </c>
      <c r="G27">
        <v>0</v>
      </c>
      <c r="H27">
        <v>0</v>
      </c>
      <c r="I27">
        <v>0</v>
      </c>
      <c r="J27">
        <v>0</v>
      </c>
      <c r="K27" t="s">
        <v>16</v>
      </c>
    </row>
    <row r="28" spans="1:11" x14ac:dyDescent="0.25">
      <c r="A28" t="s">
        <v>333</v>
      </c>
      <c r="B28" t="s">
        <v>747</v>
      </c>
      <c r="C28">
        <v>0</v>
      </c>
      <c r="D28">
        <v>145.86000000000001</v>
      </c>
      <c r="E28">
        <v>176.8</v>
      </c>
      <c r="F28">
        <v>193.38</v>
      </c>
      <c r="G28">
        <v>0</v>
      </c>
      <c r="H28">
        <v>0</v>
      </c>
      <c r="I28">
        <v>0</v>
      </c>
      <c r="J28">
        <v>0</v>
      </c>
      <c r="K28" t="s">
        <v>16</v>
      </c>
    </row>
    <row r="29" spans="1:11" x14ac:dyDescent="0.25">
      <c r="A29" t="s">
        <v>333</v>
      </c>
      <c r="B29" t="s">
        <v>783</v>
      </c>
      <c r="C29">
        <v>0</v>
      </c>
      <c r="D29">
        <v>145.86000000000001</v>
      </c>
      <c r="E29">
        <v>190.06</v>
      </c>
      <c r="F29">
        <v>204.43</v>
      </c>
      <c r="G29">
        <v>0</v>
      </c>
      <c r="H29">
        <v>0</v>
      </c>
      <c r="I29">
        <v>0</v>
      </c>
      <c r="J29">
        <v>0</v>
      </c>
      <c r="K29" t="s">
        <v>16</v>
      </c>
    </row>
    <row r="30" spans="1:11" x14ac:dyDescent="0.25">
      <c r="A30" t="s">
        <v>333</v>
      </c>
      <c r="B30" t="s">
        <v>801</v>
      </c>
      <c r="C30">
        <v>0</v>
      </c>
      <c r="D30">
        <v>155.4</v>
      </c>
      <c r="E30">
        <v>190.92</v>
      </c>
      <c r="F30">
        <v>205.35</v>
      </c>
      <c r="G30">
        <v>0</v>
      </c>
      <c r="H30">
        <v>0</v>
      </c>
      <c r="I30">
        <v>0</v>
      </c>
      <c r="J30">
        <v>0</v>
      </c>
      <c r="K30" t="s">
        <v>16</v>
      </c>
    </row>
    <row r="31" spans="1:11" x14ac:dyDescent="0.25">
      <c r="A31" t="s">
        <v>333</v>
      </c>
      <c r="B31" t="s">
        <v>810</v>
      </c>
      <c r="C31">
        <v>0</v>
      </c>
      <c r="D31">
        <v>136.63999999999999</v>
      </c>
      <c r="E31">
        <v>151.19999999999999</v>
      </c>
      <c r="F31">
        <v>168</v>
      </c>
      <c r="G31">
        <v>0</v>
      </c>
      <c r="H31">
        <v>0</v>
      </c>
      <c r="I31">
        <v>0</v>
      </c>
      <c r="J31">
        <v>0</v>
      </c>
      <c r="K31" t="s">
        <v>16</v>
      </c>
    </row>
    <row r="32" spans="1:11" x14ac:dyDescent="0.25">
      <c r="A32" t="s">
        <v>333</v>
      </c>
      <c r="B32" t="s">
        <v>846</v>
      </c>
      <c r="C32">
        <v>0</v>
      </c>
      <c r="D32">
        <v>188.16</v>
      </c>
      <c r="E32">
        <v>201.6</v>
      </c>
      <c r="F32">
        <v>224</v>
      </c>
      <c r="G32">
        <v>0</v>
      </c>
      <c r="H32">
        <v>0</v>
      </c>
      <c r="I32">
        <v>0</v>
      </c>
      <c r="J32">
        <v>0</v>
      </c>
      <c r="K32" t="s">
        <v>16</v>
      </c>
    </row>
    <row r="33" spans="1:11" x14ac:dyDescent="0.25">
      <c r="A33" t="s">
        <v>333</v>
      </c>
      <c r="B33" t="s">
        <v>909</v>
      </c>
      <c r="C33">
        <v>0</v>
      </c>
      <c r="D33">
        <v>121</v>
      </c>
      <c r="E33">
        <v>154</v>
      </c>
      <c r="F33">
        <v>162.80000000000001</v>
      </c>
      <c r="G33">
        <v>0</v>
      </c>
      <c r="H33">
        <v>0</v>
      </c>
      <c r="I33">
        <v>0</v>
      </c>
      <c r="J33">
        <v>0</v>
      </c>
      <c r="K33" t="s">
        <v>16</v>
      </c>
    </row>
    <row r="34" spans="1:11" x14ac:dyDescent="0.25">
      <c r="A34" t="s">
        <v>37</v>
      </c>
      <c r="B34" t="s">
        <v>56</v>
      </c>
      <c r="C34">
        <v>0</v>
      </c>
      <c r="D34">
        <v>188.53</v>
      </c>
      <c r="E34">
        <v>213.97</v>
      </c>
      <c r="F34">
        <v>231.32</v>
      </c>
      <c r="G34">
        <v>0</v>
      </c>
      <c r="H34">
        <v>0</v>
      </c>
      <c r="I34">
        <v>0</v>
      </c>
      <c r="J34">
        <v>0</v>
      </c>
      <c r="K34" t="s">
        <v>16</v>
      </c>
    </row>
    <row r="35" spans="1:11" x14ac:dyDescent="0.25">
      <c r="A35" t="s">
        <v>37</v>
      </c>
      <c r="B35" t="s">
        <v>82</v>
      </c>
      <c r="C35">
        <v>0</v>
      </c>
      <c r="D35">
        <v>145.72999999999999</v>
      </c>
      <c r="E35">
        <v>188.53</v>
      </c>
      <c r="F35">
        <v>215.13</v>
      </c>
      <c r="G35">
        <v>0</v>
      </c>
      <c r="H35">
        <v>0</v>
      </c>
      <c r="I35">
        <v>0</v>
      </c>
      <c r="J35">
        <v>0</v>
      </c>
      <c r="K35" t="s">
        <v>16</v>
      </c>
    </row>
    <row r="36" spans="1:11" x14ac:dyDescent="0.25">
      <c r="A36" t="s">
        <v>37</v>
      </c>
      <c r="B36" t="s">
        <v>91</v>
      </c>
      <c r="C36">
        <v>0</v>
      </c>
      <c r="D36">
        <v>180.12</v>
      </c>
      <c r="E36">
        <v>205.2</v>
      </c>
      <c r="F36">
        <v>216.6</v>
      </c>
      <c r="G36">
        <v>0</v>
      </c>
      <c r="H36">
        <v>0</v>
      </c>
      <c r="I36">
        <v>0</v>
      </c>
      <c r="J36">
        <v>0</v>
      </c>
      <c r="K36" t="s">
        <v>16</v>
      </c>
    </row>
    <row r="37" spans="1:11" x14ac:dyDescent="0.25">
      <c r="A37" t="s">
        <v>37</v>
      </c>
      <c r="B37" t="s">
        <v>118</v>
      </c>
      <c r="C37">
        <v>0</v>
      </c>
      <c r="D37">
        <v>147.21</v>
      </c>
      <c r="E37">
        <v>195.16</v>
      </c>
      <c r="F37">
        <v>223.04</v>
      </c>
      <c r="G37">
        <v>0</v>
      </c>
      <c r="H37">
        <v>0</v>
      </c>
      <c r="I37">
        <v>0</v>
      </c>
      <c r="J37">
        <v>0</v>
      </c>
      <c r="K37" t="s">
        <v>16</v>
      </c>
    </row>
    <row r="38" spans="1:11" x14ac:dyDescent="0.25">
      <c r="A38" t="s">
        <v>37</v>
      </c>
      <c r="B38" t="s">
        <v>181</v>
      </c>
      <c r="C38">
        <v>0</v>
      </c>
      <c r="D38">
        <v>147.97999999999999</v>
      </c>
      <c r="E38">
        <v>176.44</v>
      </c>
      <c r="F38">
        <v>193.51</v>
      </c>
      <c r="G38">
        <v>0</v>
      </c>
      <c r="H38">
        <v>0</v>
      </c>
      <c r="I38">
        <v>0</v>
      </c>
      <c r="J38">
        <v>0</v>
      </c>
      <c r="K38" t="s">
        <v>16</v>
      </c>
    </row>
    <row r="39" spans="1:11" x14ac:dyDescent="0.25">
      <c r="A39" t="s">
        <v>37</v>
      </c>
      <c r="B39" t="s">
        <v>190</v>
      </c>
      <c r="C39">
        <v>0</v>
      </c>
      <c r="D39">
        <v>184.83</v>
      </c>
      <c r="E39">
        <v>197.46</v>
      </c>
      <c r="F39">
        <v>215.82</v>
      </c>
      <c r="G39">
        <v>0</v>
      </c>
      <c r="H39">
        <v>0</v>
      </c>
      <c r="I39">
        <v>0</v>
      </c>
      <c r="J39">
        <v>0</v>
      </c>
      <c r="K39" t="s">
        <v>16</v>
      </c>
    </row>
    <row r="40" spans="1:11" x14ac:dyDescent="0.25">
      <c r="A40" t="s">
        <v>37</v>
      </c>
      <c r="B40" t="s">
        <v>208</v>
      </c>
      <c r="C40">
        <v>0</v>
      </c>
      <c r="D40">
        <v>98.56</v>
      </c>
      <c r="E40">
        <v>123.2</v>
      </c>
      <c r="F40">
        <v>128.80000000000001</v>
      </c>
      <c r="G40">
        <v>0</v>
      </c>
      <c r="H40">
        <v>0</v>
      </c>
      <c r="I40">
        <v>0</v>
      </c>
      <c r="J40">
        <v>0</v>
      </c>
      <c r="K40" t="s">
        <v>16</v>
      </c>
    </row>
    <row r="41" spans="1:11" x14ac:dyDescent="0.25">
      <c r="A41" t="s">
        <v>37</v>
      </c>
      <c r="B41" t="s">
        <v>217</v>
      </c>
      <c r="C41">
        <v>0</v>
      </c>
      <c r="D41">
        <v>132</v>
      </c>
      <c r="E41">
        <v>165</v>
      </c>
      <c r="F41">
        <v>176</v>
      </c>
      <c r="G41">
        <v>0</v>
      </c>
      <c r="H41">
        <v>0</v>
      </c>
      <c r="I41">
        <v>0</v>
      </c>
      <c r="J41">
        <v>0</v>
      </c>
      <c r="K41" t="s">
        <v>16</v>
      </c>
    </row>
    <row r="42" spans="1:11" x14ac:dyDescent="0.25">
      <c r="A42" t="s">
        <v>37</v>
      </c>
      <c r="B42" t="s">
        <v>226</v>
      </c>
      <c r="C42">
        <v>0</v>
      </c>
      <c r="D42">
        <v>191.17</v>
      </c>
      <c r="E42">
        <v>243.1</v>
      </c>
      <c r="F42">
        <v>259.68</v>
      </c>
      <c r="G42">
        <v>0</v>
      </c>
      <c r="H42">
        <v>0</v>
      </c>
      <c r="I42">
        <v>0</v>
      </c>
      <c r="J42">
        <v>0</v>
      </c>
      <c r="K42" t="s">
        <v>16</v>
      </c>
    </row>
    <row r="43" spans="1:11" x14ac:dyDescent="0.25">
      <c r="A43" t="s">
        <v>37</v>
      </c>
      <c r="B43" t="s">
        <v>244</v>
      </c>
      <c r="C43">
        <v>0</v>
      </c>
      <c r="D43">
        <v>112.69</v>
      </c>
      <c r="E43">
        <v>146.5</v>
      </c>
      <c r="F43">
        <v>175.8</v>
      </c>
      <c r="G43">
        <v>0</v>
      </c>
      <c r="H43">
        <v>0</v>
      </c>
      <c r="I43">
        <v>0</v>
      </c>
      <c r="J43">
        <v>0</v>
      </c>
      <c r="K43" t="s">
        <v>16</v>
      </c>
    </row>
    <row r="44" spans="1:11" x14ac:dyDescent="0.25">
      <c r="A44" t="s">
        <v>37</v>
      </c>
      <c r="B44" t="s">
        <v>253</v>
      </c>
      <c r="C44">
        <v>0</v>
      </c>
      <c r="D44">
        <v>127.65</v>
      </c>
      <c r="E44">
        <v>138.75</v>
      </c>
      <c r="F44">
        <v>149.85</v>
      </c>
      <c r="G44">
        <v>0</v>
      </c>
      <c r="H44">
        <v>0</v>
      </c>
      <c r="I44">
        <v>0</v>
      </c>
      <c r="J44">
        <v>0</v>
      </c>
      <c r="K44" t="s">
        <v>16</v>
      </c>
    </row>
    <row r="45" spans="1:11" x14ac:dyDescent="0.25">
      <c r="A45" t="s">
        <v>37</v>
      </c>
      <c r="B45" t="s">
        <v>37</v>
      </c>
      <c r="C45">
        <v>0</v>
      </c>
      <c r="D45">
        <v>65.400000000000006</v>
      </c>
      <c r="E45">
        <v>70.849999999999994</v>
      </c>
      <c r="F45">
        <v>76.3</v>
      </c>
      <c r="G45">
        <v>0</v>
      </c>
      <c r="H45">
        <v>0</v>
      </c>
      <c r="I45">
        <v>0</v>
      </c>
      <c r="J45">
        <v>0</v>
      </c>
      <c r="K45" t="s">
        <v>16</v>
      </c>
    </row>
    <row r="46" spans="1:11" x14ac:dyDescent="0.25">
      <c r="A46" t="s">
        <v>37</v>
      </c>
      <c r="B46" t="s">
        <v>279</v>
      </c>
      <c r="C46">
        <v>0</v>
      </c>
      <c r="D46">
        <v>152.49</v>
      </c>
      <c r="E46">
        <v>184.83</v>
      </c>
      <c r="F46">
        <v>202.16</v>
      </c>
      <c r="G46">
        <v>0</v>
      </c>
      <c r="H46">
        <v>0</v>
      </c>
      <c r="I46">
        <v>0</v>
      </c>
      <c r="J46">
        <v>0</v>
      </c>
      <c r="K46" t="s">
        <v>16</v>
      </c>
    </row>
    <row r="47" spans="1:11" x14ac:dyDescent="0.25">
      <c r="A47" t="s">
        <v>37</v>
      </c>
      <c r="B47" t="s">
        <v>333</v>
      </c>
      <c r="C47">
        <v>0</v>
      </c>
      <c r="D47">
        <v>98.4</v>
      </c>
      <c r="E47">
        <v>123</v>
      </c>
      <c r="F47">
        <v>134.18</v>
      </c>
      <c r="G47">
        <v>0</v>
      </c>
      <c r="H47">
        <v>0</v>
      </c>
      <c r="I47">
        <v>0</v>
      </c>
      <c r="J47">
        <v>0</v>
      </c>
      <c r="K47" t="s">
        <v>16</v>
      </c>
    </row>
    <row r="48" spans="1:11" x14ac:dyDescent="0.25">
      <c r="A48" t="s">
        <v>37</v>
      </c>
      <c r="B48" t="s">
        <v>2787</v>
      </c>
      <c r="C48">
        <v>0</v>
      </c>
      <c r="D48">
        <v>81.75</v>
      </c>
      <c r="E48">
        <v>130.80000000000001</v>
      </c>
      <c r="F48">
        <v>136.25</v>
      </c>
      <c r="G48">
        <v>0</v>
      </c>
      <c r="H48">
        <v>0</v>
      </c>
      <c r="I48">
        <v>0</v>
      </c>
      <c r="J48">
        <v>0</v>
      </c>
      <c r="K48" t="s">
        <v>16</v>
      </c>
    </row>
    <row r="49" spans="1:11" x14ac:dyDescent="0.25">
      <c r="A49" t="s">
        <v>37</v>
      </c>
      <c r="B49" t="s">
        <v>432</v>
      </c>
      <c r="C49">
        <v>0</v>
      </c>
      <c r="D49">
        <v>105.45</v>
      </c>
      <c r="E49">
        <v>135.41999999999999</v>
      </c>
      <c r="F49">
        <v>150.96</v>
      </c>
      <c r="G49">
        <v>0</v>
      </c>
      <c r="H49">
        <v>0</v>
      </c>
      <c r="I49">
        <v>0</v>
      </c>
      <c r="J49">
        <v>0</v>
      </c>
      <c r="K49" t="s">
        <v>16</v>
      </c>
    </row>
    <row r="50" spans="1:11" x14ac:dyDescent="0.25">
      <c r="A50" t="s">
        <v>37</v>
      </c>
      <c r="B50" t="s">
        <v>459</v>
      </c>
      <c r="C50">
        <v>0</v>
      </c>
      <c r="D50">
        <v>226</v>
      </c>
      <c r="E50">
        <v>310.75</v>
      </c>
      <c r="F50">
        <v>333.35</v>
      </c>
      <c r="G50">
        <v>0</v>
      </c>
      <c r="H50">
        <v>0</v>
      </c>
      <c r="I50">
        <v>0</v>
      </c>
      <c r="J50">
        <v>0</v>
      </c>
      <c r="K50" t="s">
        <v>16</v>
      </c>
    </row>
    <row r="51" spans="1:11" x14ac:dyDescent="0.25">
      <c r="A51" t="s">
        <v>37</v>
      </c>
      <c r="B51" t="s">
        <v>477</v>
      </c>
      <c r="C51">
        <v>0</v>
      </c>
      <c r="D51">
        <v>189.84</v>
      </c>
      <c r="E51">
        <v>226</v>
      </c>
      <c r="F51">
        <v>248.6</v>
      </c>
      <c r="G51">
        <v>0</v>
      </c>
      <c r="H51">
        <v>0</v>
      </c>
      <c r="I51">
        <v>0</v>
      </c>
      <c r="J51">
        <v>0</v>
      </c>
      <c r="K51" t="s">
        <v>16</v>
      </c>
    </row>
    <row r="52" spans="1:11" x14ac:dyDescent="0.25">
      <c r="A52" t="s">
        <v>37</v>
      </c>
      <c r="B52" t="s">
        <v>522</v>
      </c>
      <c r="C52">
        <v>0</v>
      </c>
      <c r="D52">
        <v>138.75</v>
      </c>
      <c r="E52">
        <v>183.15</v>
      </c>
      <c r="F52">
        <v>188.7</v>
      </c>
      <c r="G52">
        <v>0</v>
      </c>
      <c r="H52">
        <v>0</v>
      </c>
      <c r="I52">
        <v>0</v>
      </c>
      <c r="J52">
        <v>0</v>
      </c>
      <c r="K52" t="s">
        <v>16</v>
      </c>
    </row>
    <row r="53" spans="1:11" x14ac:dyDescent="0.25">
      <c r="A53" t="s">
        <v>37</v>
      </c>
      <c r="B53" t="s">
        <v>558</v>
      </c>
      <c r="C53">
        <v>0</v>
      </c>
      <c r="D53">
        <v>201.6</v>
      </c>
      <c r="E53">
        <v>229.6</v>
      </c>
      <c r="F53">
        <v>240.8</v>
      </c>
      <c r="G53">
        <v>0</v>
      </c>
      <c r="H53">
        <v>0</v>
      </c>
      <c r="I53">
        <v>0</v>
      </c>
      <c r="J53">
        <v>0</v>
      </c>
      <c r="K53" t="s">
        <v>16</v>
      </c>
    </row>
    <row r="54" spans="1:11" x14ac:dyDescent="0.25">
      <c r="A54" t="s">
        <v>37</v>
      </c>
      <c r="B54" t="s">
        <v>567</v>
      </c>
      <c r="C54">
        <v>0</v>
      </c>
      <c r="D54">
        <v>115.5</v>
      </c>
      <c r="E54">
        <v>137.5</v>
      </c>
      <c r="F54">
        <v>148.5</v>
      </c>
      <c r="G54">
        <v>0</v>
      </c>
      <c r="H54">
        <v>0</v>
      </c>
      <c r="I54">
        <v>0</v>
      </c>
      <c r="J54">
        <v>0</v>
      </c>
      <c r="K54" t="s">
        <v>16</v>
      </c>
    </row>
    <row r="55" spans="1:11" x14ac:dyDescent="0.25">
      <c r="A55" t="s">
        <v>37</v>
      </c>
      <c r="B55" t="s">
        <v>603</v>
      </c>
      <c r="C55">
        <v>0</v>
      </c>
      <c r="D55">
        <v>156.80000000000001</v>
      </c>
      <c r="E55">
        <v>201.6</v>
      </c>
      <c r="F55">
        <v>215.04</v>
      </c>
      <c r="G55">
        <v>0</v>
      </c>
      <c r="H55">
        <v>0</v>
      </c>
      <c r="I55">
        <v>0</v>
      </c>
      <c r="J55">
        <v>0</v>
      </c>
      <c r="K55" t="s">
        <v>16</v>
      </c>
    </row>
    <row r="56" spans="1:11" x14ac:dyDescent="0.25">
      <c r="A56" t="s">
        <v>37</v>
      </c>
      <c r="B56" t="s">
        <v>612</v>
      </c>
      <c r="C56">
        <v>0</v>
      </c>
      <c r="D56">
        <v>115.5</v>
      </c>
      <c r="E56">
        <v>137.5</v>
      </c>
      <c r="F56">
        <v>148.5</v>
      </c>
      <c r="G56">
        <v>0</v>
      </c>
      <c r="H56">
        <v>0</v>
      </c>
      <c r="I56">
        <v>0</v>
      </c>
      <c r="J56">
        <v>0</v>
      </c>
      <c r="K56" t="s">
        <v>16</v>
      </c>
    </row>
    <row r="57" spans="1:11" x14ac:dyDescent="0.25">
      <c r="A57" t="s">
        <v>37</v>
      </c>
      <c r="B57" t="s">
        <v>630</v>
      </c>
      <c r="C57">
        <v>0</v>
      </c>
      <c r="D57">
        <v>179.68</v>
      </c>
      <c r="E57">
        <v>211.12</v>
      </c>
      <c r="F57">
        <v>224.6</v>
      </c>
      <c r="G57">
        <v>0</v>
      </c>
      <c r="H57">
        <v>0</v>
      </c>
      <c r="I57">
        <v>0</v>
      </c>
      <c r="J57">
        <v>0</v>
      </c>
      <c r="K57" t="s">
        <v>16</v>
      </c>
    </row>
    <row r="58" spans="1:11" x14ac:dyDescent="0.25">
      <c r="A58" t="s">
        <v>37</v>
      </c>
      <c r="B58" t="s">
        <v>675</v>
      </c>
      <c r="C58">
        <v>0</v>
      </c>
      <c r="D58">
        <v>126.5</v>
      </c>
      <c r="E58">
        <v>170.5</v>
      </c>
      <c r="F58">
        <v>187</v>
      </c>
      <c r="G58">
        <v>0</v>
      </c>
      <c r="H58">
        <v>0</v>
      </c>
      <c r="I58">
        <v>0</v>
      </c>
      <c r="J58">
        <v>0</v>
      </c>
      <c r="K58" t="s">
        <v>16</v>
      </c>
    </row>
    <row r="59" spans="1:11" x14ac:dyDescent="0.25">
      <c r="A59" t="s">
        <v>37</v>
      </c>
      <c r="B59" t="s">
        <v>729</v>
      </c>
      <c r="C59">
        <v>0</v>
      </c>
      <c r="D59">
        <v>165.3</v>
      </c>
      <c r="E59">
        <v>212.04</v>
      </c>
      <c r="F59">
        <v>216.6</v>
      </c>
      <c r="G59">
        <v>0</v>
      </c>
      <c r="H59">
        <v>0</v>
      </c>
      <c r="I59">
        <v>0</v>
      </c>
      <c r="J59">
        <v>0</v>
      </c>
      <c r="K59" t="s">
        <v>16</v>
      </c>
    </row>
    <row r="60" spans="1:11" x14ac:dyDescent="0.25">
      <c r="A60" t="s">
        <v>37</v>
      </c>
      <c r="B60" t="s">
        <v>738</v>
      </c>
      <c r="C60">
        <v>0</v>
      </c>
      <c r="D60">
        <v>155.25</v>
      </c>
      <c r="E60">
        <v>212.75</v>
      </c>
      <c r="F60">
        <v>230</v>
      </c>
      <c r="G60">
        <v>0</v>
      </c>
      <c r="H60">
        <v>0</v>
      </c>
      <c r="I60">
        <v>0</v>
      </c>
      <c r="J60">
        <v>0</v>
      </c>
      <c r="K60" t="s">
        <v>16</v>
      </c>
    </row>
    <row r="61" spans="1:11" x14ac:dyDescent="0.25">
      <c r="A61" t="s">
        <v>37</v>
      </c>
      <c r="B61" t="s">
        <v>747</v>
      </c>
      <c r="C61">
        <v>0</v>
      </c>
      <c r="D61">
        <v>188.1</v>
      </c>
      <c r="E61">
        <v>214.32</v>
      </c>
      <c r="F61">
        <v>256.5</v>
      </c>
      <c r="G61">
        <v>0</v>
      </c>
      <c r="H61">
        <v>0</v>
      </c>
      <c r="I61">
        <v>0</v>
      </c>
      <c r="J61">
        <v>0</v>
      </c>
      <c r="K61" t="s">
        <v>16</v>
      </c>
    </row>
    <row r="62" spans="1:11" x14ac:dyDescent="0.25">
      <c r="A62" t="s">
        <v>37</v>
      </c>
      <c r="B62" t="s">
        <v>783</v>
      </c>
      <c r="C62">
        <v>0</v>
      </c>
      <c r="D62">
        <v>188.1</v>
      </c>
      <c r="E62">
        <v>238.26</v>
      </c>
      <c r="F62">
        <v>250.8</v>
      </c>
      <c r="G62">
        <v>0</v>
      </c>
      <c r="H62">
        <v>0</v>
      </c>
      <c r="I62">
        <v>0</v>
      </c>
      <c r="J62">
        <v>0</v>
      </c>
      <c r="K62" t="s">
        <v>16</v>
      </c>
    </row>
    <row r="63" spans="1:11" x14ac:dyDescent="0.25">
      <c r="A63" t="s">
        <v>37</v>
      </c>
      <c r="B63" t="s">
        <v>801</v>
      </c>
      <c r="C63">
        <v>0</v>
      </c>
      <c r="D63">
        <v>188.1</v>
      </c>
      <c r="E63">
        <v>245.1</v>
      </c>
      <c r="F63">
        <v>262.2</v>
      </c>
      <c r="G63">
        <v>0</v>
      </c>
      <c r="H63">
        <v>0</v>
      </c>
      <c r="I63">
        <v>0</v>
      </c>
      <c r="J63">
        <v>0</v>
      </c>
      <c r="K63" t="s">
        <v>16</v>
      </c>
    </row>
    <row r="64" spans="1:11" x14ac:dyDescent="0.25">
      <c r="A64" t="s">
        <v>37</v>
      </c>
      <c r="B64" t="s">
        <v>810</v>
      </c>
      <c r="C64">
        <v>0</v>
      </c>
      <c r="D64">
        <v>173.6</v>
      </c>
      <c r="E64">
        <v>224</v>
      </c>
      <c r="F64">
        <v>235.2</v>
      </c>
      <c r="G64">
        <v>0</v>
      </c>
      <c r="H64">
        <v>0</v>
      </c>
      <c r="I64">
        <v>0</v>
      </c>
      <c r="J64">
        <v>0</v>
      </c>
      <c r="K64" t="s">
        <v>16</v>
      </c>
    </row>
    <row r="65" spans="1:11" x14ac:dyDescent="0.25">
      <c r="A65" t="s">
        <v>37</v>
      </c>
      <c r="B65" t="s">
        <v>846</v>
      </c>
      <c r="C65">
        <v>0</v>
      </c>
      <c r="D65">
        <v>104.5</v>
      </c>
      <c r="E65">
        <v>138.6</v>
      </c>
      <c r="F65">
        <v>143</v>
      </c>
      <c r="G65">
        <v>0</v>
      </c>
      <c r="H65">
        <v>0</v>
      </c>
      <c r="I65">
        <v>0</v>
      </c>
      <c r="J65">
        <v>0</v>
      </c>
      <c r="K65" t="s">
        <v>16</v>
      </c>
    </row>
    <row r="66" spans="1:11" x14ac:dyDescent="0.25">
      <c r="A66" t="s">
        <v>37</v>
      </c>
      <c r="B66" t="s">
        <v>909</v>
      </c>
      <c r="C66">
        <v>0</v>
      </c>
      <c r="D66">
        <v>93.5</v>
      </c>
      <c r="E66">
        <v>96.8</v>
      </c>
      <c r="F66">
        <v>99</v>
      </c>
      <c r="G66">
        <v>0</v>
      </c>
      <c r="H66">
        <v>0</v>
      </c>
      <c r="I66">
        <v>0</v>
      </c>
      <c r="J66">
        <v>0</v>
      </c>
      <c r="K66" t="s">
        <v>16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A82FE-2E7A-4143-BAB2-D293B904151F}">
  <sheetPr>
    <tabColor theme="8"/>
  </sheetPr>
  <dimension ref="A1:J66"/>
  <sheetViews>
    <sheetView workbookViewId="0">
      <selection activeCell="D40" sqref="D40"/>
    </sheetView>
  </sheetViews>
  <sheetFormatPr baseColWidth="10" defaultColWidth="11.42578125" defaultRowHeight="15" x14ac:dyDescent="0.25"/>
  <cols>
    <col min="5" max="5" width="15.85546875" customWidth="1"/>
  </cols>
  <sheetData>
    <row r="1" spans="1:10" x14ac:dyDescent="0.25">
      <c r="A1" s="3" t="s">
        <v>1</v>
      </c>
      <c r="B1" s="3" t="s">
        <v>2</v>
      </c>
      <c r="C1" s="4" t="s">
        <v>21</v>
      </c>
      <c r="D1" s="4" t="s">
        <v>29</v>
      </c>
      <c r="E1" s="4" t="s">
        <v>31</v>
      </c>
      <c r="F1" s="4" t="s">
        <v>33</v>
      </c>
      <c r="G1" s="4" t="s">
        <v>23</v>
      </c>
      <c r="H1" s="4" t="s">
        <v>25</v>
      </c>
      <c r="I1" s="4" t="s">
        <v>27</v>
      </c>
      <c r="J1" s="4" t="s">
        <v>35</v>
      </c>
    </row>
    <row r="2" spans="1:10" x14ac:dyDescent="0.25">
      <c r="A2" t="s">
        <v>333</v>
      </c>
      <c r="B2" t="s">
        <v>56</v>
      </c>
      <c r="C2" s="1">
        <v>0</v>
      </c>
      <c r="D2" s="1">
        <v>153.75800000000001</v>
      </c>
      <c r="E2" s="1">
        <v>206.63500000000002</v>
      </c>
      <c r="F2" s="1">
        <v>224.87300000000002</v>
      </c>
      <c r="G2" s="1">
        <v>0</v>
      </c>
      <c r="H2" s="1">
        <v>0</v>
      </c>
      <c r="I2" s="1">
        <v>0</v>
      </c>
      <c r="J2" s="1">
        <v>0</v>
      </c>
    </row>
    <row r="3" spans="1:10" x14ac:dyDescent="0.25">
      <c r="A3" t="s">
        <v>333</v>
      </c>
      <c r="B3" t="s">
        <v>82</v>
      </c>
      <c r="C3" s="1">
        <v>0</v>
      </c>
      <c r="D3" s="1">
        <v>151.94300000000001</v>
      </c>
      <c r="E3" s="1">
        <v>194.48000000000002</v>
      </c>
      <c r="F3" s="1">
        <v>218.79000000000002</v>
      </c>
      <c r="G3" s="1">
        <v>0</v>
      </c>
      <c r="H3" s="1">
        <v>0</v>
      </c>
      <c r="I3" s="1">
        <v>0</v>
      </c>
      <c r="J3" s="1">
        <v>0</v>
      </c>
    </row>
    <row r="4" spans="1:10" x14ac:dyDescent="0.25">
      <c r="A4" t="s">
        <v>333</v>
      </c>
      <c r="B4" t="s">
        <v>91</v>
      </c>
      <c r="C4" s="1">
        <v>0</v>
      </c>
      <c r="D4" s="1">
        <v>187.429</v>
      </c>
      <c r="E4" s="1">
        <v>213.67500000000001</v>
      </c>
      <c r="F4" s="1">
        <v>231.99000000000004</v>
      </c>
      <c r="G4" s="1">
        <v>0</v>
      </c>
      <c r="H4" s="1">
        <v>0</v>
      </c>
      <c r="I4" s="1">
        <v>0</v>
      </c>
      <c r="J4" s="1">
        <v>0</v>
      </c>
    </row>
    <row r="5" spans="1:10" x14ac:dyDescent="0.25">
      <c r="A5" t="s">
        <v>333</v>
      </c>
      <c r="B5" t="s">
        <v>118</v>
      </c>
      <c r="C5" s="1">
        <v>0</v>
      </c>
      <c r="D5" s="1">
        <v>270.86400000000003</v>
      </c>
      <c r="E5" s="1">
        <v>326.04000000000002</v>
      </c>
      <c r="F5" s="1">
        <v>351.12</v>
      </c>
      <c r="G5" s="1">
        <v>0</v>
      </c>
      <c r="H5" s="1">
        <v>0</v>
      </c>
      <c r="I5" s="1">
        <v>0</v>
      </c>
      <c r="J5" s="1">
        <v>0</v>
      </c>
    </row>
    <row r="6" spans="1:10" x14ac:dyDescent="0.25">
      <c r="A6" t="s">
        <v>333</v>
      </c>
      <c r="B6" t="s">
        <v>181</v>
      </c>
      <c r="C6" s="1">
        <v>0</v>
      </c>
      <c r="D6" s="1">
        <v>154.88000000000002</v>
      </c>
      <c r="E6" s="1">
        <v>181.50000000000003</v>
      </c>
      <c r="F6" s="1">
        <v>187.55</v>
      </c>
      <c r="G6" s="1">
        <v>0</v>
      </c>
      <c r="H6" s="1">
        <v>0</v>
      </c>
      <c r="I6" s="1">
        <v>0</v>
      </c>
      <c r="J6" s="1">
        <v>0</v>
      </c>
    </row>
    <row r="7" spans="1:10" x14ac:dyDescent="0.25">
      <c r="A7" t="s">
        <v>333</v>
      </c>
      <c r="B7" t="s">
        <v>190</v>
      </c>
      <c r="C7" s="1">
        <v>0</v>
      </c>
      <c r="D7" s="1">
        <v>127.05000000000001</v>
      </c>
      <c r="E7" s="1">
        <v>187.55</v>
      </c>
      <c r="F7" s="1">
        <v>193.60000000000002</v>
      </c>
      <c r="G7" s="1">
        <v>0</v>
      </c>
      <c r="H7" s="1">
        <v>0</v>
      </c>
      <c r="I7" s="1">
        <v>0</v>
      </c>
      <c r="J7" s="1">
        <v>0</v>
      </c>
    </row>
    <row r="8" spans="1:10" x14ac:dyDescent="0.25">
      <c r="A8" t="s">
        <v>333</v>
      </c>
      <c r="B8" t="s">
        <v>208</v>
      </c>
      <c r="C8" s="1">
        <v>0</v>
      </c>
      <c r="D8" s="1">
        <v>101.91500000000002</v>
      </c>
      <c r="E8" s="1">
        <v>119.9</v>
      </c>
      <c r="F8" s="1">
        <v>125.89500000000001</v>
      </c>
      <c r="G8" s="1">
        <v>0</v>
      </c>
      <c r="H8" s="1">
        <v>0</v>
      </c>
      <c r="I8" s="1">
        <v>0</v>
      </c>
      <c r="J8" s="1">
        <v>0</v>
      </c>
    </row>
    <row r="9" spans="1:10" x14ac:dyDescent="0.25">
      <c r="A9" t="s">
        <v>333</v>
      </c>
      <c r="B9" t="s">
        <v>217</v>
      </c>
      <c r="C9" s="1">
        <v>0</v>
      </c>
      <c r="D9" s="1">
        <v>185.03100000000003</v>
      </c>
      <c r="E9" s="1">
        <v>240.53700000000001</v>
      </c>
      <c r="F9" s="1">
        <v>265.21000000000004</v>
      </c>
      <c r="G9" s="1">
        <v>0</v>
      </c>
      <c r="H9" s="1">
        <v>0</v>
      </c>
      <c r="I9" s="1">
        <v>0</v>
      </c>
      <c r="J9" s="1">
        <v>0</v>
      </c>
    </row>
    <row r="10" spans="1:10" x14ac:dyDescent="0.25">
      <c r="A10" t="s">
        <v>333</v>
      </c>
      <c r="B10" t="s">
        <v>226</v>
      </c>
      <c r="C10" s="1">
        <v>0</v>
      </c>
      <c r="D10" s="1">
        <v>250.20600000000002</v>
      </c>
      <c r="E10" s="1">
        <v>306.50400000000002</v>
      </c>
      <c r="F10" s="1">
        <v>325.27000000000004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25">
      <c r="A11" t="s">
        <v>333</v>
      </c>
      <c r="B11" t="s">
        <v>244</v>
      </c>
      <c r="C11" s="1">
        <v>0</v>
      </c>
      <c r="D11" s="1">
        <v>108.9</v>
      </c>
      <c r="E11" s="1">
        <v>151.25</v>
      </c>
      <c r="F11" s="1">
        <v>181.50000000000003</v>
      </c>
      <c r="G11" s="1">
        <v>0</v>
      </c>
      <c r="H11" s="1">
        <v>0</v>
      </c>
      <c r="I11" s="1">
        <v>0</v>
      </c>
      <c r="J11" s="1">
        <v>0</v>
      </c>
    </row>
    <row r="12" spans="1:10" x14ac:dyDescent="0.25">
      <c r="A12" t="s">
        <v>333</v>
      </c>
      <c r="B12" t="s">
        <v>37</v>
      </c>
      <c r="C12" s="1">
        <v>0</v>
      </c>
      <c r="D12" s="1">
        <v>135.30000000000001</v>
      </c>
      <c r="E12" s="1">
        <v>147.59800000000001</v>
      </c>
      <c r="F12" s="1">
        <v>153.75800000000001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25">
      <c r="A13" t="s">
        <v>333</v>
      </c>
      <c r="B13" t="s">
        <v>279</v>
      </c>
      <c r="C13" s="1">
        <v>0</v>
      </c>
      <c r="D13" s="1">
        <v>159.44499999999999</v>
      </c>
      <c r="E13" s="1">
        <v>190.11300000000003</v>
      </c>
      <c r="F13" s="1">
        <v>208.50500000000002</v>
      </c>
      <c r="G13" s="1">
        <v>0</v>
      </c>
      <c r="H13" s="1">
        <v>0</v>
      </c>
      <c r="I13" s="1">
        <v>0</v>
      </c>
      <c r="J13" s="1">
        <v>0</v>
      </c>
    </row>
    <row r="14" spans="1:10" x14ac:dyDescent="0.25">
      <c r="A14" t="s">
        <v>333</v>
      </c>
      <c r="B14" t="s">
        <v>333</v>
      </c>
      <c r="C14" s="1">
        <v>0</v>
      </c>
      <c r="D14" s="1">
        <v>87.12</v>
      </c>
      <c r="E14" s="1">
        <v>108.9</v>
      </c>
      <c r="F14" s="1">
        <v>121.00000000000001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25">
      <c r="A15" t="s">
        <v>333</v>
      </c>
      <c r="B15" t="s">
        <v>405</v>
      </c>
      <c r="C15" s="1">
        <v>0</v>
      </c>
      <c r="D15" s="1">
        <v>123.75000000000001</v>
      </c>
      <c r="E15" s="1">
        <v>152.21800000000002</v>
      </c>
      <c r="F15" s="1">
        <v>198.00000000000003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25">
      <c r="A16" t="s">
        <v>333</v>
      </c>
      <c r="B16" t="s">
        <v>432</v>
      </c>
      <c r="C16" s="1">
        <v>0</v>
      </c>
      <c r="D16" s="1">
        <v>114.95</v>
      </c>
      <c r="E16" s="1">
        <v>139.15</v>
      </c>
      <c r="F16" s="1">
        <v>151.25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25">
      <c r="A17" t="s">
        <v>333</v>
      </c>
      <c r="B17" t="s">
        <v>459</v>
      </c>
      <c r="C17" s="1">
        <v>0</v>
      </c>
      <c r="D17" s="1">
        <v>217.8</v>
      </c>
      <c r="E17" s="1">
        <v>290.40000000000003</v>
      </c>
      <c r="F17" s="1">
        <v>314.60000000000002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25">
      <c r="A18" t="s">
        <v>333</v>
      </c>
      <c r="B18" t="s">
        <v>477</v>
      </c>
      <c r="C18" s="1">
        <v>0</v>
      </c>
      <c r="D18" s="1">
        <v>157.30000000000001</v>
      </c>
      <c r="E18" s="1">
        <v>223.85000000000002</v>
      </c>
      <c r="F18" s="1">
        <v>239.58000000000004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25">
      <c r="A19" t="s">
        <v>333</v>
      </c>
      <c r="B19" t="s">
        <v>522</v>
      </c>
      <c r="C19" s="1">
        <v>0</v>
      </c>
      <c r="D19" s="1">
        <v>217.52500000000001</v>
      </c>
      <c r="E19" s="1">
        <v>335.61000000000007</v>
      </c>
      <c r="F19" s="1">
        <v>341.82500000000005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25">
      <c r="A20" t="s">
        <v>333</v>
      </c>
      <c r="B20" t="s">
        <v>558</v>
      </c>
      <c r="C20" s="1">
        <v>0</v>
      </c>
      <c r="D20" s="1">
        <v>169.4</v>
      </c>
      <c r="E20" s="1">
        <v>249.26000000000002</v>
      </c>
      <c r="F20" s="1">
        <v>256.52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25">
      <c r="A21" t="s">
        <v>333</v>
      </c>
      <c r="B21" t="s">
        <v>567</v>
      </c>
      <c r="C21" s="1">
        <v>0</v>
      </c>
      <c r="D21" s="1">
        <v>206.976</v>
      </c>
      <c r="E21" s="1">
        <v>264.88000000000005</v>
      </c>
      <c r="F21" s="1">
        <v>271.04000000000002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25">
      <c r="A22" t="s">
        <v>333</v>
      </c>
      <c r="B22" t="s">
        <v>603</v>
      </c>
      <c r="C22" s="1">
        <v>0</v>
      </c>
      <c r="D22" s="1">
        <v>157.30000000000001</v>
      </c>
      <c r="E22" s="1">
        <v>199.65</v>
      </c>
      <c r="F22" s="1">
        <v>211.75000000000003</v>
      </c>
      <c r="G22" s="1">
        <v>0</v>
      </c>
      <c r="H22" s="1">
        <v>0</v>
      </c>
      <c r="I22" s="1">
        <v>0</v>
      </c>
      <c r="J22" s="1">
        <v>0</v>
      </c>
    </row>
    <row r="23" spans="1:10" x14ac:dyDescent="0.25">
      <c r="A23" t="s">
        <v>333</v>
      </c>
      <c r="B23" t="s">
        <v>612</v>
      </c>
      <c r="C23" s="1">
        <v>0</v>
      </c>
      <c r="D23" s="1">
        <v>206.976</v>
      </c>
      <c r="E23" s="1">
        <v>264.88000000000005</v>
      </c>
      <c r="F23" s="1">
        <v>277.20000000000005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25">
      <c r="A24" t="s">
        <v>333</v>
      </c>
      <c r="B24" t="s">
        <v>630</v>
      </c>
      <c r="C24" s="1">
        <v>0</v>
      </c>
      <c r="D24" s="1">
        <v>194.65600000000003</v>
      </c>
      <c r="E24" s="1">
        <v>206.976</v>
      </c>
      <c r="F24" s="1">
        <v>221.76000000000002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25">
      <c r="A25" t="s">
        <v>333</v>
      </c>
      <c r="B25" t="s">
        <v>675</v>
      </c>
      <c r="C25" s="1">
        <v>0</v>
      </c>
      <c r="D25" s="1">
        <v>184.8</v>
      </c>
      <c r="E25" s="1">
        <v>246.40000000000003</v>
      </c>
      <c r="F25" s="1">
        <v>271.04000000000002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25">
      <c r="A26" t="s">
        <v>333</v>
      </c>
      <c r="B26" t="s">
        <v>729</v>
      </c>
      <c r="C26" s="1">
        <v>0</v>
      </c>
      <c r="D26" s="1">
        <v>169.4</v>
      </c>
      <c r="E26" s="1">
        <v>203.28000000000003</v>
      </c>
      <c r="F26" s="1">
        <v>211.75000000000003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25">
      <c r="A27" t="s">
        <v>333</v>
      </c>
      <c r="B27" t="s">
        <v>738</v>
      </c>
      <c r="C27" s="1">
        <v>0</v>
      </c>
      <c r="D27" s="1">
        <v>161.029</v>
      </c>
      <c r="E27" s="1">
        <v>202.82900000000001</v>
      </c>
      <c r="F27" s="1">
        <v>218.81200000000001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25">
      <c r="A28" t="s">
        <v>333</v>
      </c>
      <c r="B28" t="s">
        <v>747</v>
      </c>
      <c r="C28" s="1">
        <v>0</v>
      </c>
      <c r="D28" s="1">
        <v>160.44600000000003</v>
      </c>
      <c r="E28" s="1">
        <v>194.48000000000002</v>
      </c>
      <c r="F28" s="1">
        <v>212.71800000000002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25">
      <c r="A29" t="s">
        <v>333</v>
      </c>
      <c r="B29" t="s">
        <v>783</v>
      </c>
      <c r="C29" s="1">
        <v>0</v>
      </c>
      <c r="D29" s="1">
        <v>160.44600000000003</v>
      </c>
      <c r="E29" s="1">
        <v>209.06600000000003</v>
      </c>
      <c r="F29" s="1">
        <v>224.87300000000002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25">
      <c r="A30" t="s">
        <v>333</v>
      </c>
      <c r="B30" t="s">
        <v>801</v>
      </c>
      <c r="C30" s="1">
        <v>0</v>
      </c>
      <c r="D30" s="1">
        <v>170.94000000000003</v>
      </c>
      <c r="E30" s="1">
        <v>210.012</v>
      </c>
      <c r="F30" s="1">
        <v>225.88500000000002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25">
      <c r="A31" t="s">
        <v>333</v>
      </c>
      <c r="B31" t="s">
        <v>810</v>
      </c>
      <c r="C31" s="1">
        <v>0</v>
      </c>
      <c r="D31" s="1">
        <v>150.304</v>
      </c>
      <c r="E31" s="1">
        <v>166.32</v>
      </c>
      <c r="F31" s="1">
        <v>184.8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25">
      <c r="A32" t="s">
        <v>333</v>
      </c>
      <c r="B32" t="s">
        <v>846</v>
      </c>
      <c r="C32" s="1">
        <v>0</v>
      </c>
      <c r="D32" s="1">
        <v>206.976</v>
      </c>
      <c r="E32" s="1">
        <v>221.76000000000002</v>
      </c>
      <c r="F32" s="1">
        <v>246.40000000000003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25">
      <c r="A33" t="s">
        <v>333</v>
      </c>
      <c r="B33" t="s">
        <v>909</v>
      </c>
      <c r="C33" s="1">
        <v>0</v>
      </c>
      <c r="D33" s="1">
        <v>133.10000000000002</v>
      </c>
      <c r="E33" s="1">
        <v>169.4</v>
      </c>
      <c r="F33" s="1">
        <v>179.08000000000004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25">
      <c r="A34" t="s">
        <v>37</v>
      </c>
      <c r="B34" t="s">
        <v>56</v>
      </c>
      <c r="C34" s="1">
        <v>0</v>
      </c>
      <c r="D34" s="1">
        <v>207.38300000000001</v>
      </c>
      <c r="E34" s="1">
        <v>235.36700000000002</v>
      </c>
      <c r="F34" s="1">
        <v>254.45200000000003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25">
      <c r="A35" t="s">
        <v>37</v>
      </c>
      <c r="B35" t="s">
        <v>82</v>
      </c>
      <c r="C35" s="1">
        <v>0</v>
      </c>
      <c r="D35" s="1">
        <v>160.303</v>
      </c>
      <c r="E35" s="1">
        <v>207.38300000000001</v>
      </c>
      <c r="F35" s="1">
        <v>236.643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25">
      <c r="A36" t="s">
        <v>37</v>
      </c>
      <c r="B36" t="s">
        <v>91</v>
      </c>
      <c r="C36" s="1">
        <v>0</v>
      </c>
      <c r="D36" s="1">
        <v>198.13200000000003</v>
      </c>
      <c r="E36" s="1">
        <v>225.72</v>
      </c>
      <c r="F36" s="1">
        <v>238.26000000000002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25">
      <c r="A37" t="s">
        <v>37</v>
      </c>
      <c r="B37" t="s">
        <v>118</v>
      </c>
      <c r="C37" s="1">
        <v>0</v>
      </c>
      <c r="D37" s="1">
        <v>161.93100000000001</v>
      </c>
      <c r="E37" s="1">
        <v>214.67600000000002</v>
      </c>
      <c r="F37" s="1">
        <v>245.34400000000002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25">
      <c r="A38" t="s">
        <v>37</v>
      </c>
      <c r="B38" t="s">
        <v>181</v>
      </c>
      <c r="C38" s="1">
        <v>0</v>
      </c>
      <c r="D38" s="1">
        <v>162.77799999999999</v>
      </c>
      <c r="E38" s="1">
        <v>194.084</v>
      </c>
      <c r="F38" s="1">
        <v>212.86100000000002</v>
      </c>
      <c r="G38" s="1">
        <v>0</v>
      </c>
      <c r="H38" s="1">
        <v>0</v>
      </c>
      <c r="I38" s="1">
        <v>0</v>
      </c>
      <c r="J38" s="1">
        <v>0</v>
      </c>
    </row>
    <row r="39" spans="1:10" x14ac:dyDescent="0.25">
      <c r="A39" t="s">
        <v>37</v>
      </c>
      <c r="B39" t="s">
        <v>190</v>
      </c>
      <c r="C39" s="1">
        <v>0</v>
      </c>
      <c r="D39" s="1">
        <v>203.31300000000002</v>
      </c>
      <c r="E39" s="1">
        <v>217.20600000000002</v>
      </c>
      <c r="F39" s="1">
        <v>237.40200000000002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25">
      <c r="A40" t="s">
        <v>37</v>
      </c>
      <c r="B40" t="s">
        <v>208</v>
      </c>
      <c r="C40" s="1">
        <v>0</v>
      </c>
      <c r="D40" s="1">
        <v>108.41600000000001</v>
      </c>
      <c r="E40" s="1">
        <v>135.52000000000001</v>
      </c>
      <c r="F40" s="1">
        <v>141.68000000000004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25">
      <c r="A41" t="s">
        <v>37</v>
      </c>
      <c r="B41" t="s">
        <v>217</v>
      </c>
      <c r="C41" s="1">
        <v>0</v>
      </c>
      <c r="D41" s="1">
        <v>145.20000000000002</v>
      </c>
      <c r="E41" s="1">
        <v>181.50000000000003</v>
      </c>
      <c r="F41" s="1">
        <v>193.60000000000002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25">
      <c r="A42" t="s">
        <v>37</v>
      </c>
      <c r="B42" t="s">
        <v>226</v>
      </c>
      <c r="C42" s="1">
        <v>0</v>
      </c>
      <c r="D42" s="1">
        <v>210.28700000000001</v>
      </c>
      <c r="E42" s="1">
        <v>267.41000000000003</v>
      </c>
      <c r="F42" s="1">
        <v>285.64800000000002</v>
      </c>
      <c r="G42" s="1">
        <v>0</v>
      </c>
      <c r="H42" s="1">
        <v>0</v>
      </c>
      <c r="I42" s="1">
        <v>0</v>
      </c>
      <c r="J42" s="1">
        <v>0</v>
      </c>
    </row>
    <row r="43" spans="1:10" x14ac:dyDescent="0.25">
      <c r="A43" t="s">
        <v>37</v>
      </c>
      <c r="B43" t="s">
        <v>244</v>
      </c>
      <c r="C43" s="1">
        <v>0</v>
      </c>
      <c r="D43" s="1">
        <v>123.959</v>
      </c>
      <c r="E43" s="1">
        <v>161.15</v>
      </c>
      <c r="F43" s="1">
        <v>193.38000000000002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25">
      <c r="A44" t="s">
        <v>37</v>
      </c>
      <c r="B44" t="s">
        <v>253</v>
      </c>
      <c r="C44" s="1">
        <v>0</v>
      </c>
      <c r="D44" s="1">
        <v>140.41500000000002</v>
      </c>
      <c r="E44" s="1">
        <v>152.625</v>
      </c>
      <c r="F44" s="1">
        <v>164.83500000000001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25">
      <c r="A45" t="s">
        <v>37</v>
      </c>
      <c r="B45" t="s">
        <v>37</v>
      </c>
      <c r="C45" s="1">
        <v>0</v>
      </c>
      <c r="D45" s="1">
        <v>71.940000000000012</v>
      </c>
      <c r="E45" s="1">
        <v>77.935000000000002</v>
      </c>
      <c r="F45" s="1">
        <v>83.93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25">
      <c r="A46" t="s">
        <v>37</v>
      </c>
      <c r="B46" t="s">
        <v>279</v>
      </c>
      <c r="C46" s="1">
        <v>0</v>
      </c>
      <c r="D46" s="1">
        <v>167.73900000000003</v>
      </c>
      <c r="E46" s="1">
        <v>203.31300000000002</v>
      </c>
      <c r="F46" s="1">
        <v>222.376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25">
      <c r="A47" t="s">
        <v>37</v>
      </c>
      <c r="B47" t="s">
        <v>333</v>
      </c>
      <c r="C47" s="1">
        <v>0</v>
      </c>
      <c r="D47" s="1">
        <v>108.24000000000001</v>
      </c>
      <c r="E47" s="1">
        <v>135.30000000000001</v>
      </c>
      <c r="F47" s="1">
        <v>147.59800000000001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25">
      <c r="A48" t="s">
        <v>37</v>
      </c>
      <c r="B48" t="s">
        <v>405</v>
      </c>
      <c r="C48" s="1">
        <v>0</v>
      </c>
      <c r="D48" s="1">
        <v>89.925000000000011</v>
      </c>
      <c r="E48" s="1">
        <v>143.88000000000002</v>
      </c>
      <c r="F48" s="1">
        <v>149.875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25">
      <c r="A49" t="s">
        <v>37</v>
      </c>
      <c r="B49" t="s">
        <v>432</v>
      </c>
      <c r="C49" s="1">
        <v>0</v>
      </c>
      <c r="D49" s="1">
        <v>115.99500000000002</v>
      </c>
      <c r="E49" s="1">
        <v>148.96199999999999</v>
      </c>
      <c r="F49" s="1">
        <v>166.05600000000001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25">
      <c r="A50" t="s">
        <v>37</v>
      </c>
      <c r="B50" t="s">
        <v>459</v>
      </c>
      <c r="C50" s="1">
        <v>0</v>
      </c>
      <c r="D50" s="1">
        <v>248.60000000000002</v>
      </c>
      <c r="E50" s="1">
        <v>341.82500000000005</v>
      </c>
      <c r="F50" s="1">
        <v>366.68500000000006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25">
      <c r="A51" t="s">
        <v>37</v>
      </c>
      <c r="B51" t="s">
        <v>477</v>
      </c>
      <c r="C51" s="1">
        <v>0</v>
      </c>
      <c r="D51" s="1">
        <v>208.82400000000001</v>
      </c>
      <c r="E51" s="1">
        <v>248.60000000000002</v>
      </c>
      <c r="F51" s="1">
        <v>273.46000000000004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25">
      <c r="A52" t="s">
        <v>37</v>
      </c>
      <c r="B52" t="s">
        <v>522</v>
      </c>
      <c r="C52" s="1">
        <v>0</v>
      </c>
      <c r="D52" s="1">
        <v>152.625</v>
      </c>
      <c r="E52" s="1">
        <v>201.46500000000003</v>
      </c>
      <c r="F52" s="1">
        <v>207.57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25">
      <c r="A53" t="s">
        <v>37</v>
      </c>
      <c r="B53" t="s">
        <v>558</v>
      </c>
      <c r="C53" s="1">
        <v>0</v>
      </c>
      <c r="D53" s="1">
        <v>221.76000000000002</v>
      </c>
      <c r="E53" s="1">
        <v>252.56</v>
      </c>
      <c r="F53" s="1">
        <v>264.88000000000005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25">
      <c r="A54" t="s">
        <v>37</v>
      </c>
      <c r="B54" t="s">
        <v>567</v>
      </c>
      <c r="C54" s="1">
        <v>0</v>
      </c>
      <c r="D54" s="1">
        <v>127.05000000000001</v>
      </c>
      <c r="E54" s="1">
        <v>151.25</v>
      </c>
      <c r="F54" s="1">
        <v>163.35000000000002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25">
      <c r="A55" t="s">
        <v>37</v>
      </c>
      <c r="B55" t="s">
        <v>603</v>
      </c>
      <c r="C55" s="1">
        <v>0</v>
      </c>
      <c r="D55" s="1">
        <v>172.48000000000002</v>
      </c>
      <c r="E55" s="1">
        <v>221.76000000000002</v>
      </c>
      <c r="F55" s="1">
        <v>236.54400000000001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25">
      <c r="A56" t="s">
        <v>37</v>
      </c>
      <c r="B56" t="s">
        <v>612</v>
      </c>
      <c r="C56" s="1">
        <v>0</v>
      </c>
      <c r="D56" s="1">
        <v>127.05000000000001</v>
      </c>
      <c r="E56" s="1">
        <v>151.25</v>
      </c>
      <c r="F56" s="1">
        <v>163.35000000000002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25">
      <c r="A57" t="s">
        <v>37</v>
      </c>
      <c r="B57" t="s">
        <v>630</v>
      </c>
      <c r="C57" s="1">
        <v>0</v>
      </c>
      <c r="D57" s="1">
        <v>197.64800000000002</v>
      </c>
      <c r="E57" s="1">
        <v>232.23200000000003</v>
      </c>
      <c r="F57" s="1">
        <v>247.06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25">
      <c r="A58" t="s">
        <v>37</v>
      </c>
      <c r="B58" t="s">
        <v>675</v>
      </c>
      <c r="C58" s="1">
        <v>0</v>
      </c>
      <c r="D58" s="1">
        <v>139.15</v>
      </c>
      <c r="E58" s="1">
        <v>187.55</v>
      </c>
      <c r="F58" s="1">
        <v>205.70000000000002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25">
      <c r="A59" t="s">
        <v>37</v>
      </c>
      <c r="B59" t="s">
        <v>729</v>
      </c>
      <c r="C59" s="1">
        <v>0</v>
      </c>
      <c r="D59" s="1">
        <v>181.83000000000004</v>
      </c>
      <c r="E59" s="1">
        <v>233.244</v>
      </c>
      <c r="F59" s="1">
        <v>238.26000000000002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25">
      <c r="A60" t="s">
        <v>37</v>
      </c>
      <c r="B60" t="s">
        <v>738</v>
      </c>
      <c r="C60" s="1">
        <v>0</v>
      </c>
      <c r="D60" s="1">
        <v>170.77500000000001</v>
      </c>
      <c r="E60" s="1">
        <v>234.02500000000001</v>
      </c>
      <c r="F60" s="1">
        <v>253.00000000000003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25">
      <c r="A61" t="s">
        <v>37</v>
      </c>
      <c r="B61" t="s">
        <v>747</v>
      </c>
      <c r="C61" s="1">
        <v>0</v>
      </c>
      <c r="D61" s="1">
        <v>206.91</v>
      </c>
      <c r="E61" s="1">
        <v>235.75200000000001</v>
      </c>
      <c r="F61" s="1">
        <v>282.15000000000003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25">
      <c r="A62" t="s">
        <v>37</v>
      </c>
      <c r="B62" t="s">
        <v>783</v>
      </c>
      <c r="C62" s="1">
        <v>0</v>
      </c>
      <c r="D62" s="1">
        <v>206.91</v>
      </c>
      <c r="E62" s="1">
        <v>262.08600000000001</v>
      </c>
      <c r="F62" s="1">
        <v>275.88000000000005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25">
      <c r="A63" t="s">
        <v>37</v>
      </c>
      <c r="B63" t="s">
        <v>801</v>
      </c>
      <c r="C63" s="1">
        <v>0</v>
      </c>
      <c r="D63" s="1">
        <v>206.91</v>
      </c>
      <c r="E63" s="1">
        <v>269.61</v>
      </c>
      <c r="F63" s="1">
        <v>288.42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25">
      <c r="A64" t="s">
        <v>37</v>
      </c>
      <c r="B64" t="s">
        <v>810</v>
      </c>
      <c r="C64" s="1">
        <v>0</v>
      </c>
      <c r="D64" s="1">
        <v>190.96</v>
      </c>
      <c r="E64" s="1">
        <v>246.40000000000003</v>
      </c>
      <c r="F64" s="1">
        <v>258.72000000000003</v>
      </c>
      <c r="G64" s="1">
        <v>0</v>
      </c>
      <c r="H64" s="1">
        <v>0</v>
      </c>
      <c r="I64" s="1">
        <v>0</v>
      </c>
      <c r="J64" s="1">
        <v>0</v>
      </c>
    </row>
    <row r="65" spans="1:10" x14ac:dyDescent="0.25">
      <c r="A65" t="s">
        <v>37</v>
      </c>
      <c r="B65" t="s">
        <v>846</v>
      </c>
      <c r="C65" s="1">
        <v>0</v>
      </c>
      <c r="D65" s="1">
        <v>114.95</v>
      </c>
      <c r="E65" s="1">
        <v>152.46</v>
      </c>
      <c r="F65" s="1">
        <v>157.30000000000001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25">
      <c r="A66" t="s">
        <v>37</v>
      </c>
      <c r="B66" t="s">
        <v>909</v>
      </c>
      <c r="C66" s="1">
        <v>0</v>
      </c>
      <c r="D66" s="1">
        <v>102.85000000000001</v>
      </c>
      <c r="E66" s="1">
        <v>106.48</v>
      </c>
      <c r="F66" s="1">
        <v>108.9</v>
      </c>
      <c r="G66" s="1">
        <v>0</v>
      </c>
      <c r="H66" s="1">
        <v>0</v>
      </c>
      <c r="I66" s="1">
        <v>0</v>
      </c>
      <c r="J66" s="1">
        <v>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BAB7D-19A9-4E84-A68A-229C91B7964D}">
  <sheetPr>
    <tabColor theme="8"/>
  </sheetPr>
  <dimension ref="A1:K121"/>
  <sheetViews>
    <sheetView topLeftCell="A74" workbookViewId="0">
      <selection activeCell="B26" sqref="B26"/>
    </sheetView>
  </sheetViews>
  <sheetFormatPr baseColWidth="10" defaultColWidth="11.42578125" defaultRowHeight="15" x14ac:dyDescent="0.25"/>
  <cols>
    <col min="1" max="1" width="10.5703125" bestFit="1" customWidth="1"/>
    <col min="2" max="2" width="18.85546875" bestFit="1" customWidth="1"/>
    <col min="3" max="5" width="11.5703125" bestFit="1" customWidth="1"/>
    <col min="6" max="6" width="12.5703125" bestFit="1" customWidth="1"/>
    <col min="7" max="9" width="13.5703125" bestFit="1" customWidth="1"/>
    <col min="10" max="10" width="14" bestFit="1" customWidth="1"/>
    <col min="11" max="11" width="13.42578125" bestFit="1" customWidth="1"/>
  </cols>
  <sheetData>
    <row r="1" spans="1:11" x14ac:dyDescent="0.25">
      <c r="A1" t="s">
        <v>1</v>
      </c>
      <c r="B1" t="s">
        <v>2</v>
      </c>
      <c r="C1" t="s">
        <v>21</v>
      </c>
      <c r="D1" t="s">
        <v>29</v>
      </c>
      <c r="E1" t="s">
        <v>31</v>
      </c>
      <c r="F1" t="s">
        <v>33</v>
      </c>
      <c r="G1" t="s">
        <v>23</v>
      </c>
      <c r="H1" t="s">
        <v>25</v>
      </c>
      <c r="I1" t="s">
        <v>27</v>
      </c>
      <c r="J1" t="s">
        <v>35</v>
      </c>
      <c r="K1" t="s">
        <v>2786</v>
      </c>
    </row>
    <row r="2" spans="1:11" x14ac:dyDescent="0.25">
      <c r="A2" t="s">
        <v>37</v>
      </c>
      <c r="B2" t="s">
        <v>46</v>
      </c>
      <c r="C2">
        <v>191.18</v>
      </c>
      <c r="D2">
        <v>223.85</v>
      </c>
      <c r="E2">
        <v>258.94</v>
      </c>
      <c r="F2">
        <v>279.51</v>
      </c>
      <c r="G2">
        <v>306.13</v>
      </c>
      <c r="H2">
        <v>404.14</v>
      </c>
      <c r="I2">
        <v>503.36</v>
      </c>
      <c r="J2">
        <v>655.82</v>
      </c>
      <c r="K2" t="s">
        <v>14</v>
      </c>
    </row>
    <row r="3" spans="1:11" x14ac:dyDescent="0.25">
      <c r="A3" t="s">
        <v>37</v>
      </c>
      <c r="B3" t="s">
        <v>82</v>
      </c>
      <c r="C3">
        <v>152.46</v>
      </c>
      <c r="D3">
        <v>171.82</v>
      </c>
      <c r="E3">
        <v>209.33</v>
      </c>
      <c r="F3">
        <v>239.58</v>
      </c>
      <c r="G3">
        <v>278.3</v>
      </c>
      <c r="H3">
        <v>377.52</v>
      </c>
      <c r="I3">
        <v>399.3</v>
      </c>
      <c r="J3">
        <v>435.6</v>
      </c>
      <c r="K3" t="s">
        <v>14</v>
      </c>
    </row>
    <row r="4" spans="1:11" x14ac:dyDescent="0.25">
      <c r="A4" t="s">
        <v>37</v>
      </c>
      <c r="B4" t="s">
        <v>100</v>
      </c>
      <c r="C4">
        <v>231.11</v>
      </c>
      <c r="D4">
        <v>300.08</v>
      </c>
      <c r="E4">
        <v>346.06</v>
      </c>
      <c r="F4">
        <v>374.85</v>
      </c>
      <c r="G4">
        <v>401.72</v>
      </c>
      <c r="H4">
        <v>465.85</v>
      </c>
      <c r="I4">
        <v>546.91999999999996</v>
      </c>
      <c r="J4">
        <v>658.24</v>
      </c>
      <c r="K4" t="s">
        <v>14</v>
      </c>
    </row>
    <row r="5" spans="1:11" x14ac:dyDescent="0.25">
      <c r="A5" t="s">
        <v>37</v>
      </c>
      <c r="B5" t="s">
        <v>109</v>
      </c>
      <c r="C5">
        <v>163.35</v>
      </c>
      <c r="D5">
        <v>200.86</v>
      </c>
      <c r="E5">
        <v>228.69</v>
      </c>
      <c r="F5">
        <v>243.21</v>
      </c>
      <c r="G5">
        <v>267.41000000000003</v>
      </c>
      <c r="H5">
        <v>352.11</v>
      </c>
      <c r="I5">
        <v>396.88</v>
      </c>
      <c r="J5">
        <v>475.53</v>
      </c>
      <c r="K5" t="s">
        <v>14</v>
      </c>
    </row>
    <row r="6" spans="1:11" x14ac:dyDescent="0.25">
      <c r="A6" t="s">
        <v>37</v>
      </c>
      <c r="B6" t="s">
        <v>118</v>
      </c>
      <c r="C6">
        <v>146.41</v>
      </c>
      <c r="D6">
        <v>146.41</v>
      </c>
      <c r="E6">
        <v>152.9</v>
      </c>
      <c r="F6">
        <v>166.1</v>
      </c>
      <c r="G6">
        <v>225.5</v>
      </c>
      <c r="H6">
        <v>220</v>
      </c>
      <c r="I6">
        <v>332.75</v>
      </c>
      <c r="J6">
        <v>381.15</v>
      </c>
      <c r="K6" t="s">
        <v>14</v>
      </c>
    </row>
    <row r="7" spans="1:11" x14ac:dyDescent="0.25">
      <c r="A7" t="s">
        <v>37</v>
      </c>
      <c r="B7" t="s">
        <v>127</v>
      </c>
      <c r="C7">
        <v>171.82</v>
      </c>
      <c r="D7">
        <v>221.43</v>
      </c>
      <c r="E7">
        <v>225.5</v>
      </c>
      <c r="F7">
        <v>220</v>
      </c>
      <c r="G7">
        <v>341</v>
      </c>
      <c r="H7">
        <v>363</v>
      </c>
      <c r="I7">
        <v>390.83</v>
      </c>
      <c r="J7">
        <v>471.9</v>
      </c>
      <c r="K7" t="s">
        <v>14</v>
      </c>
    </row>
    <row r="8" spans="1:11" x14ac:dyDescent="0.25">
      <c r="A8" t="s">
        <v>37</v>
      </c>
      <c r="B8" t="s">
        <v>136</v>
      </c>
      <c r="C8">
        <v>158.51</v>
      </c>
      <c r="D8">
        <v>191.18</v>
      </c>
      <c r="E8">
        <v>203.28</v>
      </c>
      <c r="F8">
        <v>233.53</v>
      </c>
      <c r="G8">
        <v>266.2</v>
      </c>
      <c r="H8">
        <v>347.27</v>
      </c>
      <c r="I8">
        <v>399.3</v>
      </c>
      <c r="J8">
        <v>468.27</v>
      </c>
      <c r="K8" t="s">
        <v>14</v>
      </c>
    </row>
    <row r="9" spans="1:11" x14ac:dyDescent="0.25">
      <c r="A9" t="s">
        <v>37</v>
      </c>
      <c r="B9" t="s">
        <v>190</v>
      </c>
      <c r="C9">
        <v>173.03</v>
      </c>
      <c r="D9">
        <v>211.75</v>
      </c>
      <c r="E9">
        <v>226.27</v>
      </c>
      <c r="F9">
        <v>238.37</v>
      </c>
      <c r="G9">
        <v>278.3</v>
      </c>
      <c r="H9">
        <v>377.52</v>
      </c>
      <c r="I9">
        <v>393.25</v>
      </c>
      <c r="J9">
        <v>444.07</v>
      </c>
      <c r="K9" t="s">
        <v>14</v>
      </c>
    </row>
    <row r="10" spans="1:11" x14ac:dyDescent="0.25">
      <c r="A10" t="s">
        <v>37</v>
      </c>
      <c r="B10" t="s">
        <v>199</v>
      </c>
      <c r="C10">
        <v>321.86</v>
      </c>
      <c r="D10">
        <v>329.12</v>
      </c>
      <c r="E10">
        <v>401.72</v>
      </c>
      <c r="F10">
        <v>408.98</v>
      </c>
      <c r="G10">
        <v>440.44</v>
      </c>
      <c r="H10">
        <v>520.29999999999995</v>
      </c>
      <c r="I10">
        <v>625.57000000000005</v>
      </c>
      <c r="J10">
        <v>767.14</v>
      </c>
      <c r="K10" t="s">
        <v>14</v>
      </c>
    </row>
    <row r="11" spans="1:11" x14ac:dyDescent="0.25">
      <c r="A11" t="s">
        <v>37</v>
      </c>
      <c r="B11" t="s">
        <v>208</v>
      </c>
      <c r="C11">
        <v>102.85</v>
      </c>
      <c r="D11">
        <v>121</v>
      </c>
      <c r="E11">
        <v>129.80000000000001</v>
      </c>
      <c r="F11">
        <v>129.80000000000001</v>
      </c>
      <c r="G11">
        <v>170.5</v>
      </c>
      <c r="H11">
        <v>181.5</v>
      </c>
      <c r="I11">
        <v>248.05</v>
      </c>
      <c r="J11">
        <v>295.24</v>
      </c>
      <c r="K11" t="s">
        <v>14</v>
      </c>
    </row>
    <row r="12" spans="1:11" x14ac:dyDescent="0.25">
      <c r="A12" t="s">
        <v>37</v>
      </c>
      <c r="B12" t="s">
        <v>217</v>
      </c>
      <c r="C12">
        <v>100.43</v>
      </c>
      <c r="D12">
        <v>133.1</v>
      </c>
      <c r="E12">
        <v>147.62</v>
      </c>
      <c r="F12">
        <v>158.51</v>
      </c>
      <c r="G12">
        <v>173.03</v>
      </c>
      <c r="H12">
        <v>202.07</v>
      </c>
      <c r="I12">
        <v>220.22</v>
      </c>
      <c r="J12">
        <v>245.63</v>
      </c>
      <c r="K12" t="s">
        <v>14</v>
      </c>
    </row>
    <row r="13" spans="1:11" x14ac:dyDescent="0.25">
      <c r="A13" t="s">
        <v>37</v>
      </c>
      <c r="B13" t="s">
        <v>235</v>
      </c>
      <c r="C13">
        <v>377.52</v>
      </c>
      <c r="D13">
        <v>484</v>
      </c>
      <c r="E13">
        <v>559.02</v>
      </c>
      <c r="F13">
        <v>573.54</v>
      </c>
      <c r="G13">
        <v>609.84</v>
      </c>
      <c r="H13">
        <v>734.47</v>
      </c>
      <c r="I13">
        <v>831.27</v>
      </c>
      <c r="J13">
        <v>888.14</v>
      </c>
      <c r="K13" t="s">
        <v>14</v>
      </c>
    </row>
    <row r="14" spans="1:11" x14ac:dyDescent="0.25">
      <c r="A14" t="s">
        <v>37</v>
      </c>
      <c r="B14" t="s">
        <v>244</v>
      </c>
      <c r="C14">
        <v>98.01</v>
      </c>
      <c r="D14">
        <v>133.1</v>
      </c>
      <c r="E14">
        <v>151.25</v>
      </c>
      <c r="F14">
        <v>165.77</v>
      </c>
      <c r="G14">
        <v>187.55</v>
      </c>
      <c r="H14">
        <v>226.27</v>
      </c>
      <c r="I14">
        <v>260.14999999999998</v>
      </c>
      <c r="J14">
        <v>291.61</v>
      </c>
      <c r="K14" t="s">
        <v>14</v>
      </c>
    </row>
    <row r="15" spans="1:11" x14ac:dyDescent="0.25">
      <c r="A15" t="s">
        <v>37</v>
      </c>
      <c r="B15" t="s">
        <v>253</v>
      </c>
      <c r="C15">
        <v>117.37</v>
      </c>
      <c r="D15">
        <v>127.05</v>
      </c>
      <c r="E15">
        <v>141.57</v>
      </c>
      <c r="F15">
        <v>171.82</v>
      </c>
      <c r="G15">
        <v>216.59</v>
      </c>
      <c r="H15">
        <v>290.39999999999998</v>
      </c>
      <c r="I15">
        <v>364.21</v>
      </c>
      <c r="J15">
        <v>379.94</v>
      </c>
      <c r="K15" t="s">
        <v>14</v>
      </c>
    </row>
    <row r="16" spans="1:11" x14ac:dyDescent="0.25">
      <c r="A16" t="s">
        <v>37</v>
      </c>
      <c r="B16" t="s">
        <v>37</v>
      </c>
      <c r="C16">
        <v>64.13</v>
      </c>
      <c r="D16">
        <v>75.900000000000006</v>
      </c>
      <c r="E16">
        <v>85.8</v>
      </c>
      <c r="F16">
        <v>85.8</v>
      </c>
      <c r="G16">
        <v>99</v>
      </c>
      <c r="H16">
        <v>88</v>
      </c>
      <c r="I16">
        <v>132</v>
      </c>
      <c r="J16">
        <v>121.77</v>
      </c>
      <c r="K16" t="s">
        <v>14</v>
      </c>
    </row>
    <row r="17" spans="1:11" x14ac:dyDescent="0.25">
      <c r="A17" t="s">
        <v>37</v>
      </c>
      <c r="B17" t="s">
        <v>279</v>
      </c>
      <c r="C17">
        <v>145.19999999999999</v>
      </c>
      <c r="D17">
        <v>187.55</v>
      </c>
      <c r="E17">
        <v>199.65</v>
      </c>
      <c r="F17">
        <v>225.06</v>
      </c>
      <c r="G17">
        <v>252.89</v>
      </c>
      <c r="H17">
        <v>324.27999999999997</v>
      </c>
      <c r="I17">
        <v>370.26</v>
      </c>
      <c r="J17">
        <v>442.86</v>
      </c>
      <c r="K17" t="s">
        <v>14</v>
      </c>
    </row>
    <row r="18" spans="1:11" x14ac:dyDescent="0.25">
      <c r="A18" t="s">
        <v>37</v>
      </c>
      <c r="B18" t="s">
        <v>306</v>
      </c>
      <c r="C18">
        <v>150.04</v>
      </c>
      <c r="D18">
        <v>215.38</v>
      </c>
      <c r="E18">
        <v>227.48</v>
      </c>
      <c r="F18">
        <v>249.26</v>
      </c>
      <c r="G18">
        <v>278.3</v>
      </c>
      <c r="H18">
        <v>372.68</v>
      </c>
      <c r="I18">
        <v>398.09</v>
      </c>
      <c r="J18">
        <v>427.13</v>
      </c>
      <c r="K18" t="s">
        <v>14</v>
      </c>
    </row>
    <row r="19" spans="1:11" x14ac:dyDescent="0.25">
      <c r="A19" t="s">
        <v>37</v>
      </c>
      <c r="B19" t="s">
        <v>315</v>
      </c>
      <c r="C19">
        <v>377.52</v>
      </c>
      <c r="D19">
        <v>484</v>
      </c>
      <c r="E19">
        <v>559.02</v>
      </c>
      <c r="F19">
        <v>573.54</v>
      </c>
      <c r="G19">
        <v>609.84</v>
      </c>
      <c r="H19">
        <v>734.47</v>
      </c>
      <c r="I19">
        <v>831.27</v>
      </c>
      <c r="J19">
        <v>888.14</v>
      </c>
      <c r="K19" t="s">
        <v>14</v>
      </c>
    </row>
    <row r="20" spans="1:11" x14ac:dyDescent="0.25">
      <c r="A20" t="s">
        <v>37</v>
      </c>
      <c r="B20" t="s">
        <v>333</v>
      </c>
      <c r="C20">
        <v>89.54</v>
      </c>
      <c r="D20">
        <v>124.63</v>
      </c>
      <c r="E20">
        <v>137.94</v>
      </c>
      <c r="F20">
        <v>151.25</v>
      </c>
      <c r="G20">
        <v>169.4</v>
      </c>
      <c r="H20">
        <v>176</v>
      </c>
      <c r="I20">
        <v>214.17</v>
      </c>
      <c r="J20">
        <v>264.99</v>
      </c>
      <c r="K20" t="s">
        <v>14</v>
      </c>
    </row>
    <row r="21" spans="1:11" x14ac:dyDescent="0.25">
      <c r="A21" t="s">
        <v>37</v>
      </c>
      <c r="B21" t="s">
        <v>351</v>
      </c>
      <c r="C21">
        <v>191.18</v>
      </c>
      <c r="D21">
        <v>223.85</v>
      </c>
      <c r="E21">
        <v>258.94</v>
      </c>
      <c r="F21">
        <v>279.51</v>
      </c>
      <c r="G21">
        <v>306.13</v>
      </c>
      <c r="H21">
        <v>404.14</v>
      </c>
      <c r="I21">
        <v>583</v>
      </c>
      <c r="J21">
        <v>596.20000000000005</v>
      </c>
      <c r="K21" t="s">
        <v>14</v>
      </c>
    </row>
    <row r="22" spans="1:11" x14ac:dyDescent="0.25">
      <c r="A22" t="s">
        <v>37</v>
      </c>
      <c r="B22" t="s">
        <v>360</v>
      </c>
      <c r="C22">
        <v>191.18</v>
      </c>
      <c r="D22">
        <v>223.85</v>
      </c>
      <c r="E22">
        <v>225.5</v>
      </c>
      <c r="F22">
        <v>233.2</v>
      </c>
      <c r="G22">
        <v>374</v>
      </c>
      <c r="H22">
        <v>396</v>
      </c>
      <c r="I22">
        <v>503.36</v>
      </c>
      <c r="J22">
        <v>655.82</v>
      </c>
      <c r="K22" t="s">
        <v>14</v>
      </c>
    </row>
    <row r="23" spans="1:11" x14ac:dyDescent="0.25">
      <c r="A23" t="s">
        <v>37</v>
      </c>
      <c r="B23" t="s">
        <v>369</v>
      </c>
      <c r="C23">
        <v>235.95</v>
      </c>
      <c r="D23">
        <v>304.92</v>
      </c>
      <c r="E23">
        <v>379.94</v>
      </c>
      <c r="F23">
        <v>401.63</v>
      </c>
      <c r="G23">
        <v>442.86</v>
      </c>
      <c r="H23">
        <v>508.2</v>
      </c>
      <c r="I23">
        <v>554.17999999999995</v>
      </c>
      <c r="J23">
        <v>664.29</v>
      </c>
      <c r="K23" t="s">
        <v>14</v>
      </c>
    </row>
    <row r="24" spans="1:11" x14ac:dyDescent="0.25">
      <c r="A24" t="s">
        <v>37</v>
      </c>
      <c r="B24" t="s">
        <v>387</v>
      </c>
      <c r="C24">
        <v>100.43</v>
      </c>
      <c r="D24">
        <v>133.1</v>
      </c>
      <c r="E24">
        <v>147.62</v>
      </c>
      <c r="F24">
        <v>158.51</v>
      </c>
      <c r="G24">
        <v>173.03</v>
      </c>
      <c r="H24">
        <v>202.07</v>
      </c>
      <c r="I24">
        <v>220.22</v>
      </c>
      <c r="J24">
        <v>245.63</v>
      </c>
      <c r="K24" t="s">
        <v>14</v>
      </c>
    </row>
    <row r="25" spans="1:11" x14ac:dyDescent="0.25">
      <c r="A25" t="s">
        <v>37</v>
      </c>
      <c r="B25" t="s">
        <v>405</v>
      </c>
      <c r="C25">
        <v>89.54</v>
      </c>
      <c r="D25">
        <v>124.63</v>
      </c>
      <c r="E25">
        <v>137.94</v>
      </c>
      <c r="F25">
        <v>151.25</v>
      </c>
      <c r="G25">
        <v>169.4</v>
      </c>
      <c r="H25">
        <v>138.6</v>
      </c>
      <c r="I25">
        <v>148.5</v>
      </c>
      <c r="J25">
        <v>161.69999999999999</v>
      </c>
      <c r="K25" t="s">
        <v>14</v>
      </c>
    </row>
    <row r="26" spans="1:11" x14ac:dyDescent="0.25">
      <c r="A26" t="s">
        <v>37</v>
      </c>
      <c r="B26" t="s">
        <v>432</v>
      </c>
      <c r="C26">
        <v>112.53</v>
      </c>
      <c r="D26">
        <v>135.52000000000001</v>
      </c>
      <c r="E26">
        <v>146.41</v>
      </c>
      <c r="F26">
        <v>160.93</v>
      </c>
      <c r="G26">
        <v>181.5</v>
      </c>
      <c r="H26">
        <v>208.12</v>
      </c>
      <c r="I26">
        <v>228.69</v>
      </c>
      <c r="J26">
        <v>269.83</v>
      </c>
      <c r="K26" t="s">
        <v>14</v>
      </c>
    </row>
    <row r="27" spans="1:11" x14ac:dyDescent="0.25">
      <c r="A27" t="s">
        <v>37</v>
      </c>
      <c r="B27" t="s">
        <v>441</v>
      </c>
      <c r="C27">
        <v>173.03</v>
      </c>
      <c r="D27">
        <v>217.8</v>
      </c>
      <c r="E27">
        <v>233.53</v>
      </c>
      <c r="F27">
        <v>269.83</v>
      </c>
      <c r="G27">
        <v>317.02</v>
      </c>
      <c r="H27">
        <v>395.67</v>
      </c>
      <c r="I27">
        <v>429.55</v>
      </c>
      <c r="J27">
        <v>551.76</v>
      </c>
      <c r="K27" t="s">
        <v>14</v>
      </c>
    </row>
    <row r="28" spans="1:11" x14ac:dyDescent="0.25">
      <c r="A28" t="s">
        <v>37</v>
      </c>
      <c r="B28" t="s">
        <v>450</v>
      </c>
      <c r="C28">
        <v>164.56</v>
      </c>
      <c r="D28">
        <v>209.33</v>
      </c>
      <c r="E28">
        <v>217.8</v>
      </c>
      <c r="F28">
        <v>243.21</v>
      </c>
      <c r="G28">
        <v>267.41000000000003</v>
      </c>
      <c r="H28">
        <v>293.7</v>
      </c>
      <c r="I28">
        <v>398.09</v>
      </c>
      <c r="J28">
        <v>476.74</v>
      </c>
      <c r="K28" t="s">
        <v>14</v>
      </c>
    </row>
    <row r="29" spans="1:11" x14ac:dyDescent="0.25">
      <c r="A29" t="s">
        <v>37</v>
      </c>
      <c r="B29" t="s">
        <v>468</v>
      </c>
      <c r="C29">
        <v>210.54</v>
      </c>
      <c r="D29">
        <v>280.72000000000003</v>
      </c>
      <c r="E29">
        <v>304.92</v>
      </c>
      <c r="F29">
        <v>315.81</v>
      </c>
      <c r="G29">
        <v>332.75</v>
      </c>
      <c r="H29">
        <v>421.08</v>
      </c>
      <c r="I29">
        <v>515.46</v>
      </c>
      <c r="J29">
        <v>619.52</v>
      </c>
      <c r="K29" t="s">
        <v>14</v>
      </c>
    </row>
    <row r="30" spans="1:11" x14ac:dyDescent="0.25">
      <c r="A30" t="s">
        <v>37</v>
      </c>
      <c r="B30" t="s">
        <v>522</v>
      </c>
      <c r="C30">
        <v>119.79</v>
      </c>
      <c r="D30">
        <v>151.25</v>
      </c>
      <c r="E30">
        <v>163.35</v>
      </c>
      <c r="F30">
        <v>179.08</v>
      </c>
      <c r="G30">
        <v>203.28</v>
      </c>
      <c r="H30">
        <v>242</v>
      </c>
      <c r="I30">
        <v>260.14999999999998</v>
      </c>
      <c r="J30">
        <v>310.97000000000003</v>
      </c>
      <c r="K30" t="s">
        <v>14</v>
      </c>
    </row>
    <row r="31" spans="1:11" x14ac:dyDescent="0.25">
      <c r="A31" t="s">
        <v>37</v>
      </c>
      <c r="B31" t="s">
        <v>540</v>
      </c>
      <c r="C31">
        <v>164.56</v>
      </c>
      <c r="D31">
        <v>210.54</v>
      </c>
      <c r="E31">
        <v>222.64</v>
      </c>
      <c r="F31">
        <v>248.05</v>
      </c>
      <c r="G31">
        <v>267.41000000000003</v>
      </c>
      <c r="H31">
        <v>364.21</v>
      </c>
      <c r="I31">
        <v>394.46</v>
      </c>
      <c r="J31">
        <v>453.75</v>
      </c>
      <c r="K31" t="s">
        <v>14</v>
      </c>
    </row>
    <row r="32" spans="1:11" x14ac:dyDescent="0.25">
      <c r="A32" t="s">
        <v>37</v>
      </c>
      <c r="B32" t="s">
        <v>594</v>
      </c>
      <c r="C32">
        <v>350.9</v>
      </c>
      <c r="D32">
        <v>375.1</v>
      </c>
      <c r="E32">
        <v>417.45</v>
      </c>
      <c r="F32">
        <v>471.9</v>
      </c>
      <c r="G32">
        <v>526.35</v>
      </c>
      <c r="H32">
        <v>663.3</v>
      </c>
      <c r="I32">
        <v>605</v>
      </c>
      <c r="J32">
        <v>677.6</v>
      </c>
      <c r="K32" t="s">
        <v>14</v>
      </c>
    </row>
    <row r="33" spans="1:11" x14ac:dyDescent="0.25">
      <c r="A33" t="s">
        <v>37</v>
      </c>
      <c r="B33" t="s">
        <v>603</v>
      </c>
      <c r="C33">
        <v>173.03</v>
      </c>
      <c r="D33">
        <v>217.8</v>
      </c>
      <c r="E33">
        <v>229.9</v>
      </c>
      <c r="F33">
        <v>251.68</v>
      </c>
      <c r="G33">
        <v>330</v>
      </c>
      <c r="H33">
        <v>333.96</v>
      </c>
      <c r="I33">
        <v>370.26</v>
      </c>
      <c r="J33">
        <v>440.44</v>
      </c>
      <c r="K33" t="s">
        <v>14</v>
      </c>
    </row>
    <row r="34" spans="1:11" x14ac:dyDescent="0.25">
      <c r="A34" t="s">
        <v>37</v>
      </c>
      <c r="B34" t="s">
        <v>630</v>
      </c>
      <c r="C34">
        <v>173.03</v>
      </c>
      <c r="D34">
        <v>196.02</v>
      </c>
      <c r="E34">
        <v>207.52</v>
      </c>
      <c r="F34">
        <v>229.9</v>
      </c>
      <c r="G34">
        <v>278.3</v>
      </c>
      <c r="H34">
        <v>377.52</v>
      </c>
      <c r="I34">
        <v>417.45</v>
      </c>
      <c r="J34">
        <v>434.39</v>
      </c>
      <c r="K34" t="s">
        <v>14</v>
      </c>
    </row>
    <row r="35" spans="1:11" x14ac:dyDescent="0.25">
      <c r="A35" t="s">
        <v>37</v>
      </c>
      <c r="B35" t="s">
        <v>639</v>
      </c>
      <c r="C35">
        <v>164.56</v>
      </c>
      <c r="D35">
        <v>211.75</v>
      </c>
      <c r="E35">
        <v>222.64</v>
      </c>
      <c r="F35">
        <v>242</v>
      </c>
      <c r="G35">
        <v>268.62</v>
      </c>
      <c r="H35">
        <v>354.53</v>
      </c>
      <c r="I35">
        <v>464.64</v>
      </c>
      <c r="J35">
        <v>520.29999999999995</v>
      </c>
      <c r="K35" t="s">
        <v>14</v>
      </c>
    </row>
    <row r="36" spans="1:11" x14ac:dyDescent="0.25">
      <c r="A36" t="s">
        <v>37</v>
      </c>
      <c r="B36" t="s">
        <v>648</v>
      </c>
      <c r="C36">
        <v>174.24</v>
      </c>
      <c r="D36">
        <v>217.8</v>
      </c>
      <c r="E36">
        <v>229.9</v>
      </c>
      <c r="F36">
        <v>254.1</v>
      </c>
      <c r="G36">
        <v>289.8</v>
      </c>
      <c r="H36">
        <v>394.46</v>
      </c>
      <c r="I36">
        <v>453.75</v>
      </c>
      <c r="J36">
        <v>523.92999999999995</v>
      </c>
      <c r="K36" t="s">
        <v>14</v>
      </c>
    </row>
    <row r="37" spans="1:11" x14ac:dyDescent="0.25">
      <c r="A37" t="s">
        <v>37</v>
      </c>
      <c r="B37" t="s">
        <v>657</v>
      </c>
      <c r="C37">
        <v>181.5</v>
      </c>
      <c r="D37">
        <v>217.8</v>
      </c>
      <c r="E37">
        <v>229.9</v>
      </c>
      <c r="F37">
        <v>254.1</v>
      </c>
      <c r="G37">
        <v>285.56</v>
      </c>
      <c r="H37">
        <v>363</v>
      </c>
      <c r="I37">
        <v>399.3</v>
      </c>
      <c r="J37">
        <v>484</v>
      </c>
      <c r="K37" t="s">
        <v>14</v>
      </c>
    </row>
    <row r="38" spans="1:11" x14ac:dyDescent="0.25">
      <c r="A38" t="s">
        <v>37</v>
      </c>
      <c r="B38" t="s">
        <v>675</v>
      </c>
      <c r="C38">
        <v>121</v>
      </c>
      <c r="D38">
        <v>146.41</v>
      </c>
      <c r="E38">
        <v>169.4</v>
      </c>
      <c r="F38">
        <v>187.55</v>
      </c>
      <c r="G38">
        <v>209.33</v>
      </c>
      <c r="H38">
        <v>252.89</v>
      </c>
      <c r="I38">
        <v>279.51</v>
      </c>
      <c r="J38">
        <v>314.60000000000002</v>
      </c>
      <c r="K38" t="s">
        <v>14</v>
      </c>
    </row>
    <row r="39" spans="1:11" x14ac:dyDescent="0.25">
      <c r="A39" t="s">
        <v>37</v>
      </c>
      <c r="B39" t="s">
        <v>684</v>
      </c>
      <c r="C39">
        <v>179.08</v>
      </c>
      <c r="D39">
        <v>229.9</v>
      </c>
      <c r="E39">
        <v>249.26</v>
      </c>
      <c r="F39">
        <v>273.45999999999998</v>
      </c>
      <c r="G39">
        <v>289.19</v>
      </c>
      <c r="H39">
        <v>378.73</v>
      </c>
      <c r="I39">
        <v>448.91</v>
      </c>
      <c r="J39">
        <v>537.24</v>
      </c>
      <c r="K39" t="s">
        <v>14</v>
      </c>
    </row>
    <row r="40" spans="1:11" x14ac:dyDescent="0.25">
      <c r="A40" t="s">
        <v>37</v>
      </c>
      <c r="B40" t="s">
        <v>702</v>
      </c>
      <c r="C40">
        <v>179.08</v>
      </c>
      <c r="D40">
        <v>229.9</v>
      </c>
      <c r="E40">
        <v>214.5</v>
      </c>
      <c r="F40">
        <v>225.5</v>
      </c>
      <c r="G40">
        <v>352</v>
      </c>
      <c r="H40">
        <v>374</v>
      </c>
      <c r="I40">
        <v>448.91</v>
      </c>
      <c r="J40">
        <v>560.23</v>
      </c>
      <c r="K40" t="s">
        <v>14</v>
      </c>
    </row>
    <row r="41" spans="1:11" x14ac:dyDescent="0.25">
      <c r="A41" t="s">
        <v>37</v>
      </c>
      <c r="B41" t="s">
        <v>729</v>
      </c>
      <c r="C41">
        <v>158.51</v>
      </c>
      <c r="D41">
        <v>198.44</v>
      </c>
      <c r="E41">
        <v>211.75</v>
      </c>
      <c r="F41">
        <v>236.31</v>
      </c>
      <c r="G41">
        <v>267.41000000000003</v>
      </c>
      <c r="H41">
        <v>340.01</v>
      </c>
      <c r="I41">
        <v>389.62</v>
      </c>
      <c r="J41">
        <v>425.7</v>
      </c>
      <c r="K41" t="s">
        <v>14</v>
      </c>
    </row>
    <row r="42" spans="1:11" x14ac:dyDescent="0.25">
      <c r="A42" t="s">
        <v>37</v>
      </c>
      <c r="B42" t="s">
        <v>738</v>
      </c>
      <c r="C42">
        <v>164.56</v>
      </c>
      <c r="D42">
        <v>191.18</v>
      </c>
      <c r="E42">
        <v>219.01</v>
      </c>
      <c r="F42">
        <v>246.84</v>
      </c>
      <c r="G42">
        <v>264.99</v>
      </c>
      <c r="H42">
        <v>365.42</v>
      </c>
      <c r="I42">
        <v>400.51</v>
      </c>
      <c r="J42">
        <v>418.66</v>
      </c>
      <c r="K42" t="s">
        <v>14</v>
      </c>
    </row>
    <row r="43" spans="1:11" x14ac:dyDescent="0.25">
      <c r="A43" t="s">
        <v>37</v>
      </c>
      <c r="B43" t="s">
        <v>747</v>
      </c>
      <c r="C43">
        <v>163.35</v>
      </c>
      <c r="D43">
        <v>199.65</v>
      </c>
      <c r="E43">
        <v>239.58</v>
      </c>
      <c r="F43">
        <v>254.1</v>
      </c>
      <c r="G43">
        <v>290.39999999999998</v>
      </c>
      <c r="H43">
        <v>395.67</v>
      </c>
      <c r="I43">
        <v>446.49</v>
      </c>
      <c r="J43">
        <v>527.55999999999995</v>
      </c>
      <c r="K43" t="s">
        <v>14</v>
      </c>
    </row>
    <row r="44" spans="1:11" x14ac:dyDescent="0.25">
      <c r="A44" t="s">
        <v>37</v>
      </c>
      <c r="B44" t="s">
        <v>756</v>
      </c>
      <c r="C44">
        <v>303.70999999999998</v>
      </c>
      <c r="D44">
        <v>332.75</v>
      </c>
      <c r="E44">
        <v>375.1</v>
      </c>
      <c r="F44">
        <v>419.95</v>
      </c>
      <c r="G44">
        <v>456.17</v>
      </c>
      <c r="H44">
        <v>534.82000000000005</v>
      </c>
      <c r="I44">
        <v>635.25</v>
      </c>
      <c r="J44">
        <v>769.56</v>
      </c>
      <c r="K44" t="s">
        <v>14</v>
      </c>
    </row>
    <row r="45" spans="1:11" x14ac:dyDescent="0.25">
      <c r="A45" t="s">
        <v>37</v>
      </c>
      <c r="B45" t="s">
        <v>1626</v>
      </c>
      <c r="C45">
        <v>405.35</v>
      </c>
      <c r="D45">
        <v>454.96</v>
      </c>
      <c r="E45">
        <v>510.62</v>
      </c>
      <c r="F45">
        <v>567.49</v>
      </c>
      <c r="G45">
        <v>649.77</v>
      </c>
      <c r="H45">
        <v>768.35</v>
      </c>
      <c r="I45">
        <v>804.65</v>
      </c>
      <c r="J45">
        <v>1107.1500000000001</v>
      </c>
      <c r="K45" t="s">
        <v>14</v>
      </c>
    </row>
    <row r="46" spans="1:11" x14ac:dyDescent="0.25">
      <c r="A46" t="s">
        <v>37</v>
      </c>
      <c r="B46" t="s">
        <v>783</v>
      </c>
      <c r="C46">
        <v>173.03</v>
      </c>
      <c r="D46">
        <v>217.8</v>
      </c>
      <c r="E46">
        <v>234.74</v>
      </c>
      <c r="F46">
        <v>245.63</v>
      </c>
      <c r="G46">
        <v>289.19</v>
      </c>
      <c r="H46">
        <v>395.67</v>
      </c>
      <c r="I46">
        <v>427.13</v>
      </c>
      <c r="J46">
        <v>454.96</v>
      </c>
      <c r="K46" t="s">
        <v>14</v>
      </c>
    </row>
    <row r="47" spans="1:11" x14ac:dyDescent="0.25">
      <c r="A47" t="s">
        <v>37</v>
      </c>
      <c r="B47" t="s">
        <v>792</v>
      </c>
      <c r="C47">
        <v>231.11</v>
      </c>
      <c r="D47">
        <v>300.08</v>
      </c>
      <c r="E47">
        <v>346.06</v>
      </c>
      <c r="F47">
        <v>374.85</v>
      </c>
      <c r="G47">
        <v>401.72</v>
      </c>
      <c r="H47">
        <v>465.85</v>
      </c>
      <c r="I47">
        <v>546.91999999999996</v>
      </c>
      <c r="J47">
        <v>658.24</v>
      </c>
      <c r="K47" t="s">
        <v>14</v>
      </c>
    </row>
    <row r="48" spans="1:11" x14ac:dyDescent="0.25">
      <c r="A48" t="s">
        <v>37</v>
      </c>
      <c r="B48" t="s">
        <v>819</v>
      </c>
      <c r="C48">
        <v>191.18</v>
      </c>
      <c r="D48">
        <v>223.85</v>
      </c>
      <c r="E48">
        <v>249.26</v>
      </c>
      <c r="F48">
        <v>273.45999999999998</v>
      </c>
      <c r="G48">
        <v>289.19</v>
      </c>
      <c r="H48">
        <v>378.73</v>
      </c>
      <c r="I48">
        <v>448.91</v>
      </c>
      <c r="J48">
        <v>560.23</v>
      </c>
      <c r="K48" t="s">
        <v>14</v>
      </c>
    </row>
    <row r="49" spans="1:11" x14ac:dyDescent="0.25">
      <c r="A49" t="s">
        <v>37</v>
      </c>
      <c r="B49" t="s">
        <v>828</v>
      </c>
      <c r="C49">
        <v>163.35</v>
      </c>
      <c r="D49">
        <v>191.18</v>
      </c>
      <c r="E49">
        <v>219.01</v>
      </c>
      <c r="F49">
        <v>254.1</v>
      </c>
      <c r="G49">
        <v>296.45</v>
      </c>
      <c r="H49">
        <v>422.29</v>
      </c>
      <c r="I49">
        <v>523.92999999999995</v>
      </c>
      <c r="J49">
        <v>624.36</v>
      </c>
      <c r="K49" t="s">
        <v>14</v>
      </c>
    </row>
    <row r="50" spans="1:11" x14ac:dyDescent="0.25">
      <c r="A50" t="s">
        <v>37</v>
      </c>
      <c r="B50" t="s">
        <v>846</v>
      </c>
      <c r="C50">
        <v>88.33</v>
      </c>
      <c r="D50">
        <v>106.48</v>
      </c>
      <c r="E50">
        <v>93.5</v>
      </c>
      <c r="F50">
        <v>104.5</v>
      </c>
      <c r="G50">
        <v>148.5</v>
      </c>
      <c r="H50">
        <v>159.5</v>
      </c>
      <c r="I50">
        <v>232.32</v>
      </c>
      <c r="J50">
        <v>274.67</v>
      </c>
      <c r="K50" t="s">
        <v>14</v>
      </c>
    </row>
    <row r="51" spans="1:11" x14ac:dyDescent="0.25">
      <c r="A51" t="s">
        <v>37</v>
      </c>
      <c r="B51" t="s">
        <v>855</v>
      </c>
      <c r="C51">
        <v>168.19</v>
      </c>
      <c r="D51">
        <v>225.06</v>
      </c>
      <c r="E51">
        <v>229.9</v>
      </c>
      <c r="F51">
        <v>243.21</v>
      </c>
      <c r="G51">
        <v>263.77999999999997</v>
      </c>
      <c r="H51">
        <v>269.5</v>
      </c>
      <c r="I51">
        <v>395.67</v>
      </c>
      <c r="J51">
        <v>454.96</v>
      </c>
      <c r="K51" t="s">
        <v>14</v>
      </c>
    </row>
    <row r="52" spans="1:11" x14ac:dyDescent="0.25">
      <c r="A52" t="s">
        <v>37</v>
      </c>
      <c r="B52" t="s">
        <v>864</v>
      </c>
      <c r="C52">
        <v>156.09</v>
      </c>
      <c r="D52">
        <v>176</v>
      </c>
      <c r="E52">
        <v>187</v>
      </c>
      <c r="F52">
        <v>187</v>
      </c>
      <c r="G52">
        <v>224.4</v>
      </c>
      <c r="H52">
        <v>232.65</v>
      </c>
      <c r="I52">
        <v>333.96</v>
      </c>
      <c r="J52">
        <v>399.3</v>
      </c>
      <c r="K52" t="s">
        <v>14</v>
      </c>
    </row>
    <row r="53" spans="1:11" x14ac:dyDescent="0.25">
      <c r="A53" t="s">
        <v>37</v>
      </c>
      <c r="B53" t="s">
        <v>882</v>
      </c>
      <c r="C53">
        <v>306.13</v>
      </c>
      <c r="D53">
        <v>332.75</v>
      </c>
      <c r="E53">
        <v>368.83</v>
      </c>
      <c r="F53">
        <v>419.95</v>
      </c>
      <c r="G53">
        <v>477.95</v>
      </c>
      <c r="H53">
        <v>546.91999999999996</v>
      </c>
      <c r="I53">
        <v>598.95000000000005</v>
      </c>
      <c r="J53">
        <v>624.36</v>
      </c>
      <c r="K53" t="s">
        <v>14</v>
      </c>
    </row>
    <row r="54" spans="1:11" x14ac:dyDescent="0.25">
      <c r="A54" t="s">
        <v>37</v>
      </c>
      <c r="B54" t="s">
        <v>909</v>
      </c>
      <c r="C54">
        <v>77.44</v>
      </c>
      <c r="D54">
        <v>95.59</v>
      </c>
      <c r="E54">
        <v>107.69</v>
      </c>
      <c r="F54">
        <v>114.95</v>
      </c>
      <c r="G54">
        <v>118.8</v>
      </c>
      <c r="H54">
        <v>123.2</v>
      </c>
      <c r="I54">
        <v>215.38</v>
      </c>
      <c r="J54">
        <v>277.08999999999997</v>
      </c>
      <c r="K54" t="s">
        <v>14</v>
      </c>
    </row>
    <row r="55" spans="1:11" x14ac:dyDescent="0.25">
      <c r="A55" t="s">
        <v>333</v>
      </c>
      <c r="B55" t="s">
        <v>46</v>
      </c>
      <c r="C55">
        <v>344.85</v>
      </c>
      <c r="D55">
        <v>399.3</v>
      </c>
      <c r="E55">
        <v>435.6</v>
      </c>
      <c r="F55">
        <v>447.7</v>
      </c>
      <c r="G55">
        <v>514.25</v>
      </c>
      <c r="H55">
        <v>632.83000000000004</v>
      </c>
      <c r="I55">
        <v>673.97</v>
      </c>
      <c r="J55">
        <v>715.11</v>
      </c>
      <c r="K55" t="s">
        <v>14</v>
      </c>
    </row>
    <row r="56" spans="1:11" x14ac:dyDescent="0.25">
      <c r="A56" t="s">
        <v>333</v>
      </c>
      <c r="B56" t="s">
        <v>82</v>
      </c>
      <c r="C56">
        <v>156.09</v>
      </c>
      <c r="D56">
        <v>197.23</v>
      </c>
      <c r="E56">
        <v>211.75</v>
      </c>
      <c r="F56">
        <v>220.22</v>
      </c>
      <c r="G56">
        <v>261.36</v>
      </c>
      <c r="H56">
        <v>330.33</v>
      </c>
      <c r="I56">
        <v>371.47</v>
      </c>
      <c r="J56">
        <v>399.3</v>
      </c>
      <c r="K56" t="s">
        <v>14</v>
      </c>
    </row>
    <row r="57" spans="1:11" x14ac:dyDescent="0.25">
      <c r="A57" t="s">
        <v>333</v>
      </c>
      <c r="B57" t="s">
        <v>100</v>
      </c>
      <c r="C57">
        <v>358.16</v>
      </c>
      <c r="D57">
        <v>412.61</v>
      </c>
      <c r="E57">
        <v>453.75</v>
      </c>
      <c r="F57">
        <v>475.53</v>
      </c>
      <c r="G57">
        <v>516.66999999999996</v>
      </c>
      <c r="H57">
        <v>591.69000000000005</v>
      </c>
      <c r="I57">
        <v>647.35</v>
      </c>
      <c r="J57">
        <v>715.11</v>
      </c>
      <c r="K57" t="s">
        <v>14</v>
      </c>
    </row>
    <row r="58" spans="1:11" x14ac:dyDescent="0.25">
      <c r="A58" t="s">
        <v>333</v>
      </c>
      <c r="B58" t="s">
        <v>109</v>
      </c>
      <c r="C58">
        <v>268.62</v>
      </c>
      <c r="D58">
        <v>317.02</v>
      </c>
      <c r="E58">
        <v>344.85</v>
      </c>
      <c r="F58">
        <v>358.16</v>
      </c>
      <c r="G58">
        <v>427.13</v>
      </c>
      <c r="H58">
        <v>529.98</v>
      </c>
      <c r="I58">
        <v>563.86</v>
      </c>
      <c r="J58">
        <v>578.38</v>
      </c>
      <c r="K58" t="s">
        <v>14</v>
      </c>
    </row>
    <row r="59" spans="1:11" x14ac:dyDescent="0.25">
      <c r="A59" t="s">
        <v>333</v>
      </c>
      <c r="B59" t="s">
        <v>118</v>
      </c>
      <c r="C59">
        <v>326.7</v>
      </c>
      <c r="D59">
        <v>342.43</v>
      </c>
      <c r="E59">
        <v>360.58</v>
      </c>
      <c r="F59">
        <v>379.94</v>
      </c>
      <c r="G59">
        <v>400.51</v>
      </c>
      <c r="H59">
        <v>422.29</v>
      </c>
      <c r="I59">
        <v>442.86</v>
      </c>
      <c r="J59">
        <v>468.27</v>
      </c>
      <c r="K59" t="s">
        <v>14</v>
      </c>
    </row>
    <row r="60" spans="1:11" x14ac:dyDescent="0.25">
      <c r="A60" t="s">
        <v>333</v>
      </c>
      <c r="B60" t="s">
        <v>127</v>
      </c>
      <c r="C60">
        <v>459.8</v>
      </c>
      <c r="D60">
        <v>484</v>
      </c>
      <c r="E60">
        <v>509.41</v>
      </c>
      <c r="F60">
        <v>537.24</v>
      </c>
      <c r="G60">
        <v>563.86</v>
      </c>
      <c r="H60">
        <v>596.53</v>
      </c>
      <c r="I60">
        <v>627.99</v>
      </c>
      <c r="J60">
        <v>660.66</v>
      </c>
      <c r="K60" t="s">
        <v>14</v>
      </c>
    </row>
    <row r="61" spans="1:11" x14ac:dyDescent="0.25">
      <c r="A61" t="s">
        <v>333</v>
      </c>
      <c r="B61" t="s">
        <v>136</v>
      </c>
      <c r="C61">
        <v>268.62</v>
      </c>
      <c r="D61">
        <v>317.02</v>
      </c>
      <c r="E61">
        <v>344.85</v>
      </c>
      <c r="F61">
        <v>358.16</v>
      </c>
      <c r="G61">
        <v>427.13</v>
      </c>
      <c r="H61">
        <v>529.98</v>
      </c>
      <c r="I61">
        <v>563.86</v>
      </c>
      <c r="J61">
        <v>578.38</v>
      </c>
      <c r="K61" t="s">
        <v>14</v>
      </c>
    </row>
    <row r="62" spans="1:11" x14ac:dyDescent="0.25">
      <c r="A62" t="s">
        <v>333</v>
      </c>
      <c r="B62" t="s">
        <v>190</v>
      </c>
      <c r="C62">
        <v>173.03</v>
      </c>
      <c r="D62">
        <v>206.91</v>
      </c>
      <c r="E62">
        <v>220.22</v>
      </c>
      <c r="F62">
        <v>234.74</v>
      </c>
      <c r="G62">
        <v>274.67</v>
      </c>
      <c r="H62">
        <v>344.85</v>
      </c>
      <c r="I62">
        <v>399.3</v>
      </c>
      <c r="J62">
        <v>427.13</v>
      </c>
      <c r="K62" t="s">
        <v>14</v>
      </c>
    </row>
    <row r="63" spans="1:11" x14ac:dyDescent="0.25">
      <c r="A63" t="s">
        <v>333</v>
      </c>
      <c r="B63" t="s">
        <v>199</v>
      </c>
      <c r="C63">
        <v>361.79</v>
      </c>
      <c r="D63">
        <v>404.14</v>
      </c>
      <c r="E63">
        <v>439.23</v>
      </c>
      <c r="F63">
        <v>467.06</v>
      </c>
      <c r="G63">
        <v>515.46</v>
      </c>
      <c r="H63">
        <v>598.95000000000005</v>
      </c>
      <c r="I63">
        <v>619.52</v>
      </c>
      <c r="J63">
        <v>682.44</v>
      </c>
      <c r="K63" t="s">
        <v>14</v>
      </c>
    </row>
    <row r="64" spans="1:11" x14ac:dyDescent="0.25">
      <c r="A64" t="s">
        <v>333</v>
      </c>
      <c r="B64" t="s">
        <v>208</v>
      </c>
      <c r="C64">
        <v>134.31</v>
      </c>
      <c r="D64">
        <v>142.78</v>
      </c>
      <c r="E64">
        <v>148.83000000000001</v>
      </c>
      <c r="F64">
        <v>157.30000000000001</v>
      </c>
      <c r="G64">
        <v>165.77</v>
      </c>
      <c r="H64">
        <v>174.24</v>
      </c>
      <c r="I64">
        <v>183.92</v>
      </c>
      <c r="J64">
        <v>193.6</v>
      </c>
      <c r="K64" t="s">
        <v>14</v>
      </c>
    </row>
    <row r="65" spans="1:11" x14ac:dyDescent="0.25">
      <c r="A65" t="s">
        <v>333</v>
      </c>
      <c r="B65" t="s">
        <v>217</v>
      </c>
      <c r="C65">
        <v>151.25</v>
      </c>
      <c r="D65">
        <v>163.35</v>
      </c>
      <c r="E65">
        <v>179.08</v>
      </c>
      <c r="F65">
        <v>193.6</v>
      </c>
      <c r="G65">
        <v>234.74</v>
      </c>
      <c r="H65">
        <v>358.16</v>
      </c>
      <c r="I65">
        <v>396.88</v>
      </c>
      <c r="J65">
        <v>411.4</v>
      </c>
      <c r="K65" t="s">
        <v>14</v>
      </c>
    </row>
    <row r="66" spans="1:11" x14ac:dyDescent="0.25">
      <c r="A66" t="s">
        <v>333</v>
      </c>
      <c r="B66" t="s">
        <v>235</v>
      </c>
      <c r="C66">
        <v>729.63</v>
      </c>
      <c r="D66">
        <v>788.92</v>
      </c>
      <c r="E66">
        <v>825.22</v>
      </c>
      <c r="F66">
        <v>853.05</v>
      </c>
      <c r="G66">
        <v>907.5</v>
      </c>
      <c r="H66">
        <v>1020.03</v>
      </c>
      <c r="I66">
        <v>1020.03</v>
      </c>
      <c r="J66">
        <v>1148.29</v>
      </c>
      <c r="K66" t="s">
        <v>14</v>
      </c>
    </row>
    <row r="67" spans="1:11" x14ac:dyDescent="0.25">
      <c r="A67" t="s">
        <v>333</v>
      </c>
      <c r="B67" t="s">
        <v>244</v>
      </c>
      <c r="C67">
        <v>124.63</v>
      </c>
      <c r="D67">
        <v>137.94</v>
      </c>
      <c r="E67">
        <v>151.25</v>
      </c>
      <c r="F67">
        <v>183.92</v>
      </c>
      <c r="G67">
        <v>214.17</v>
      </c>
      <c r="H67">
        <v>268.62</v>
      </c>
      <c r="I67">
        <v>302.5</v>
      </c>
      <c r="J67">
        <v>317.02</v>
      </c>
      <c r="K67" t="s">
        <v>14</v>
      </c>
    </row>
    <row r="68" spans="1:11" x14ac:dyDescent="0.25">
      <c r="A68" t="s">
        <v>333</v>
      </c>
      <c r="B68" t="s">
        <v>253</v>
      </c>
      <c r="C68">
        <v>139.15</v>
      </c>
      <c r="D68">
        <v>147.62</v>
      </c>
      <c r="E68">
        <v>162.13999999999999</v>
      </c>
      <c r="F68">
        <v>175.45</v>
      </c>
      <c r="G68">
        <v>232.32</v>
      </c>
      <c r="H68">
        <v>300.08</v>
      </c>
      <c r="I68">
        <v>354.53</v>
      </c>
      <c r="J68">
        <v>384.78</v>
      </c>
      <c r="K68" t="s">
        <v>14</v>
      </c>
    </row>
    <row r="69" spans="1:11" x14ac:dyDescent="0.25">
      <c r="A69" t="s">
        <v>333</v>
      </c>
      <c r="B69" t="s">
        <v>37</v>
      </c>
      <c r="C69">
        <v>181.5</v>
      </c>
      <c r="D69">
        <v>191.18</v>
      </c>
      <c r="E69">
        <v>203.28</v>
      </c>
      <c r="F69">
        <v>211.75</v>
      </c>
      <c r="G69">
        <v>223.85</v>
      </c>
      <c r="H69">
        <v>235.95</v>
      </c>
      <c r="I69">
        <v>249.26</v>
      </c>
      <c r="J69">
        <v>240.24</v>
      </c>
      <c r="K69" t="s">
        <v>14</v>
      </c>
    </row>
    <row r="70" spans="1:11" x14ac:dyDescent="0.25">
      <c r="A70" t="s">
        <v>333</v>
      </c>
      <c r="B70" t="s">
        <v>279</v>
      </c>
      <c r="C70">
        <v>173.03</v>
      </c>
      <c r="D70">
        <v>219.01</v>
      </c>
      <c r="E70">
        <v>240.79</v>
      </c>
      <c r="F70">
        <v>255.31</v>
      </c>
      <c r="G70">
        <v>302.5</v>
      </c>
      <c r="H70">
        <v>327.91</v>
      </c>
      <c r="I70">
        <v>344.85</v>
      </c>
      <c r="J70">
        <v>358.16</v>
      </c>
      <c r="K70" t="s">
        <v>14</v>
      </c>
    </row>
    <row r="71" spans="1:11" x14ac:dyDescent="0.25">
      <c r="A71" t="s">
        <v>333</v>
      </c>
      <c r="B71" t="s">
        <v>306</v>
      </c>
      <c r="C71">
        <v>163.35</v>
      </c>
      <c r="D71">
        <v>196.02</v>
      </c>
      <c r="E71">
        <v>214.17</v>
      </c>
      <c r="F71">
        <v>227.48</v>
      </c>
      <c r="G71">
        <v>268.62</v>
      </c>
      <c r="H71">
        <v>341.33</v>
      </c>
      <c r="I71">
        <v>392.04</v>
      </c>
      <c r="J71">
        <v>419.87</v>
      </c>
      <c r="K71" t="s">
        <v>14</v>
      </c>
    </row>
    <row r="72" spans="1:11" x14ac:dyDescent="0.25">
      <c r="A72" t="s">
        <v>333</v>
      </c>
      <c r="B72" t="s">
        <v>315</v>
      </c>
      <c r="C72">
        <v>605</v>
      </c>
      <c r="D72">
        <v>660.66</v>
      </c>
      <c r="E72">
        <v>701.8</v>
      </c>
      <c r="F72">
        <v>729.63</v>
      </c>
      <c r="G72">
        <v>828.85</v>
      </c>
      <c r="H72">
        <v>912.34</v>
      </c>
      <c r="I72">
        <v>963.16</v>
      </c>
      <c r="J72">
        <v>1038.18</v>
      </c>
      <c r="K72" t="s">
        <v>14</v>
      </c>
    </row>
    <row r="73" spans="1:11" x14ac:dyDescent="0.25">
      <c r="A73" t="s">
        <v>333</v>
      </c>
      <c r="B73" t="s">
        <v>333</v>
      </c>
      <c r="C73">
        <v>133.1</v>
      </c>
      <c r="D73">
        <v>141.57</v>
      </c>
      <c r="E73">
        <v>151.25</v>
      </c>
      <c r="F73">
        <v>169.4</v>
      </c>
      <c r="G73">
        <v>187.55</v>
      </c>
      <c r="H73">
        <v>198.44</v>
      </c>
      <c r="I73">
        <v>206.91</v>
      </c>
      <c r="J73">
        <v>220.22</v>
      </c>
      <c r="K73" t="s">
        <v>14</v>
      </c>
    </row>
    <row r="74" spans="1:11" x14ac:dyDescent="0.25">
      <c r="A74" t="s">
        <v>333</v>
      </c>
      <c r="B74" t="s">
        <v>351</v>
      </c>
      <c r="C74">
        <v>537.24</v>
      </c>
      <c r="D74">
        <v>566.28</v>
      </c>
      <c r="E74">
        <v>594.11</v>
      </c>
      <c r="F74">
        <v>626.78</v>
      </c>
      <c r="G74">
        <v>659.45</v>
      </c>
      <c r="H74">
        <v>694.54</v>
      </c>
      <c r="I74">
        <v>713.9</v>
      </c>
      <c r="J74">
        <v>729.63</v>
      </c>
      <c r="K74" t="s">
        <v>14</v>
      </c>
    </row>
    <row r="75" spans="1:11" x14ac:dyDescent="0.25">
      <c r="A75" t="s">
        <v>333</v>
      </c>
      <c r="B75" t="s">
        <v>360</v>
      </c>
      <c r="C75">
        <v>546.91999999999996</v>
      </c>
      <c r="D75">
        <v>574.75</v>
      </c>
      <c r="E75">
        <v>605</v>
      </c>
      <c r="F75">
        <v>637.66999999999996</v>
      </c>
      <c r="G75">
        <v>670.34</v>
      </c>
      <c r="H75">
        <v>707.85</v>
      </c>
      <c r="I75">
        <v>745.36</v>
      </c>
      <c r="J75">
        <v>784.08</v>
      </c>
      <c r="K75" t="s">
        <v>14</v>
      </c>
    </row>
    <row r="76" spans="1:11" x14ac:dyDescent="0.25">
      <c r="A76" t="s">
        <v>333</v>
      </c>
      <c r="B76" t="s">
        <v>369</v>
      </c>
      <c r="C76">
        <v>481.58</v>
      </c>
      <c r="D76">
        <v>522.72</v>
      </c>
      <c r="E76">
        <v>543.29</v>
      </c>
      <c r="F76">
        <v>571.12</v>
      </c>
      <c r="G76">
        <v>667.92</v>
      </c>
      <c r="H76">
        <v>807.07</v>
      </c>
      <c r="I76">
        <v>831.05</v>
      </c>
      <c r="J76">
        <v>894.19</v>
      </c>
      <c r="K76" t="s">
        <v>14</v>
      </c>
    </row>
    <row r="77" spans="1:11" x14ac:dyDescent="0.25">
      <c r="A77" t="s">
        <v>333</v>
      </c>
      <c r="B77" t="s">
        <v>387</v>
      </c>
      <c r="C77">
        <v>179.08</v>
      </c>
      <c r="D77">
        <v>211.75</v>
      </c>
      <c r="E77">
        <v>235.95</v>
      </c>
      <c r="F77">
        <v>254.1</v>
      </c>
      <c r="G77">
        <v>302.5</v>
      </c>
      <c r="H77">
        <v>344.85</v>
      </c>
      <c r="I77">
        <v>370.26</v>
      </c>
      <c r="J77">
        <v>385.99</v>
      </c>
      <c r="K77" t="s">
        <v>14</v>
      </c>
    </row>
    <row r="78" spans="1:11" x14ac:dyDescent="0.25">
      <c r="A78" t="s">
        <v>333</v>
      </c>
      <c r="B78" t="s">
        <v>405</v>
      </c>
      <c r="C78">
        <v>173.03</v>
      </c>
      <c r="D78">
        <v>219.01</v>
      </c>
      <c r="E78">
        <v>240.79</v>
      </c>
      <c r="F78">
        <v>255.31</v>
      </c>
      <c r="G78">
        <v>296.45</v>
      </c>
      <c r="H78">
        <v>324.27999999999997</v>
      </c>
      <c r="I78">
        <v>344.85</v>
      </c>
      <c r="J78">
        <v>358.16</v>
      </c>
      <c r="K78" t="s">
        <v>14</v>
      </c>
    </row>
    <row r="79" spans="1:11" x14ac:dyDescent="0.25">
      <c r="A79" t="s">
        <v>333</v>
      </c>
      <c r="B79" t="s">
        <v>432</v>
      </c>
      <c r="C79">
        <v>133.1</v>
      </c>
      <c r="D79">
        <v>141.57</v>
      </c>
      <c r="E79">
        <v>151.25</v>
      </c>
      <c r="F79">
        <v>169.4</v>
      </c>
      <c r="G79">
        <v>187.55</v>
      </c>
      <c r="H79">
        <v>198.44</v>
      </c>
      <c r="I79">
        <v>212.96</v>
      </c>
      <c r="J79">
        <v>220.22</v>
      </c>
      <c r="K79" t="s">
        <v>14</v>
      </c>
    </row>
    <row r="80" spans="1:11" x14ac:dyDescent="0.25">
      <c r="A80" t="s">
        <v>333</v>
      </c>
      <c r="B80" t="s">
        <v>441</v>
      </c>
      <c r="C80">
        <v>180.29</v>
      </c>
      <c r="D80">
        <v>242</v>
      </c>
      <c r="E80">
        <v>278.3</v>
      </c>
      <c r="F80">
        <v>302.5</v>
      </c>
      <c r="G80">
        <v>387.2</v>
      </c>
      <c r="H80">
        <v>399.3</v>
      </c>
      <c r="I80">
        <v>435.6</v>
      </c>
      <c r="J80">
        <v>441.65</v>
      </c>
      <c r="K80" t="s">
        <v>14</v>
      </c>
    </row>
    <row r="81" spans="1:11" x14ac:dyDescent="0.25">
      <c r="A81" t="s">
        <v>333</v>
      </c>
      <c r="B81" t="s">
        <v>450</v>
      </c>
      <c r="C81">
        <v>398.09</v>
      </c>
      <c r="D81">
        <v>418.66</v>
      </c>
      <c r="E81">
        <v>440.44</v>
      </c>
      <c r="F81">
        <v>463.43</v>
      </c>
      <c r="G81">
        <v>488.84</v>
      </c>
      <c r="H81">
        <v>516.66999999999996</v>
      </c>
      <c r="I81">
        <v>544.5</v>
      </c>
      <c r="J81">
        <v>592.9</v>
      </c>
      <c r="K81" t="s">
        <v>14</v>
      </c>
    </row>
    <row r="82" spans="1:11" x14ac:dyDescent="0.25">
      <c r="A82" t="s">
        <v>333</v>
      </c>
      <c r="B82" t="s">
        <v>468</v>
      </c>
      <c r="C82">
        <v>296.45</v>
      </c>
      <c r="D82">
        <v>330.33</v>
      </c>
      <c r="E82">
        <v>371.47</v>
      </c>
      <c r="F82">
        <v>385.99</v>
      </c>
      <c r="G82">
        <v>427.13</v>
      </c>
      <c r="H82">
        <v>476.74</v>
      </c>
      <c r="I82">
        <v>537.24</v>
      </c>
      <c r="J82">
        <v>598.95000000000005</v>
      </c>
      <c r="K82" t="s">
        <v>14</v>
      </c>
    </row>
    <row r="83" spans="1:11" x14ac:dyDescent="0.25">
      <c r="A83" t="s">
        <v>333</v>
      </c>
      <c r="B83" t="s">
        <v>522</v>
      </c>
      <c r="C83">
        <v>193.6</v>
      </c>
      <c r="D83">
        <v>255.31</v>
      </c>
      <c r="E83">
        <v>295.24</v>
      </c>
      <c r="F83">
        <v>318.23</v>
      </c>
      <c r="G83">
        <v>361.79</v>
      </c>
      <c r="H83">
        <v>412.61</v>
      </c>
      <c r="I83">
        <v>429.55</v>
      </c>
      <c r="J83">
        <v>453.75</v>
      </c>
      <c r="K83" t="s">
        <v>14</v>
      </c>
    </row>
    <row r="84" spans="1:11" x14ac:dyDescent="0.25">
      <c r="A84" t="s">
        <v>333</v>
      </c>
      <c r="B84" t="s">
        <v>540</v>
      </c>
      <c r="C84">
        <v>227.48</v>
      </c>
      <c r="D84">
        <v>248.05</v>
      </c>
      <c r="E84">
        <v>290.39999999999998</v>
      </c>
      <c r="F84">
        <v>302.5</v>
      </c>
      <c r="G84">
        <v>350.9</v>
      </c>
      <c r="H84">
        <v>412.61</v>
      </c>
      <c r="I84">
        <v>459.8</v>
      </c>
      <c r="J84">
        <v>522.72</v>
      </c>
      <c r="K84" t="s">
        <v>14</v>
      </c>
    </row>
    <row r="85" spans="1:11" x14ac:dyDescent="0.25">
      <c r="A85" t="s">
        <v>333</v>
      </c>
      <c r="B85" t="s">
        <v>594</v>
      </c>
      <c r="C85">
        <v>537.24</v>
      </c>
      <c r="D85">
        <v>556.6</v>
      </c>
      <c r="E85">
        <v>578.38</v>
      </c>
      <c r="F85">
        <v>626.78</v>
      </c>
      <c r="G85">
        <v>705.43</v>
      </c>
      <c r="H85">
        <v>839.74</v>
      </c>
      <c r="I85">
        <v>894.19</v>
      </c>
      <c r="J85">
        <v>935.33</v>
      </c>
      <c r="K85" t="s">
        <v>14</v>
      </c>
    </row>
    <row r="86" spans="1:11" x14ac:dyDescent="0.25">
      <c r="A86" t="s">
        <v>333</v>
      </c>
      <c r="B86" t="s">
        <v>603</v>
      </c>
      <c r="C86">
        <v>173.03</v>
      </c>
      <c r="D86">
        <v>219.01</v>
      </c>
      <c r="E86">
        <v>240.79</v>
      </c>
      <c r="F86">
        <v>255.31</v>
      </c>
      <c r="G86">
        <v>296.45</v>
      </c>
      <c r="H86">
        <v>324.27999999999997</v>
      </c>
      <c r="I86">
        <v>344.85</v>
      </c>
      <c r="J86">
        <v>358.16</v>
      </c>
      <c r="K86" t="s">
        <v>14</v>
      </c>
    </row>
    <row r="87" spans="1:11" x14ac:dyDescent="0.25">
      <c r="A87" t="s">
        <v>333</v>
      </c>
      <c r="B87" t="s">
        <v>630</v>
      </c>
      <c r="C87">
        <v>179.08</v>
      </c>
      <c r="D87">
        <v>211.75</v>
      </c>
      <c r="E87">
        <v>235.95</v>
      </c>
      <c r="F87">
        <v>254.1</v>
      </c>
      <c r="G87">
        <v>302.5</v>
      </c>
      <c r="H87">
        <v>344.85</v>
      </c>
      <c r="I87">
        <v>370.26</v>
      </c>
      <c r="J87">
        <v>385.99</v>
      </c>
      <c r="K87" t="s">
        <v>14</v>
      </c>
    </row>
    <row r="88" spans="1:11" x14ac:dyDescent="0.25">
      <c r="A88" t="s">
        <v>333</v>
      </c>
      <c r="B88" t="s">
        <v>639</v>
      </c>
      <c r="C88">
        <v>398.09</v>
      </c>
      <c r="D88">
        <v>418.66</v>
      </c>
      <c r="E88">
        <v>440.44</v>
      </c>
      <c r="F88">
        <v>463.43</v>
      </c>
      <c r="G88">
        <v>488.84</v>
      </c>
      <c r="H88">
        <v>516.66999999999996</v>
      </c>
      <c r="I88">
        <v>544.5</v>
      </c>
      <c r="J88">
        <v>592.9</v>
      </c>
      <c r="K88" t="s">
        <v>14</v>
      </c>
    </row>
    <row r="89" spans="1:11" x14ac:dyDescent="0.25">
      <c r="A89" t="s">
        <v>333</v>
      </c>
      <c r="B89" t="s">
        <v>648</v>
      </c>
      <c r="C89">
        <v>330</v>
      </c>
      <c r="D89">
        <v>345.73</v>
      </c>
      <c r="E89">
        <v>363.88</v>
      </c>
      <c r="F89">
        <v>383.24</v>
      </c>
      <c r="G89">
        <v>403.81</v>
      </c>
      <c r="H89">
        <v>425.59</v>
      </c>
      <c r="I89">
        <v>446.16</v>
      </c>
      <c r="J89">
        <v>471.57</v>
      </c>
      <c r="K89" t="s">
        <v>14</v>
      </c>
    </row>
    <row r="90" spans="1:11" x14ac:dyDescent="0.25">
      <c r="A90" t="s">
        <v>333</v>
      </c>
      <c r="B90" t="s">
        <v>657</v>
      </c>
      <c r="C90">
        <v>289.19</v>
      </c>
      <c r="D90">
        <v>337.59</v>
      </c>
      <c r="E90">
        <v>385.99</v>
      </c>
      <c r="F90">
        <v>399.3</v>
      </c>
      <c r="G90">
        <v>468.27</v>
      </c>
      <c r="H90">
        <v>537.24</v>
      </c>
      <c r="I90">
        <v>571.12</v>
      </c>
      <c r="J90">
        <v>619.52</v>
      </c>
      <c r="K90" t="s">
        <v>14</v>
      </c>
    </row>
    <row r="91" spans="1:11" x14ac:dyDescent="0.25">
      <c r="A91" t="s">
        <v>333</v>
      </c>
      <c r="B91" t="s">
        <v>675</v>
      </c>
      <c r="C91">
        <v>287.98</v>
      </c>
      <c r="D91">
        <v>302.5</v>
      </c>
      <c r="E91">
        <v>318.23</v>
      </c>
      <c r="F91">
        <v>336.38</v>
      </c>
      <c r="G91">
        <v>354.53</v>
      </c>
      <c r="H91">
        <v>372.68</v>
      </c>
      <c r="I91">
        <v>392.04</v>
      </c>
      <c r="J91">
        <v>412.61</v>
      </c>
      <c r="K91" t="s">
        <v>14</v>
      </c>
    </row>
    <row r="92" spans="1:11" x14ac:dyDescent="0.25">
      <c r="A92" t="s">
        <v>333</v>
      </c>
      <c r="B92" t="s">
        <v>684</v>
      </c>
      <c r="C92">
        <v>440.44</v>
      </c>
      <c r="D92">
        <v>463.43</v>
      </c>
      <c r="E92">
        <v>488.84</v>
      </c>
      <c r="F92">
        <v>513.04</v>
      </c>
      <c r="G92">
        <v>532.4</v>
      </c>
      <c r="H92">
        <v>563.86</v>
      </c>
      <c r="I92">
        <v>612.26</v>
      </c>
      <c r="J92">
        <v>647.35</v>
      </c>
      <c r="K92" t="s">
        <v>14</v>
      </c>
    </row>
    <row r="93" spans="1:11" x14ac:dyDescent="0.25">
      <c r="A93" t="s">
        <v>333</v>
      </c>
      <c r="B93" t="s">
        <v>702</v>
      </c>
      <c r="C93">
        <v>440.44</v>
      </c>
      <c r="D93">
        <v>463.43</v>
      </c>
      <c r="E93">
        <v>488.84</v>
      </c>
      <c r="F93">
        <v>513.04</v>
      </c>
      <c r="G93">
        <v>540.87</v>
      </c>
      <c r="H93">
        <v>563.86</v>
      </c>
      <c r="I93">
        <v>612.26</v>
      </c>
      <c r="J93">
        <v>653.4</v>
      </c>
      <c r="K93" t="s">
        <v>14</v>
      </c>
    </row>
    <row r="94" spans="1:11" x14ac:dyDescent="0.25">
      <c r="A94" t="s">
        <v>333</v>
      </c>
      <c r="B94" t="s">
        <v>729</v>
      </c>
      <c r="C94">
        <v>165.77</v>
      </c>
      <c r="D94">
        <v>206.91</v>
      </c>
      <c r="E94">
        <v>240.79</v>
      </c>
      <c r="F94">
        <v>258.94</v>
      </c>
      <c r="G94">
        <v>312.18</v>
      </c>
      <c r="H94">
        <v>358.16</v>
      </c>
      <c r="I94">
        <v>385.99</v>
      </c>
      <c r="J94">
        <v>399.3</v>
      </c>
      <c r="K94" t="s">
        <v>14</v>
      </c>
    </row>
    <row r="95" spans="1:11" x14ac:dyDescent="0.25">
      <c r="A95" t="s">
        <v>333</v>
      </c>
      <c r="B95" t="s">
        <v>738</v>
      </c>
      <c r="C95">
        <v>187.55</v>
      </c>
      <c r="D95">
        <v>197.23</v>
      </c>
      <c r="E95">
        <v>211.75</v>
      </c>
      <c r="F95">
        <v>220.22</v>
      </c>
      <c r="G95">
        <v>268.62</v>
      </c>
      <c r="H95">
        <v>289.19</v>
      </c>
      <c r="I95">
        <v>317.02</v>
      </c>
      <c r="J95">
        <v>330.33</v>
      </c>
      <c r="K95" t="s">
        <v>14</v>
      </c>
    </row>
    <row r="96" spans="1:11" x14ac:dyDescent="0.25">
      <c r="A96" t="s">
        <v>333</v>
      </c>
      <c r="B96" t="s">
        <v>747</v>
      </c>
      <c r="C96">
        <v>168.19</v>
      </c>
      <c r="D96">
        <v>202.07</v>
      </c>
      <c r="E96">
        <v>214.17</v>
      </c>
      <c r="F96">
        <v>233.53</v>
      </c>
      <c r="G96">
        <v>274.67</v>
      </c>
      <c r="H96">
        <v>356.95</v>
      </c>
      <c r="I96">
        <v>402.93</v>
      </c>
      <c r="J96">
        <v>440.44</v>
      </c>
      <c r="K96" t="s">
        <v>14</v>
      </c>
    </row>
    <row r="97" spans="1:11" x14ac:dyDescent="0.25">
      <c r="A97" t="s">
        <v>333</v>
      </c>
      <c r="B97" t="s">
        <v>756</v>
      </c>
      <c r="C97">
        <v>309.76</v>
      </c>
      <c r="D97">
        <v>333.96</v>
      </c>
      <c r="E97">
        <v>372.68</v>
      </c>
      <c r="F97">
        <v>389.62</v>
      </c>
      <c r="G97">
        <v>442.86</v>
      </c>
      <c r="H97">
        <v>492.47</v>
      </c>
      <c r="I97">
        <v>550.54999999999995</v>
      </c>
      <c r="J97">
        <v>619.52</v>
      </c>
      <c r="K97" t="s">
        <v>14</v>
      </c>
    </row>
    <row r="98" spans="1:11" x14ac:dyDescent="0.25">
      <c r="A98" t="s">
        <v>333</v>
      </c>
      <c r="B98" t="s">
        <v>1626</v>
      </c>
      <c r="C98">
        <v>742.94</v>
      </c>
      <c r="D98">
        <v>811.91</v>
      </c>
      <c r="E98">
        <v>860.31</v>
      </c>
      <c r="F98">
        <v>873.62</v>
      </c>
      <c r="G98">
        <v>968</v>
      </c>
      <c r="H98">
        <v>1028.5</v>
      </c>
      <c r="I98">
        <v>1095.05</v>
      </c>
      <c r="J98">
        <v>1137.4000000000001</v>
      </c>
      <c r="K98" t="s">
        <v>14</v>
      </c>
    </row>
    <row r="99" spans="1:11" x14ac:dyDescent="0.25">
      <c r="A99" t="s">
        <v>333</v>
      </c>
      <c r="B99" t="s">
        <v>783</v>
      </c>
      <c r="C99">
        <v>168.19</v>
      </c>
      <c r="D99">
        <v>205.7</v>
      </c>
      <c r="E99">
        <v>222.64</v>
      </c>
      <c r="F99">
        <v>233.53</v>
      </c>
      <c r="G99">
        <v>277.08999999999997</v>
      </c>
      <c r="H99">
        <v>363</v>
      </c>
      <c r="I99">
        <v>401.72</v>
      </c>
      <c r="J99">
        <v>440.44</v>
      </c>
      <c r="K99" t="s">
        <v>14</v>
      </c>
    </row>
    <row r="100" spans="1:11" x14ac:dyDescent="0.25">
      <c r="A100" t="s">
        <v>333</v>
      </c>
      <c r="B100" t="s">
        <v>792</v>
      </c>
      <c r="C100">
        <v>358.16</v>
      </c>
      <c r="D100">
        <v>412.61</v>
      </c>
      <c r="E100">
        <v>453.75</v>
      </c>
      <c r="F100">
        <v>475.53</v>
      </c>
      <c r="G100">
        <v>516.66999999999996</v>
      </c>
      <c r="H100">
        <v>591.69000000000005</v>
      </c>
      <c r="I100">
        <v>647.35</v>
      </c>
      <c r="J100">
        <v>715.11</v>
      </c>
      <c r="K100" t="s">
        <v>14</v>
      </c>
    </row>
    <row r="101" spans="1:11" x14ac:dyDescent="0.25">
      <c r="A101" t="s">
        <v>333</v>
      </c>
      <c r="B101" t="s">
        <v>819</v>
      </c>
      <c r="C101">
        <v>306.13</v>
      </c>
      <c r="D101">
        <v>332.75</v>
      </c>
      <c r="E101">
        <v>364.21</v>
      </c>
      <c r="F101">
        <v>390.83</v>
      </c>
      <c r="G101">
        <v>417.45</v>
      </c>
      <c r="H101">
        <v>502.15</v>
      </c>
      <c r="I101">
        <v>598.95000000000005</v>
      </c>
      <c r="J101">
        <v>750.2</v>
      </c>
      <c r="K101" t="s">
        <v>14</v>
      </c>
    </row>
    <row r="102" spans="1:11" x14ac:dyDescent="0.25">
      <c r="A102" t="s">
        <v>333</v>
      </c>
      <c r="B102" t="s">
        <v>828</v>
      </c>
      <c r="C102">
        <v>266.2</v>
      </c>
      <c r="D102">
        <v>290.39999999999998</v>
      </c>
      <c r="E102">
        <v>314.60000000000002</v>
      </c>
      <c r="F102">
        <v>338.8</v>
      </c>
      <c r="G102">
        <v>375.1</v>
      </c>
      <c r="H102">
        <v>520.29999999999995</v>
      </c>
      <c r="I102">
        <v>532.4</v>
      </c>
      <c r="J102">
        <v>544.5</v>
      </c>
      <c r="K102" t="s">
        <v>14</v>
      </c>
    </row>
    <row r="103" spans="1:11" x14ac:dyDescent="0.25">
      <c r="A103" t="s">
        <v>333</v>
      </c>
      <c r="B103" t="s">
        <v>846</v>
      </c>
      <c r="C103">
        <v>210.54</v>
      </c>
      <c r="D103">
        <v>221.43</v>
      </c>
      <c r="E103">
        <v>234.74</v>
      </c>
      <c r="F103">
        <v>246.84</v>
      </c>
      <c r="G103">
        <v>258.94</v>
      </c>
      <c r="H103">
        <v>274.67</v>
      </c>
      <c r="I103">
        <v>287.98</v>
      </c>
      <c r="J103">
        <v>302.5</v>
      </c>
      <c r="K103" t="s">
        <v>14</v>
      </c>
    </row>
    <row r="104" spans="1:11" x14ac:dyDescent="0.25">
      <c r="A104" t="s">
        <v>333</v>
      </c>
      <c r="B104" t="s">
        <v>855</v>
      </c>
      <c r="C104">
        <v>290.39999999999998</v>
      </c>
      <c r="D104">
        <v>313.39</v>
      </c>
      <c r="E104">
        <v>358.16</v>
      </c>
      <c r="F104">
        <v>385.99</v>
      </c>
      <c r="G104">
        <v>440.44</v>
      </c>
      <c r="H104">
        <v>522.72</v>
      </c>
      <c r="I104">
        <v>574.75</v>
      </c>
      <c r="J104">
        <v>726</v>
      </c>
      <c r="K104" t="s">
        <v>14</v>
      </c>
    </row>
    <row r="105" spans="1:11" x14ac:dyDescent="0.25">
      <c r="A105" t="s">
        <v>333</v>
      </c>
      <c r="B105" t="s">
        <v>864</v>
      </c>
      <c r="C105">
        <v>233.53</v>
      </c>
      <c r="D105">
        <v>272.25</v>
      </c>
      <c r="E105">
        <v>302.5</v>
      </c>
      <c r="F105">
        <v>338.8</v>
      </c>
      <c r="G105">
        <v>375.1</v>
      </c>
      <c r="H105">
        <v>427.13</v>
      </c>
      <c r="I105">
        <v>447.7</v>
      </c>
      <c r="J105">
        <v>468.27</v>
      </c>
      <c r="K105" t="s">
        <v>14</v>
      </c>
    </row>
    <row r="106" spans="1:11" x14ac:dyDescent="0.25">
      <c r="A106" t="s">
        <v>333</v>
      </c>
      <c r="B106" t="s">
        <v>882</v>
      </c>
      <c r="C106">
        <v>348.48</v>
      </c>
      <c r="D106">
        <v>392.04</v>
      </c>
      <c r="E106">
        <v>435.6</v>
      </c>
      <c r="F106">
        <v>448.91</v>
      </c>
      <c r="G106">
        <v>496.1</v>
      </c>
      <c r="H106">
        <v>557.80999999999995</v>
      </c>
      <c r="I106">
        <v>584.42999999999995</v>
      </c>
      <c r="J106">
        <v>647.35</v>
      </c>
      <c r="K106" t="s">
        <v>14</v>
      </c>
    </row>
    <row r="107" spans="1:11" x14ac:dyDescent="0.25">
      <c r="A107" t="s">
        <v>333</v>
      </c>
      <c r="B107" t="s">
        <v>909</v>
      </c>
      <c r="C107">
        <v>163.35</v>
      </c>
      <c r="D107">
        <v>181.5</v>
      </c>
      <c r="E107">
        <v>206.91</v>
      </c>
      <c r="F107">
        <v>234.74</v>
      </c>
      <c r="G107">
        <v>263.77999999999997</v>
      </c>
      <c r="H107">
        <v>287.98</v>
      </c>
      <c r="I107">
        <v>302.5</v>
      </c>
      <c r="J107">
        <v>317.02</v>
      </c>
      <c r="K107" t="s">
        <v>14</v>
      </c>
    </row>
    <row r="108" spans="1:11" x14ac:dyDescent="0.25">
      <c r="A108" t="s">
        <v>46</v>
      </c>
      <c r="B108" t="s">
        <v>118</v>
      </c>
      <c r="C108">
        <v>0</v>
      </c>
      <c r="D108">
        <v>0</v>
      </c>
      <c r="E108">
        <v>110</v>
      </c>
      <c r="F108">
        <v>110</v>
      </c>
      <c r="G108">
        <v>165</v>
      </c>
      <c r="H108">
        <v>198</v>
      </c>
      <c r="I108">
        <v>220</v>
      </c>
      <c r="J108">
        <v>253</v>
      </c>
      <c r="K108" t="s">
        <v>14</v>
      </c>
    </row>
    <row r="109" spans="1:11" x14ac:dyDescent="0.25">
      <c r="A109" t="s">
        <v>46</v>
      </c>
      <c r="B109" t="s">
        <v>136</v>
      </c>
      <c r="C109">
        <v>0</v>
      </c>
      <c r="D109">
        <v>0</v>
      </c>
      <c r="E109">
        <v>110</v>
      </c>
      <c r="F109">
        <v>110</v>
      </c>
      <c r="G109">
        <v>165</v>
      </c>
      <c r="H109">
        <v>198</v>
      </c>
      <c r="I109">
        <v>220</v>
      </c>
      <c r="J109">
        <v>253</v>
      </c>
      <c r="K109" t="s">
        <v>14</v>
      </c>
    </row>
    <row r="110" spans="1:11" x14ac:dyDescent="0.25">
      <c r="A110" t="s">
        <v>46</v>
      </c>
      <c r="B110" t="s">
        <v>37</v>
      </c>
      <c r="C110">
        <v>0</v>
      </c>
      <c r="D110">
        <v>0</v>
      </c>
      <c r="E110">
        <v>196.9</v>
      </c>
      <c r="F110">
        <v>196.9</v>
      </c>
      <c r="G110">
        <v>295.35000000000002</v>
      </c>
      <c r="H110">
        <v>344.58</v>
      </c>
      <c r="I110">
        <v>393.8</v>
      </c>
      <c r="J110">
        <v>406.11</v>
      </c>
      <c r="K110" t="s">
        <v>14</v>
      </c>
    </row>
    <row r="111" spans="1:11" x14ac:dyDescent="0.25">
      <c r="A111" t="s">
        <v>46</v>
      </c>
      <c r="B111" t="s">
        <v>333</v>
      </c>
      <c r="C111">
        <v>0</v>
      </c>
      <c r="D111">
        <v>0</v>
      </c>
      <c r="E111">
        <v>205.65</v>
      </c>
      <c r="F111">
        <v>205.65</v>
      </c>
      <c r="G111">
        <v>308.47000000000003</v>
      </c>
      <c r="H111">
        <v>359.88</v>
      </c>
      <c r="I111">
        <v>411.29</v>
      </c>
      <c r="J111">
        <v>424.15</v>
      </c>
      <c r="K111" t="s">
        <v>14</v>
      </c>
    </row>
    <row r="112" spans="1:11" x14ac:dyDescent="0.25">
      <c r="A112" t="s">
        <v>46</v>
      </c>
      <c r="B112" t="s">
        <v>351</v>
      </c>
      <c r="C112">
        <v>0</v>
      </c>
      <c r="D112">
        <v>0</v>
      </c>
      <c r="E112">
        <v>110</v>
      </c>
      <c r="F112">
        <v>110</v>
      </c>
      <c r="G112">
        <v>165</v>
      </c>
      <c r="H112">
        <v>198</v>
      </c>
      <c r="I112">
        <v>220</v>
      </c>
      <c r="J112">
        <v>253</v>
      </c>
      <c r="K112" t="s">
        <v>14</v>
      </c>
    </row>
    <row r="113" spans="1:11" x14ac:dyDescent="0.25">
      <c r="A113" t="s">
        <v>46</v>
      </c>
      <c r="B113" t="s">
        <v>360</v>
      </c>
      <c r="C113">
        <v>0</v>
      </c>
      <c r="D113">
        <v>0</v>
      </c>
      <c r="E113">
        <v>420.02</v>
      </c>
      <c r="F113">
        <v>420.02</v>
      </c>
      <c r="G113">
        <v>630.03</v>
      </c>
      <c r="H113">
        <v>735.04</v>
      </c>
      <c r="I113">
        <v>840.04</v>
      </c>
      <c r="J113">
        <v>866.3</v>
      </c>
      <c r="K113" t="s">
        <v>14</v>
      </c>
    </row>
    <row r="114" spans="1:11" x14ac:dyDescent="0.25">
      <c r="A114" t="s">
        <v>46</v>
      </c>
      <c r="B114" t="s">
        <v>405</v>
      </c>
      <c r="C114">
        <v>0</v>
      </c>
      <c r="D114">
        <v>0</v>
      </c>
      <c r="E114">
        <v>206.8</v>
      </c>
      <c r="F114">
        <v>206.8</v>
      </c>
      <c r="G114">
        <v>310.2</v>
      </c>
      <c r="H114">
        <v>361.9</v>
      </c>
      <c r="I114">
        <v>413.6</v>
      </c>
      <c r="J114">
        <v>426.53</v>
      </c>
      <c r="K114" t="s">
        <v>14</v>
      </c>
    </row>
    <row r="115" spans="1:11" x14ac:dyDescent="0.25">
      <c r="A115" t="s">
        <v>46</v>
      </c>
      <c r="B115" t="s">
        <v>450</v>
      </c>
      <c r="C115">
        <v>0</v>
      </c>
      <c r="D115">
        <v>0</v>
      </c>
      <c r="E115">
        <v>110</v>
      </c>
      <c r="F115">
        <v>110</v>
      </c>
      <c r="G115">
        <v>165</v>
      </c>
      <c r="H115">
        <v>198</v>
      </c>
      <c r="I115">
        <v>220</v>
      </c>
      <c r="J115">
        <v>253</v>
      </c>
      <c r="K115" t="s">
        <v>14</v>
      </c>
    </row>
    <row r="116" spans="1:11" x14ac:dyDescent="0.25">
      <c r="A116" t="s">
        <v>46</v>
      </c>
      <c r="B116" t="s">
        <v>639</v>
      </c>
      <c r="C116">
        <v>0</v>
      </c>
      <c r="D116">
        <v>0</v>
      </c>
      <c r="E116">
        <v>110</v>
      </c>
      <c r="F116">
        <v>110</v>
      </c>
      <c r="G116">
        <v>165</v>
      </c>
      <c r="H116">
        <v>198</v>
      </c>
      <c r="I116">
        <v>220</v>
      </c>
      <c r="J116">
        <v>253</v>
      </c>
      <c r="K116" t="s">
        <v>14</v>
      </c>
    </row>
    <row r="117" spans="1:11" x14ac:dyDescent="0.25">
      <c r="A117" t="s">
        <v>46</v>
      </c>
      <c r="B117" t="s">
        <v>657</v>
      </c>
      <c r="C117">
        <v>0</v>
      </c>
      <c r="D117">
        <v>0</v>
      </c>
      <c r="E117">
        <v>110</v>
      </c>
      <c r="F117">
        <v>110</v>
      </c>
      <c r="G117">
        <v>165</v>
      </c>
      <c r="H117">
        <v>198</v>
      </c>
      <c r="I117">
        <v>220</v>
      </c>
      <c r="J117">
        <v>253</v>
      </c>
      <c r="K117" t="s">
        <v>14</v>
      </c>
    </row>
    <row r="118" spans="1:11" x14ac:dyDescent="0.25">
      <c r="A118" t="s">
        <v>46</v>
      </c>
      <c r="B118" t="s">
        <v>702</v>
      </c>
      <c r="C118">
        <v>0</v>
      </c>
      <c r="D118">
        <v>0</v>
      </c>
      <c r="E118">
        <v>110</v>
      </c>
      <c r="F118">
        <v>110</v>
      </c>
      <c r="G118">
        <v>165</v>
      </c>
      <c r="H118">
        <v>198</v>
      </c>
      <c r="I118">
        <v>220</v>
      </c>
      <c r="J118">
        <v>253</v>
      </c>
      <c r="K118" t="s">
        <v>14</v>
      </c>
    </row>
    <row r="119" spans="1:11" x14ac:dyDescent="0.25">
      <c r="A119" t="s">
        <v>46</v>
      </c>
      <c r="B119" t="s">
        <v>819</v>
      </c>
      <c r="C119">
        <v>0</v>
      </c>
      <c r="D119">
        <v>0</v>
      </c>
      <c r="E119">
        <v>110</v>
      </c>
      <c r="F119">
        <v>110</v>
      </c>
      <c r="G119">
        <v>165</v>
      </c>
      <c r="H119">
        <v>198</v>
      </c>
      <c r="I119">
        <v>220</v>
      </c>
      <c r="J119">
        <v>253</v>
      </c>
      <c r="K119" t="s">
        <v>14</v>
      </c>
    </row>
    <row r="120" spans="1:11" x14ac:dyDescent="0.25">
      <c r="A120" t="s">
        <v>46</v>
      </c>
      <c r="B120" t="s">
        <v>846</v>
      </c>
      <c r="C120">
        <v>0</v>
      </c>
      <c r="D120">
        <v>0</v>
      </c>
      <c r="E120">
        <v>177.86</v>
      </c>
      <c r="F120">
        <v>177.86</v>
      </c>
      <c r="G120">
        <v>266.77999999999997</v>
      </c>
      <c r="H120">
        <v>311.25</v>
      </c>
      <c r="I120">
        <v>355.71</v>
      </c>
      <c r="J120">
        <v>366.83</v>
      </c>
      <c r="K120" t="s">
        <v>14</v>
      </c>
    </row>
    <row r="121" spans="1:11" x14ac:dyDescent="0.25">
      <c r="A121" t="s">
        <v>46</v>
      </c>
      <c r="B121" t="s">
        <v>909</v>
      </c>
      <c r="C121">
        <v>0</v>
      </c>
      <c r="D121">
        <v>0</v>
      </c>
      <c r="E121">
        <v>201.36</v>
      </c>
      <c r="F121">
        <v>201.36</v>
      </c>
      <c r="G121">
        <v>302.02999999999997</v>
      </c>
      <c r="H121">
        <v>352.37</v>
      </c>
      <c r="I121">
        <v>402.71</v>
      </c>
      <c r="J121">
        <v>415.3</v>
      </c>
      <c r="K121" t="s">
        <v>14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1FD6A-F76C-4436-8CA5-13B1A7BFBAC7}">
  <sheetPr>
    <tabColor theme="8"/>
  </sheetPr>
  <dimension ref="A1:J121"/>
  <sheetViews>
    <sheetView zoomScale="98" workbookViewId="0">
      <selection activeCell="D41" sqref="D41"/>
    </sheetView>
  </sheetViews>
  <sheetFormatPr baseColWidth="10" defaultColWidth="11.42578125" defaultRowHeight="15" x14ac:dyDescent="0.25"/>
  <cols>
    <col min="1" max="1" width="11.7109375" bestFit="1" customWidth="1"/>
    <col min="2" max="2" width="20.7109375" bestFit="1" customWidth="1"/>
    <col min="3" max="5" width="13.140625" style="1" bestFit="1" customWidth="1"/>
    <col min="6" max="6" width="14.140625" style="1" bestFit="1" customWidth="1"/>
    <col min="7" max="9" width="15.140625" style="1" bestFit="1" customWidth="1"/>
    <col min="10" max="10" width="15.5703125" style="1" bestFit="1" customWidth="1"/>
  </cols>
  <sheetData>
    <row r="1" spans="1:10" x14ac:dyDescent="0.25">
      <c r="A1" t="s">
        <v>1</v>
      </c>
      <c r="B1" t="s">
        <v>2</v>
      </c>
      <c r="C1" s="44" t="s">
        <v>21</v>
      </c>
      <c r="D1" s="44" t="s">
        <v>29</v>
      </c>
      <c r="E1" s="44" t="s">
        <v>31</v>
      </c>
      <c r="F1" s="44" t="s">
        <v>33</v>
      </c>
      <c r="G1" s="44" t="s">
        <v>23</v>
      </c>
      <c r="H1" s="44" t="s">
        <v>25</v>
      </c>
      <c r="I1" s="44" t="s">
        <v>27</v>
      </c>
      <c r="J1" s="44" t="s">
        <v>35</v>
      </c>
    </row>
    <row r="2" spans="1:10" ht="16.5" hidden="1" thickBot="1" x14ac:dyDescent="0.3">
      <c r="A2" s="38" t="s">
        <v>37</v>
      </c>
      <c r="B2" s="38" t="s">
        <v>46</v>
      </c>
      <c r="C2" s="41">
        <v>210.29800000000003</v>
      </c>
      <c r="D2" s="41">
        <v>246.23500000000001</v>
      </c>
      <c r="E2" s="41">
        <v>284.834</v>
      </c>
      <c r="F2" s="41">
        <v>307.46100000000001</v>
      </c>
      <c r="G2" s="41">
        <v>336.74299999999999</v>
      </c>
      <c r="H2" s="41">
        <v>444.55400000000003</v>
      </c>
      <c r="I2" s="41">
        <v>553.69600000000003</v>
      </c>
      <c r="J2" s="41">
        <v>721.40200000000016</v>
      </c>
    </row>
    <row r="3" spans="1:10" ht="16.5" hidden="1" thickBot="1" x14ac:dyDescent="0.3">
      <c r="A3" s="39" t="s">
        <v>37</v>
      </c>
      <c r="B3" s="39" t="s">
        <v>82</v>
      </c>
      <c r="C3" s="42">
        <v>167.70600000000002</v>
      </c>
      <c r="D3" s="42">
        <v>189.00200000000001</v>
      </c>
      <c r="E3" s="42">
        <v>230.26300000000003</v>
      </c>
      <c r="F3" s="42">
        <v>263.53800000000001</v>
      </c>
      <c r="G3" s="42">
        <v>306.13000000000005</v>
      </c>
      <c r="H3" s="42">
        <v>415.27199999999999</v>
      </c>
      <c r="I3" s="42">
        <v>439.23000000000008</v>
      </c>
      <c r="J3" s="42">
        <v>479.16000000000008</v>
      </c>
    </row>
    <row r="4" spans="1:10" ht="16.5" hidden="1" thickBot="1" x14ac:dyDescent="0.3">
      <c r="A4" s="38" t="s">
        <v>37</v>
      </c>
      <c r="B4" s="38" t="s">
        <v>100</v>
      </c>
      <c r="C4" s="41">
        <v>254.22100000000003</v>
      </c>
      <c r="D4" s="41">
        <v>330.08800000000002</v>
      </c>
      <c r="E4" s="41">
        <v>380.66600000000005</v>
      </c>
      <c r="F4" s="41">
        <v>412.33500000000004</v>
      </c>
      <c r="G4" s="41">
        <v>441.89200000000005</v>
      </c>
      <c r="H4" s="41">
        <v>512.43500000000006</v>
      </c>
      <c r="I4" s="41">
        <v>601.61199999999997</v>
      </c>
      <c r="J4" s="41">
        <v>724.06400000000008</v>
      </c>
    </row>
    <row r="5" spans="1:10" ht="16.5" hidden="1" thickBot="1" x14ac:dyDescent="0.3">
      <c r="A5" s="39" t="s">
        <v>37</v>
      </c>
      <c r="B5" s="39" t="s">
        <v>109</v>
      </c>
      <c r="C5" s="42">
        <v>179.685</v>
      </c>
      <c r="D5" s="42">
        <v>220.94600000000003</v>
      </c>
      <c r="E5" s="42">
        <v>251.55900000000003</v>
      </c>
      <c r="F5" s="42">
        <v>267.53100000000001</v>
      </c>
      <c r="G5" s="42">
        <v>294.15100000000007</v>
      </c>
      <c r="H5" s="42">
        <v>387.32100000000003</v>
      </c>
      <c r="I5" s="42">
        <v>436.56800000000004</v>
      </c>
      <c r="J5" s="42">
        <v>523.08299999999997</v>
      </c>
    </row>
    <row r="6" spans="1:10" ht="16.5" hidden="1" thickBot="1" x14ac:dyDescent="0.3">
      <c r="A6" s="38" t="s">
        <v>37</v>
      </c>
      <c r="B6" s="38" t="s">
        <v>118</v>
      </c>
      <c r="C6" s="41">
        <v>161.05100000000002</v>
      </c>
      <c r="D6" s="41">
        <v>161.05100000000002</v>
      </c>
      <c r="E6" s="41">
        <v>168.19000000000003</v>
      </c>
      <c r="F6" s="41">
        <v>182.71</v>
      </c>
      <c r="G6" s="41">
        <v>248.05</v>
      </c>
      <c r="H6" s="41">
        <v>242.00000000000003</v>
      </c>
      <c r="I6" s="41">
        <v>366.02500000000003</v>
      </c>
      <c r="J6" s="41">
        <v>419.26499999999999</v>
      </c>
    </row>
    <row r="7" spans="1:10" ht="16.5" hidden="1" thickBot="1" x14ac:dyDescent="0.3">
      <c r="A7" s="39" t="s">
        <v>37</v>
      </c>
      <c r="B7" s="39" t="s">
        <v>127</v>
      </c>
      <c r="C7" s="42">
        <v>189.00200000000001</v>
      </c>
      <c r="D7" s="42">
        <v>243.57300000000004</v>
      </c>
      <c r="E7" s="42">
        <v>248.05</v>
      </c>
      <c r="F7" s="42">
        <v>242.00000000000003</v>
      </c>
      <c r="G7" s="42">
        <v>375.1</v>
      </c>
      <c r="H7" s="42">
        <v>399.3</v>
      </c>
      <c r="I7" s="42">
        <v>429.91300000000001</v>
      </c>
      <c r="J7" s="42">
        <v>519.09</v>
      </c>
    </row>
    <row r="8" spans="1:10" ht="16.5" hidden="1" thickBot="1" x14ac:dyDescent="0.3">
      <c r="A8" s="38" t="s">
        <v>37</v>
      </c>
      <c r="B8" s="38" t="s">
        <v>136</v>
      </c>
      <c r="C8" s="41">
        <v>174.36099999999999</v>
      </c>
      <c r="D8" s="41">
        <v>210.29800000000003</v>
      </c>
      <c r="E8" s="41">
        <v>223.60800000000003</v>
      </c>
      <c r="F8" s="41">
        <v>256.88300000000004</v>
      </c>
      <c r="G8" s="41">
        <v>292.82</v>
      </c>
      <c r="H8" s="41">
        <v>381.99700000000001</v>
      </c>
      <c r="I8" s="41">
        <v>439.23000000000008</v>
      </c>
      <c r="J8" s="41">
        <v>515.09699999999998</v>
      </c>
    </row>
    <row r="9" spans="1:10" ht="16.5" hidden="1" thickBot="1" x14ac:dyDescent="0.3">
      <c r="A9" s="39" t="s">
        <v>37</v>
      </c>
      <c r="B9" s="39" t="s">
        <v>190</v>
      </c>
      <c r="C9" s="42">
        <v>190.33300000000003</v>
      </c>
      <c r="D9" s="42">
        <v>232.92500000000001</v>
      </c>
      <c r="E9" s="42">
        <v>248.89700000000002</v>
      </c>
      <c r="F9" s="42">
        <v>262.20700000000005</v>
      </c>
      <c r="G9" s="42">
        <v>306.13000000000005</v>
      </c>
      <c r="H9" s="42">
        <v>415.27199999999999</v>
      </c>
      <c r="I9" s="42">
        <v>432.57500000000005</v>
      </c>
      <c r="J9" s="42">
        <v>488.47700000000003</v>
      </c>
    </row>
    <row r="10" spans="1:10" ht="16.5" hidden="1" thickBot="1" x14ac:dyDescent="0.3">
      <c r="A10" s="38" t="s">
        <v>37</v>
      </c>
      <c r="B10" s="38" t="s">
        <v>199</v>
      </c>
      <c r="C10" s="41">
        <v>354.04600000000005</v>
      </c>
      <c r="D10" s="41">
        <v>362.03200000000004</v>
      </c>
      <c r="E10" s="41">
        <v>441.89200000000005</v>
      </c>
      <c r="F10" s="41">
        <v>449.87800000000004</v>
      </c>
      <c r="G10" s="41">
        <v>484.48400000000004</v>
      </c>
      <c r="H10" s="41">
        <v>572.33000000000004</v>
      </c>
      <c r="I10" s="41">
        <v>688.12700000000007</v>
      </c>
      <c r="J10" s="41">
        <v>843.85400000000004</v>
      </c>
    </row>
    <row r="11" spans="1:10" ht="16.5" hidden="1" thickBot="1" x14ac:dyDescent="0.3">
      <c r="A11" s="39" t="s">
        <v>37</v>
      </c>
      <c r="B11" s="39" t="s">
        <v>208</v>
      </c>
      <c r="C11" s="42">
        <v>113.13500000000001</v>
      </c>
      <c r="D11" s="42">
        <v>133.10000000000002</v>
      </c>
      <c r="E11" s="42">
        <v>142.78000000000003</v>
      </c>
      <c r="F11" s="42">
        <v>142.78000000000003</v>
      </c>
      <c r="G11" s="42">
        <v>187.55</v>
      </c>
      <c r="H11" s="42">
        <v>199.65</v>
      </c>
      <c r="I11" s="42">
        <v>272.85500000000002</v>
      </c>
      <c r="J11" s="42">
        <v>324.76400000000001</v>
      </c>
    </row>
    <row r="12" spans="1:10" ht="16.5" hidden="1" thickBot="1" x14ac:dyDescent="0.3">
      <c r="A12" s="38" t="s">
        <v>37</v>
      </c>
      <c r="B12" s="38" t="s">
        <v>217</v>
      </c>
      <c r="C12" s="41">
        <v>110.47300000000001</v>
      </c>
      <c r="D12" s="41">
        <v>146.41</v>
      </c>
      <c r="E12" s="41">
        <v>162.38200000000001</v>
      </c>
      <c r="F12" s="41">
        <v>174.36099999999999</v>
      </c>
      <c r="G12" s="41">
        <v>190.33300000000003</v>
      </c>
      <c r="H12" s="41">
        <v>222.27700000000002</v>
      </c>
      <c r="I12" s="41">
        <v>242.24200000000002</v>
      </c>
      <c r="J12" s="41">
        <v>270.19300000000004</v>
      </c>
    </row>
    <row r="13" spans="1:10" ht="16.5" hidden="1" thickBot="1" x14ac:dyDescent="0.3">
      <c r="A13" s="39" t="s">
        <v>37</v>
      </c>
      <c r="B13" s="39" t="s">
        <v>235</v>
      </c>
      <c r="C13" s="42">
        <v>415.27199999999999</v>
      </c>
      <c r="D13" s="42">
        <v>532.40000000000009</v>
      </c>
      <c r="E13" s="42">
        <v>614.92200000000003</v>
      </c>
      <c r="F13" s="42">
        <v>630.89400000000001</v>
      </c>
      <c r="G13" s="42">
        <v>670.82400000000007</v>
      </c>
      <c r="H13" s="42">
        <v>807.91700000000014</v>
      </c>
      <c r="I13" s="42">
        <v>914.39700000000005</v>
      </c>
      <c r="J13" s="42">
        <v>976.95400000000006</v>
      </c>
    </row>
    <row r="14" spans="1:10" ht="16.5" thickBot="1" x14ac:dyDescent="0.3">
      <c r="A14" s="38" t="s">
        <v>37</v>
      </c>
      <c r="B14" s="38" t="s">
        <v>244</v>
      </c>
      <c r="C14" s="41">
        <v>107.81100000000002</v>
      </c>
      <c r="D14" s="41">
        <v>146.41</v>
      </c>
      <c r="E14" s="41">
        <v>166.375</v>
      </c>
      <c r="F14" s="41">
        <v>182.34700000000004</v>
      </c>
      <c r="G14" s="41">
        <v>206.30500000000004</v>
      </c>
      <c r="H14" s="41">
        <v>248.89700000000002</v>
      </c>
      <c r="I14" s="41">
        <v>286.16500000000002</v>
      </c>
      <c r="J14" s="41">
        <v>320.77100000000002</v>
      </c>
    </row>
    <row r="15" spans="1:10" ht="16.5" hidden="1" thickBot="1" x14ac:dyDescent="0.3">
      <c r="A15" s="39" t="s">
        <v>37</v>
      </c>
      <c r="B15" s="39" t="s">
        <v>253</v>
      </c>
      <c r="C15" s="42">
        <v>129.10700000000003</v>
      </c>
      <c r="D15" s="42">
        <v>139.755</v>
      </c>
      <c r="E15" s="42">
        <v>155.727</v>
      </c>
      <c r="F15" s="42">
        <v>189.00200000000001</v>
      </c>
      <c r="G15" s="42">
        <v>238.24900000000002</v>
      </c>
      <c r="H15" s="42">
        <v>319.44</v>
      </c>
      <c r="I15" s="42">
        <v>400.63100000000003</v>
      </c>
      <c r="J15" s="42">
        <v>417.93400000000003</v>
      </c>
    </row>
    <row r="16" spans="1:10" ht="16.5" hidden="1" thickBot="1" x14ac:dyDescent="0.3">
      <c r="A16" s="38" t="s">
        <v>37</v>
      </c>
      <c r="B16" s="38" t="s">
        <v>37</v>
      </c>
      <c r="C16" s="41">
        <v>70.543000000000006</v>
      </c>
      <c r="D16" s="41">
        <v>83.490000000000009</v>
      </c>
      <c r="E16" s="41">
        <v>94.38000000000001</v>
      </c>
      <c r="F16" s="41">
        <v>94.38000000000001</v>
      </c>
      <c r="G16" s="41">
        <v>108.9</v>
      </c>
      <c r="H16" s="41">
        <v>96.800000000000011</v>
      </c>
      <c r="I16" s="41">
        <v>145.20000000000002</v>
      </c>
      <c r="J16" s="41">
        <v>133.947</v>
      </c>
    </row>
    <row r="17" spans="1:10" ht="16.5" hidden="1" thickBot="1" x14ac:dyDescent="0.3">
      <c r="A17" s="39" t="s">
        <v>37</v>
      </c>
      <c r="B17" s="39" t="s">
        <v>279</v>
      </c>
      <c r="C17" s="42">
        <v>159.72</v>
      </c>
      <c r="D17" s="42">
        <v>206.30500000000004</v>
      </c>
      <c r="E17" s="42">
        <v>219.61500000000004</v>
      </c>
      <c r="F17" s="42">
        <v>247.56600000000003</v>
      </c>
      <c r="G17" s="42">
        <v>278.17900000000003</v>
      </c>
      <c r="H17" s="42">
        <v>356.70800000000003</v>
      </c>
      <c r="I17" s="42">
        <v>407.286</v>
      </c>
      <c r="J17" s="42">
        <v>487.14600000000007</v>
      </c>
    </row>
    <row r="18" spans="1:10" ht="16.5" hidden="1" thickBot="1" x14ac:dyDescent="0.3">
      <c r="A18" s="38" t="s">
        <v>37</v>
      </c>
      <c r="B18" s="38" t="s">
        <v>306</v>
      </c>
      <c r="C18" s="41">
        <v>165.04400000000001</v>
      </c>
      <c r="D18" s="41">
        <v>236.91800000000001</v>
      </c>
      <c r="E18" s="41">
        <v>250.22800000000001</v>
      </c>
      <c r="F18" s="41">
        <v>274.18600000000004</v>
      </c>
      <c r="G18" s="41">
        <v>306.13000000000005</v>
      </c>
      <c r="H18" s="41">
        <v>409.94800000000004</v>
      </c>
      <c r="I18" s="41">
        <v>437.899</v>
      </c>
      <c r="J18" s="41">
        <v>469.84300000000002</v>
      </c>
    </row>
    <row r="19" spans="1:10" ht="16.5" hidden="1" thickBot="1" x14ac:dyDescent="0.3">
      <c r="A19" s="39" t="s">
        <v>37</v>
      </c>
      <c r="B19" s="39" t="s">
        <v>315</v>
      </c>
      <c r="C19" s="42">
        <v>415.27199999999999</v>
      </c>
      <c r="D19" s="42">
        <v>532.40000000000009</v>
      </c>
      <c r="E19" s="42">
        <v>614.92200000000003</v>
      </c>
      <c r="F19" s="42">
        <v>630.89400000000001</v>
      </c>
      <c r="G19" s="42">
        <v>670.82400000000007</v>
      </c>
      <c r="H19" s="42">
        <v>807.91700000000014</v>
      </c>
      <c r="I19" s="42">
        <v>914.39700000000005</v>
      </c>
      <c r="J19" s="42">
        <v>976.95400000000006</v>
      </c>
    </row>
    <row r="20" spans="1:10" ht="16.5" hidden="1" thickBot="1" x14ac:dyDescent="0.3">
      <c r="A20" s="38" t="s">
        <v>37</v>
      </c>
      <c r="B20" s="38" t="s">
        <v>333</v>
      </c>
      <c r="C20" s="41">
        <v>98.494000000000014</v>
      </c>
      <c r="D20" s="41">
        <v>137.09300000000002</v>
      </c>
      <c r="E20" s="41">
        <v>151.73400000000001</v>
      </c>
      <c r="F20" s="41">
        <v>166.375</v>
      </c>
      <c r="G20" s="41">
        <v>186.34000000000003</v>
      </c>
      <c r="H20" s="41">
        <v>193.60000000000002</v>
      </c>
      <c r="I20" s="41">
        <v>235.58700000000002</v>
      </c>
      <c r="J20" s="41">
        <v>291.48900000000003</v>
      </c>
    </row>
    <row r="21" spans="1:10" ht="16.5" hidden="1" thickBot="1" x14ac:dyDescent="0.3">
      <c r="A21" s="39" t="s">
        <v>37</v>
      </c>
      <c r="B21" s="39" t="s">
        <v>351</v>
      </c>
      <c r="C21" s="42">
        <v>210.29800000000003</v>
      </c>
      <c r="D21" s="42">
        <v>246.23500000000001</v>
      </c>
      <c r="E21" s="42">
        <v>284.834</v>
      </c>
      <c r="F21" s="42">
        <v>307.46100000000001</v>
      </c>
      <c r="G21" s="42">
        <v>336.74299999999999</v>
      </c>
      <c r="H21" s="42">
        <v>444.55400000000003</v>
      </c>
      <c r="I21" s="42">
        <v>641.30000000000007</v>
      </c>
      <c r="J21" s="42">
        <v>655.82</v>
      </c>
    </row>
    <row r="22" spans="1:10" ht="16.5" hidden="1" thickBot="1" x14ac:dyDescent="0.3">
      <c r="A22" s="38" t="s">
        <v>37</v>
      </c>
      <c r="B22" s="38" t="s">
        <v>360</v>
      </c>
      <c r="C22" s="41">
        <v>210.29800000000003</v>
      </c>
      <c r="D22" s="41">
        <v>246.23500000000001</v>
      </c>
      <c r="E22" s="41">
        <v>248.05</v>
      </c>
      <c r="F22" s="41">
        <v>256.52</v>
      </c>
      <c r="G22" s="41">
        <v>411.40000000000003</v>
      </c>
      <c r="H22" s="41">
        <v>435.6</v>
      </c>
      <c r="I22" s="41">
        <v>553.69600000000003</v>
      </c>
      <c r="J22" s="41">
        <v>721.40200000000016</v>
      </c>
    </row>
    <row r="23" spans="1:10" ht="16.5" hidden="1" thickBot="1" x14ac:dyDescent="0.3">
      <c r="A23" s="39" t="s">
        <v>37</v>
      </c>
      <c r="B23" s="39" t="s">
        <v>369</v>
      </c>
      <c r="C23" s="42">
        <v>259.54500000000002</v>
      </c>
      <c r="D23" s="42">
        <v>335.41200000000003</v>
      </c>
      <c r="E23" s="42">
        <v>417.93400000000003</v>
      </c>
      <c r="F23" s="42">
        <v>441.79300000000001</v>
      </c>
      <c r="G23" s="42">
        <v>487.14600000000007</v>
      </c>
      <c r="H23" s="42">
        <v>559.02</v>
      </c>
      <c r="I23" s="42">
        <v>609.59799999999996</v>
      </c>
      <c r="J23" s="42">
        <v>730.71900000000005</v>
      </c>
    </row>
    <row r="24" spans="1:10" ht="16.5" hidden="1" thickBot="1" x14ac:dyDescent="0.3">
      <c r="A24" s="38" t="s">
        <v>37</v>
      </c>
      <c r="B24" s="38" t="s">
        <v>387</v>
      </c>
      <c r="C24" s="41">
        <v>110.47300000000001</v>
      </c>
      <c r="D24" s="41">
        <v>146.41</v>
      </c>
      <c r="E24" s="41">
        <v>162.38200000000001</v>
      </c>
      <c r="F24" s="41">
        <v>174.36099999999999</v>
      </c>
      <c r="G24" s="41">
        <v>190.33300000000003</v>
      </c>
      <c r="H24" s="41">
        <v>222.27700000000002</v>
      </c>
      <c r="I24" s="41">
        <v>242.24200000000002</v>
      </c>
      <c r="J24" s="41">
        <v>270.19300000000004</v>
      </c>
    </row>
    <row r="25" spans="1:10" ht="16.5" hidden="1" thickBot="1" x14ac:dyDescent="0.3">
      <c r="A25" s="39" t="s">
        <v>37</v>
      </c>
      <c r="B25" s="39" t="s">
        <v>405</v>
      </c>
      <c r="C25" s="42">
        <v>98.494000000000014</v>
      </c>
      <c r="D25" s="42">
        <v>137.09300000000002</v>
      </c>
      <c r="E25" s="42">
        <v>151.73400000000001</v>
      </c>
      <c r="F25" s="42">
        <v>166.375</v>
      </c>
      <c r="G25" s="42">
        <v>186.34000000000003</v>
      </c>
      <c r="H25" s="42">
        <v>152.46</v>
      </c>
      <c r="I25" s="42">
        <v>163.35000000000002</v>
      </c>
      <c r="J25" s="42">
        <v>177.87</v>
      </c>
    </row>
    <row r="26" spans="1:10" ht="16.5" hidden="1" thickBot="1" x14ac:dyDescent="0.3">
      <c r="A26" s="38" t="s">
        <v>37</v>
      </c>
      <c r="B26" s="38" t="s">
        <v>432</v>
      </c>
      <c r="C26" s="41">
        <v>123.78300000000002</v>
      </c>
      <c r="D26" s="41">
        <v>149.07200000000003</v>
      </c>
      <c r="E26" s="41">
        <v>161.05100000000002</v>
      </c>
      <c r="F26" s="41">
        <v>177.02300000000002</v>
      </c>
      <c r="G26" s="41">
        <v>199.65</v>
      </c>
      <c r="H26" s="41">
        <v>228.93200000000002</v>
      </c>
      <c r="I26" s="41">
        <v>251.55900000000003</v>
      </c>
      <c r="J26" s="41">
        <v>296.81299999999999</v>
      </c>
    </row>
    <row r="27" spans="1:10" ht="16.5" hidden="1" thickBot="1" x14ac:dyDescent="0.3">
      <c r="A27" s="39" t="s">
        <v>37</v>
      </c>
      <c r="B27" s="39" t="s">
        <v>441</v>
      </c>
      <c r="C27" s="42">
        <v>190.33300000000003</v>
      </c>
      <c r="D27" s="42">
        <v>239.58000000000004</v>
      </c>
      <c r="E27" s="42">
        <v>256.88300000000004</v>
      </c>
      <c r="F27" s="42">
        <v>296.81299999999999</v>
      </c>
      <c r="G27" s="42">
        <v>348.72199999999998</v>
      </c>
      <c r="H27" s="42">
        <v>435.23700000000008</v>
      </c>
      <c r="I27" s="42">
        <v>472.50500000000005</v>
      </c>
      <c r="J27" s="42">
        <v>606.93600000000004</v>
      </c>
    </row>
    <row r="28" spans="1:10" ht="16.5" hidden="1" thickBot="1" x14ac:dyDescent="0.3">
      <c r="A28" s="38" t="s">
        <v>37</v>
      </c>
      <c r="B28" s="38" t="s">
        <v>450</v>
      </c>
      <c r="C28" s="41">
        <v>181.01600000000002</v>
      </c>
      <c r="D28" s="41">
        <v>230.26300000000003</v>
      </c>
      <c r="E28" s="41">
        <v>239.58000000000004</v>
      </c>
      <c r="F28" s="41">
        <v>267.53100000000001</v>
      </c>
      <c r="G28" s="41">
        <v>294.15100000000007</v>
      </c>
      <c r="H28" s="41">
        <v>323.07</v>
      </c>
      <c r="I28" s="41">
        <v>437.899</v>
      </c>
      <c r="J28" s="41">
        <v>524.4140000000001</v>
      </c>
    </row>
    <row r="29" spans="1:10" ht="16.5" hidden="1" thickBot="1" x14ac:dyDescent="0.3">
      <c r="A29" s="39" t="s">
        <v>37</v>
      </c>
      <c r="B29" s="39" t="s">
        <v>468</v>
      </c>
      <c r="C29" s="42">
        <v>231.59400000000002</v>
      </c>
      <c r="D29" s="42">
        <v>308.79200000000003</v>
      </c>
      <c r="E29" s="42">
        <v>335.41200000000003</v>
      </c>
      <c r="F29" s="42">
        <v>347.39100000000002</v>
      </c>
      <c r="G29" s="42">
        <v>366.02500000000003</v>
      </c>
      <c r="H29" s="42">
        <v>463.18800000000005</v>
      </c>
      <c r="I29" s="42">
        <v>567.00600000000009</v>
      </c>
      <c r="J29" s="42">
        <v>681.47199999999998</v>
      </c>
    </row>
    <row r="30" spans="1:10" ht="16.5" thickBot="1" x14ac:dyDescent="0.3">
      <c r="A30" s="38" t="s">
        <v>37</v>
      </c>
      <c r="B30" s="38" t="s">
        <v>522</v>
      </c>
      <c r="C30" s="41">
        <v>131.76900000000001</v>
      </c>
      <c r="D30" s="41">
        <v>166.375</v>
      </c>
      <c r="E30" s="41">
        <v>179.685</v>
      </c>
      <c r="F30" s="41">
        <v>196.98800000000003</v>
      </c>
      <c r="G30" s="41">
        <v>223.60800000000003</v>
      </c>
      <c r="H30" s="41">
        <v>266.20000000000005</v>
      </c>
      <c r="I30" s="41">
        <v>286.16500000000002</v>
      </c>
      <c r="J30" s="41">
        <v>342.06700000000006</v>
      </c>
    </row>
    <row r="31" spans="1:10" ht="16.5" hidden="1" thickBot="1" x14ac:dyDescent="0.3">
      <c r="A31" s="39" t="s">
        <v>37</v>
      </c>
      <c r="B31" s="39" t="s">
        <v>540</v>
      </c>
      <c r="C31" s="42">
        <v>181.01600000000002</v>
      </c>
      <c r="D31" s="42">
        <v>231.59400000000002</v>
      </c>
      <c r="E31" s="42">
        <v>244.904</v>
      </c>
      <c r="F31" s="42">
        <v>272.85500000000002</v>
      </c>
      <c r="G31" s="42">
        <v>294.15100000000007</v>
      </c>
      <c r="H31" s="42">
        <v>400.63100000000003</v>
      </c>
      <c r="I31" s="42">
        <v>433.90600000000001</v>
      </c>
      <c r="J31" s="42">
        <v>499.12500000000006</v>
      </c>
    </row>
    <row r="32" spans="1:10" ht="16.5" hidden="1" thickBot="1" x14ac:dyDescent="0.3">
      <c r="A32" s="38" t="s">
        <v>37</v>
      </c>
      <c r="B32" s="38" t="s">
        <v>594</v>
      </c>
      <c r="C32" s="41">
        <v>385.99</v>
      </c>
      <c r="D32" s="41">
        <v>412.61000000000007</v>
      </c>
      <c r="E32" s="41">
        <v>459.19500000000005</v>
      </c>
      <c r="F32" s="41">
        <v>519.09</v>
      </c>
      <c r="G32" s="41">
        <v>578.98500000000013</v>
      </c>
      <c r="H32" s="41">
        <v>729.63</v>
      </c>
      <c r="I32" s="41">
        <v>665.5</v>
      </c>
      <c r="J32" s="41">
        <v>745.36000000000013</v>
      </c>
    </row>
    <row r="33" spans="1:10" ht="16.5" hidden="1" thickBot="1" x14ac:dyDescent="0.3">
      <c r="A33" s="39" t="s">
        <v>37</v>
      </c>
      <c r="B33" s="39" t="s">
        <v>603</v>
      </c>
      <c r="C33" s="42">
        <v>190.33300000000003</v>
      </c>
      <c r="D33" s="42">
        <v>239.58000000000004</v>
      </c>
      <c r="E33" s="42">
        <v>252.89000000000001</v>
      </c>
      <c r="F33" s="42">
        <v>276.84800000000001</v>
      </c>
      <c r="G33" s="42">
        <v>363.00000000000006</v>
      </c>
      <c r="H33" s="42">
        <v>367.35599999999999</v>
      </c>
      <c r="I33" s="42">
        <v>407.286</v>
      </c>
      <c r="J33" s="42">
        <v>484.48400000000004</v>
      </c>
    </row>
    <row r="34" spans="1:10" ht="16.5" hidden="1" thickBot="1" x14ac:dyDescent="0.3">
      <c r="A34" s="38" t="s">
        <v>37</v>
      </c>
      <c r="B34" s="38" t="s">
        <v>630</v>
      </c>
      <c r="C34" s="41">
        <v>190.33300000000003</v>
      </c>
      <c r="D34" s="41">
        <v>215.62200000000004</v>
      </c>
      <c r="E34" s="41">
        <v>228.27200000000002</v>
      </c>
      <c r="F34" s="41">
        <v>252.89000000000001</v>
      </c>
      <c r="G34" s="41">
        <v>306.13000000000005</v>
      </c>
      <c r="H34" s="41">
        <v>415.27199999999999</v>
      </c>
      <c r="I34" s="41">
        <v>459.19500000000005</v>
      </c>
      <c r="J34" s="41">
        <v>477.82900000000001</v>
      </c>
    </row>
    <row r="35" spans="1:10" ht="16.5" hidden="1" thickBot="1" x14ac:dyDescent="0.3">
      <c r="A35" s="39" t="s">
        <v>37</v>
      </c>
      <c r="B35" s="39" t="s">
        <v>639</v>
      </c>
      <c r="C35" s="42">
        <v>181.01600000000002</v>
      </c>
      <c r="D35" s="42">
        <v>232.92500000000001</v>
      </c>
      <c r="E35" s="42">
        <v>244.904</v>
      </c>
      <c r="F35" s="42">
        <v>266.20000000000005</v>
      </c>
      <c r="G35" s="42">
        <v>295.48200000000003</v>
      </c>
      <c r="H35" s="42">
        <v>389.983</v>
      </c>
      <c r="I35" s="42">
        <v>511.10400000000004</v>
      </c>
      <c r="J35" s="42">
        <v>572.33000000000004</v>
      </c>
    </row>
    <row r="36" spans="1:10" ht="16.5" hidden="1" thickBot="1" x14ac:dyDescent="0.3">
      <c r="A36" s="38" t="s">
        <v>37</v>
      </c>
      <c r="B36" s="38" t="s">
        <v>648</v>
      </c>
      <c r="C36" s="41">
        <v>191.66400000000002</v>
      </c>
      <c r="D36" s="41">
        <v>239.58000000000004</v>
      </c>
      <c r="E36" s="41">
        <v>252.89000000000001</v>
      </c>
      <c r="F36" s="41">
        <v>279.51</v>
      </c>
      <c r="G36" s="41">
        <v>318.78000000000003</v>
      </c>
      <c r="H36" s="41">
        <v>433.90600000000001</v>
      </c>
      <c r="I36" s="41">
        <v>499.12500000000006</v>
      </c>
      <c r="J36" s="41">
        <v>576.32299999999998</v>
      </c>
    </row>
    <row r="37" spans="1:10" ht="16.5" hidden="1" thickBot="1" x14ac:dyDescent="0.3">
      <c r="A37" s="39" t="s">
        <v>37</v>
      </c>
      <c r="B37" s="39" t="s">
        <v>657</v>
      </c>
      <c r="C37" s="42">
        <v>199.65</v>
      </c>
      <c r="D37" s="42">
        <v>239.58000000000004</v>
      </c>
      <c r="E37" s="42">
        <v>252.89000000000001</v>
      </c>
      <c r="F37" s="42">
        <v>279.51</v>
      </c>
      <c r="G37" s="42">
        <v>314.11600000000004</v>
      </c>
      <c r="H37" s="42">
        <v>399.3</v>
      </c>
      <c r="I37" s="42">
        <v>439.23000000000008</v>
      </c>
      <c r="J37" s="42">
        <v>532.40000000000009</v>
      </c>
    </row>
    <row r="38" spans="1:10" ht="16.5" hidden="1" thickBot="1" x14ac:dyDescent="0.3">
      <c r="A38" s="38" t="s">
        <v>37</v>
      </c>
      <c r="B38" s="38" t="s">
        <v>675</v>
      </c>
      <c r="C38" s="41">
        <v>133.10000000000002</v>
      </c>
      <c r="D38" s="41">
        <v>161.05100000000002</v>
      </c>
      <c r="E38" s="41">
        <v>186.34000000000003</v>
      </c>
      <c r="F38" s="41">
        <v>206.30500000000004</v>
      </c>
      <c r="G38" s="41">
        <v>230.26300000000003</v>
      </c>
      <c r="H38" s="41">
        <v>278.17900000000003</v>
      </c>
      <c r="I38" s="41">
        <v>307.46100000000001</v>
      </c>
      <c r="J38" s="41">
        <v>346.06000000000006</v>
      </c>
    </row>
    <row r="39" spans="1:10" ht="16.5" hidden="1" thickBot="1" x14ac:dyDescent="0.3">
      <c r="A39" s="39" t="s">
        <v>37</v>
      </c>
      <c r="B39" s="39" t="s">
        <v>684</v>
      </c>
      <c r="C39" s="42">
        <v>196.98800000000003</v>
      </c>
      <c r="D39" s="42">
        <v>252.89000000000001</v>
      </c>
      <c r="E39" s="42">
        <v>274.18600000000004</v>
      </c>
      <c r="F39" s="42">
        <v>300.80599999999998</v>
      </c>
      <c r="G39" s="42">
        <v>318.10900000000004</v>
      </c>
      <c r="H39" s="42">
        <v>416.60300000000007</v>
      </c>
      <c r="I39" s="42">
        <v>493.80100000000004</v>
      </c>
      <c r="J39" s="42">
        <v>590.96400000000006</v>
      </c>
    </row>
    <row r="40" spans="1:10" ht="16.5" hidden="1" thickBot="1" x14ac:dyDescent="0.3">
      <c r="A40" s="38" t="s">
        <v>37</v>
      </c>
      <c r="B40" s="38" t="s">
        <v>702</v>
      </c>
      <c r="C40" s="41">
        <v>196.98800000000003</v>
      </c>
      <c r="D40" s="41">
        <v>252.89000000000001</v>
      </c>
      <c r="E40" s="41">
        <v>235.95000000000002</v>
      </c>
      <c r="F40" s="41">
        <v>248.05</v>
      </c>
      <c r="G40" s="41">
        <v>387.20000000000005</v>
      </c>
      <c r="H40" s="41">
        <v>411.40000000000003</v>
      </c>
      <c r="I40" s="41">
        <v>493.80100000000004</v>
      </c>
      <c r="J40" s="41">
        <v>616.25300000000004</v>
      </c>
    </row>
    <row r="41" spans="1:10" ht="16.5" hidden="1" thickBot="1" x14ac:dyDescent="0.3">
      <c r="A41" s="39" t="s">
        <v>37</v>
      </c>
      <c r="B41" s="39" t="s">
        <v>729</v>
      </c>
      <c r="C41" s="42">
        <v>174.36099999999999</v>
      </c>
      <c r="D41" s="42">
        <v>218.28400000000002</v>
      </c>
      <c r="E41" s="42">
        <v>232.92500000000001</v>
      </c>
      <c r="F41" s="42">
        <v>259.94100000000003</v>
      </c>
      <c r="G41" s="42">
        <v>294.15100000000007</v>
      </c>
      <c r="H41" s="42">
        <v>374.01100000000002</v>
      </c>
      <c r="I41" s="42">
        <v>428.58200000000005</v>
      </c>
      <c r="J41" s="42">
        <v>468.27000000000004</v>
      </c>
    </row>
    <row r="42" spans="1:10" ht="16.5" hidden="1" thickBot="1" x14ac:dyDescent="0.3">
      <c r="A42" s="38" t="s">
        <v>37</v>
      </c>
      <c r="B42" s="38" t="s">
        <v>738</v>
      </c>
      <c r="C42" s="41">
        <v>181.01600000000002</v>
      </c>
      <c r="D42" s="41">
        <v>210.29800000000003</v>
      </c>
      <c r="E42" s="41">
        <v>240.911</v>
      </c>
      <c r="F42" s="41">
        <v>271.524</v>
      </c>
      <c r="G42" s="41">
        <v>291.48900000000003</v>
      </c>
      <c r="H42" s="41">
        <v>401.96200000000005</v>
      </c>
      <c r="I42" s="41">
        <v>440.56100000000004</v>
      </c>
      <c r="J42" s="41">
        <v>460.52600000000007</v>
      </c>
    </row>
    <row r="43" spans="1:10" ht="16.5" hidden="1" thickBot="1" x14ac:dyDescent="0.3">
      <c r="A43" s="39" t="s">
        <v>37</v>
      </c>
      <c r="B43" s="39" t="s">
        <v>747</v>
      </c>
      <c r="C43" s="42">
        <v>179.685</v>
      </c>
      <c r="D43" s="42">
        <v>219.61500000000004</v>
      </c>
      <c r="E43" s="42">
        <v>263.53800000000001</v>
      </c>
      <c r="F43" s="42">
        <v>279.51</v>
      </c>
      <c r="G43" s="42">
        <v>319.44</v>
      </c>
      <c r="H43" s="42">
        <v>435.23700000000008</v>
      </c>
      <c r="I43" s="42">
        <v>491.13900000000007</v>
      </c>
      <c r="J43" s="42">
        <v>580.31600000000003</v>
      </c>
    </row>
    <row r="44" spans="1:10" ht="16.5" hidden="1" thickBot="1" x14ac:dyDescent="0.3">
      <c r="A44" s="38" t="s">
        <v>37</v>
      </c>
      <c r="B44" s="38" t="s">
        <v>756</v>
      </c>
      <c r="C44" s="41">
        <v>334.08100000000002</v>
      </c>
      <c r="D44" s="41">
        <v>366.02500000000003</v>
      </c>
      <c r="E44" s="41">
        <v>412.61000000000007</v>
      </c>
      <c r="F44" s="41">
        <v>461.94500000000005</v>
      </c>
      <c r="G44" s="41">
        <v>501.78700000000003</v>
      </c>
      <c r="H44" s="41">
        <v>588.30200000000013</v>
      </c>
      <c r="I44" s="41">
        <v>698.77500000000009</v>
      </c>
      <c r="J44" s="41">
        <v>846.51599999999996</v>
      </c>
    </row>
    <row r="45" spans="1:10" ht="16.5" hidden="1" thickBot="1" x14ac:dyDescent="0.3">
      <c r="A45" s="39" t="s">
        <v>37</v>
      </c>
      <c r="B45" s="39" t="s">
        <v>1626</v>
      </c>
      <c r="C45" s="42">
        <v>445.88500000000005</v>
      </c>
      <c r="D45" s="42">
        <v>500.45600000000002</v>
      </c>
      <c r="E45" s="42">
        <v>561.68200000000002</v>
      </c>
      <c r="F45" s="42">
        <v>624.23900000000003</v>
      </c>
      <c r="G45" s="42">
        <v>714.74700000000007</v>
      </c>
      <c r="H45" s="42">
        <v>845.18500000000006</v>
      </c>
      <c r="I45" s="42">
        <v>885.11500000000001</v>
      </c>
      <c r="J45" s="42">
        <v>1217.8650000000002</v>
      </c>
    </row>
    <row r="46" spans="1:10" ht="16.5" hidden="1" thickBot="1" x14ac:dyDescent="0.3">
      <c r="A46" s="38" t="s">
        <v>37</v>
      </c>
      <c r="B46" s="38" t="s">
        <v>783</v>
      </c>
      <c r="C46" s="41">
        <v>190.33300000000003</v>
      </c>
      <c r="D46" s="41">
        <v>239.58000000000004</v>
      </c>
      <c r="E46" s="41">
        <v>258.21400000000006</v>
      </c>
      <c r="F46" s="41">
        <v>270.19300000000004</v>
      </c>
      <c r="G46" s="41">
        <v>318.10900000000004</v>
      </c>
      <c r="H46" s="41">
        <v>435.23700000000008</v>
      </c>
      <c r="I46" s="41">
        <v>469.84300000000002</v>
      </c>
      <c r="J46" s="41">
        <v>500.45600000000002</v>
      </c>
    </row>
    <row r="47" spans="1:10" ht="16.5" hidden="1" thickBot="1" x14ac:dyDescent="0.3">
      <c r="A47" s="39" t="s">
        <v>37</v>
      </c>
      <c r="B47" s="39" t="s">
        <v>792</v>
      </c>
      <c r="C47" s="42">
        <v>254.22100000000003</v>
      </c>
      <c r="D47" s="42">
        <v>330.08800000000002</v>
      </c>
      <c r="E47" s="42">
        <v>380.66600000000005</v>
      </c>
      <c r="F47" s="42">
        <v>412.33500000000004</v>
      </c>
      <c r="G47" s="42">
        <v>441.89200000000005</v>
      </c>
      <c r="H47" s="42">
        <v>512.43500000000006</v>
      </c>
      <c r="I47" s="42">
        <v>601.61199999999997</v>
      </c>
      <c r="J47" s="42">
        <v>724.06400000000008</v>
      </c>
    </row>
    <row r="48" spans="1:10" ht="16.5" hidden="1" thickBot="1" x14ac:dyDescent="0.3">
      <c r="A48" s="38" t="s">
        <v>37</v>
      </c>
      <c r="B48" s="38" t="s">
        <v>819</v>
      </c>
      <c r="C48" s="41">
        <v>210.29800000000003</v>
      </c>
      <c r="D48" s="41">
        <v>246.23500000000001</v>
      </c>
      <c r="E48" s="41">
        <v>274.18600000000004</v>
      </c>
      <c r="F48" s="41">
        <v>300.80599999999998</v>
      </c>
      <c r="G48" s="41">
        <v>318.10900000000004</v>
      </c>
      <c r="H48" s="41">
        <v>416.60300000000007</v>
      </c>
      <c r="I48" s="41">
        <v>493.80100000000004</v>
      </c>
      <c r="J48" s="41">
        <v>616.25300000000004</v>
      </c>
    </row>
    <row r="49" spans="1:10" ht="16.5" hidden="1" thickBot="1" x14ac:dyDescent="0.3">
      <c r="A49" s="39" t="s">
        <v>37</v>
      </c>
      <c r="B49" s="39" t="s">
        <v>828</v>
      </c>
      <c r="C49" s="42">
        <v>179.685</v>
      </c>
      <c r="D49" s="42">
        <v>210.29800000000003</v>
      </c>
      <c r="E49" s="42">
        <v>240.911</v>
      </c>
      <c r="F49" s="42">
        <v>279.51</v>
      </c>
      <c r="G49" s="42">
        <v>326.09500000000003</v>
      </c>
      <c r="H49" s="42">
        <v>464.51900000000006</v>
      </c>
      <c r="I49" s="42">
        <v>576.32299999999998</v>
      </c>
      <c r="J49" s="42">
        <v>686.79600000000005</v>
      </c>
    </row>
    <row r="50" spans="1:10" ht="16.5" hidden="1" thickBot="1" x14ac:dyDescent="0.3">
      <c r="A50" s="38" t="s">
        <v>37</v>
      </c>
      <c r="B50" s="38" t="s">
        <v>846</v>
      </c>
      <c r="C50" s="41">
        <v>97.163000000000011</v>
      </c>
      <c r="D50" s="41">
        <v>117.12800000000001</v>
      </c>
      <c r="E50" s="41">
        <v>102.85000000000001</v>
      </c>
      <c r="F50" s="41">
        <v>114.95</v>
      </c>
      <c r="G50" s="41">
        <v>163.35000000000002</v>
      </c>
      <c r="H50" s="41">
        <v>175.45000000000002</v>
      </c>
      <c r="I50" s="41">
        <v>255.55200000000002</v>
      </c>
      <c r="J50" s="41">
        <v>302.13700000000006</v>
      </c>
    </row>
    <row r="51" spans="1:10" ht="16.5" hidden="1" thickBot="1" x14ac:dyDescent="0.3">
      <c r="A51" s="39" t="s">
        <v>37</v>
      </c>
      <c r="B51" s="39" t="s">
        <v>855</v>
      </c>
      <c r="C51" s="42">
        <v>185.00900000000001</v>
      </c>
      <c r="D51" s="42">
        <v>247.56600000000003</v>
      </c>
      <c r="E51" s="42">
        <v>252.89000000000001</v>
      </c>
      <c r="F51" s="42">
        <v>267.53100000000001</v>
      </c>
      <c r="G51" s="42">
        <v>290.15800000000002</v>
      </c>
      <c r="H51" s="42">
        <v>296.45000000000005</v>
      </c>
      <c r="I51" s="42">
        <v>435.23700000000008</v>
      </c>
      <c r="J51" s="42">
        <v>500.45600000000002</v>
      </c>
    </row>
    <row r="52" spans="1:10" ht="16.5" hidden="1" thickBot="1" x14ac:dyDescent="0.3">
      <c r="A52" s="38" t="s">
        <v>37</v>
      </c>
      <c r="B52" s="38" t="s">
        <v>864</v>
      </c>
      <c r="C52" s="41">
        <v>171.69900000000001</v>
      </c>
      <c r="D52" s="41">
        <v>193.60000000000002</v>
      </c>
      <c r="E52" s="41">
        <v>205.70000000000002</v>
      </c>
      <c r="F52" s="41">
        <v>205.70000000000002</v>
      </c>
      <c r="G52" s="41">
        <v>246.84000000000003</v>
      </c>
      <c r="H52" s="41">
        <v>255.91500000000002</v>
      </c>
      <c r="I52" s="41">
        <v>367.35599999999999</v>
      </c>
      <c r="J52" s="41">
        <v>439.23000000000008</v>
      </c>
    </row>
    <row r="53" spans="1:10" ht="16.5" hidden="1" thickBot="1" x14ac:dyDescent="0.3">
      <c r="A53" s="39" t="s">
        <v>37</v>
      </c>
      <c r="B53" s="39" t="s">
        <v>882</v>
      </c>
      <c r="C53" s="42">
        <v>336.74299999999999</v>
      </c>
      <c r="D53" s="42">
        <v>366.02500000000003</v>
      </c>
      <c r="E53" s="42">
        <v>405.71300000000002</v>
      </c>
      <c r="F53" s="42">
        <v>461.94500000000005</v>
      </c>
      <c r="G53" s="42">
        <v>525.745</v>
      </c>
      <c r="H53" s="42">
        <v>601.61199999999997</v>
      </c>
      <c r="I53" s="42">
        <v>658.84500000000014</v>
      </c>
      <c r="J53" s="42">
        <v>686.79600000000005</v>
      </c>
    </row>
    <row r="54" spans="1:10" ht="16.5" hidden="1" thickBot="1" x14ac:dyDescent="0.3">
      <c r="A54" s="38" t="s">
        <v>37</v>
      </c>
      <c r="B54" s="38" t="s">
        <v>909</v>
      </c>
      <c r="C54" s="41">
        <v>85.183999999999997</v>
      </c>
      <c r="D54" s="41">
        <v>105.14900000000002</v>
      </c>
      <c r="E54" s="41">
        <v>118.459</v>
      </c>
      <c r="F54" s="41">
        <v>126.44500000000001</v>
      </c>
      <c r="G54" s="41">
        <v>130.68</v>
      </c>
      <c r="H54" s="41">
        <v>135.52000000000001</v>
      </c>
      <c r="I54" s="41">
        <v>236.91800000000001</v>
      </c>
      <c r="J54" s="41">
        <v>304.79899999999998</v>
      </c>
    </row>
    <row r="55" spans="1:10" ht="16.5" hidden="1" thickBot="1" x14ac:dyDescent="0.3">
      <c r="A55" s="39" t="s">
        <v>333</v>
      </c>
      <c r="B55" s="39" t="s">
        <v>46</v>
      </c>
      <c r="C55" s="42">
        <v>379.33500000000004</v>
      </c>
      <c r="D55" s="42">
        <v>439.23000000000008</v>
      </c>
      <c r="E55" s="42">
        <v>479.16000000000008</v>
      </c>
      <c r="F55" s="42">
        <v>492.47</v>
      </c>
      <c r="G55" s="42">
        <v>565.67500000000007</v>
      </c>
      <c r="H55" s="42">
        <v>696.11300000000006</v>
      </c>
      <c r="I55" s="42">
        <v>741.36700000000008</v>
      </c>
      <c r="J55" s="42">
        <v>786.62100000000009</v>
      </c>
    </row>
    <row r="56" spans="1:10" ht="16.5" hidden="1" thickBot="1" x14ac:dyDescent="0.3">
      <c r="A56" s="38" t="s">
        <v>333</v>
      </c>
      <c r="B56" s="38" t="s">
        <v>82</v>
      </c>
      <c r="C56" s="41">
        <v>171.69900000000001</v>
      </c>
      <c r="D56" s="41">
        <v>216.953</v>
      </c>
      <c r="E56" s="41">
        <v>232.92500000000001</v>
      </c>
      <c r="F56" s="41">
        <v>242.24200000000002</v>
      </c>
      <c r="G56" s="41">
        <v>287.49600000000004</v>
      </c>
      <c r="H56" s="41">
        <v>363.363</v>
      </c>
      <c r="I56" s="41">
        <v>408.61700000000008</v>
      </c>
      <c r="J56" s="41">
        <v>439.23000000000008</v>
      </c>
    </row>
    <row r="57" spans="1:10" ht="16.5" hidden="1" thickBot="1" x14ac:dyDescent="0.3">
      <c r="A57" s="39" t="s">
        <v>333</v>
      </c>
      <c r="B57" s="39" t="s">
        <v>100</v>
      </c>
      <c r="C57" s="42">
        <v>393.97600000000006</v>
      </c>
      <c r="D57" s="42">
        <v>453.87100000000004</v>
      </c>
      <c r="E57" s="42">
        <v>499.12500000000006</v>
      </c>
      <c r="F57" s="42">
        <v>523.08299999999997</v>
      </c>
      <c r="G57" s="42">
        <v>568.33699999999999</v>
      </c>
      <c r="H57" s="42">
        <v>650.85900000000015</v>
      </c>
      <c r="I57" s="42">
        <v>712.08500000000004</v>
      </c>
      <c r="J57" s="42">
        <v>786.62100000000009</v>
      </c>
    </row>
    <row r="58" spans="1:10" ht="16.5" hidden="1" thickBot="1" x14ac:dyDescent="0.3">
      <c r="A58" s="38" t="s">
        <v>333</v>
      </c>
      <c r="B58" s="38" t="s">
        <v>109</v>
      </c>
      <c r="C58" s="41">
        <v>295.48200000000003</v>
      </c>
      <c r="D58" s="41">
        <v>348.72199999999998</v>
      </c>
      <c r="E58" s="41">
        <v>379.33500000000004</v>
      </c>
      <c r="F58" s="41">
        <v>393.97600000000006</v>
      </c>
      <c r="G58" s="41">
        <v>469.84300000000002</v>
      </c>
      <c r="H58" s="41">
        <v>582.97800000000007</v>
      </c>
      <c r="I58" s="41">
        <v>620.24600000000009</v>
      </c>
      <c r="J58" s="41">
        <v>636.21800000000007</v>
      </c>
    </row>
    <row r="59" spans="1:10" ht="16.5" hidden="1" thickBot="1" x14ac:dyDescent="0.3">
      <c r="A59" s="39" t="s">
        <v>333</v>
      </c>
      <c r="B59" s="39" t="s">
        <v>118</v>
      </c>
      <c r="C59" s="42">
        <v>359.37</v>
      </c>
      <c r="D59" s="42">
        <v>376.67300000000006</v>
      </c>
      <c r="E59" s="42">
        <v>396.63800000000003</v>
      </c>
      <c r="F59" s="42">
        <v>417.93400000000003</v>
      </c>
      <c r="G59" s="42">
        <v>440.56100000000004</v>
      </c>
      <c r="H59" s="42">
        <v>464.51900000000006</v>
      </c>
      <c r="I59" s="42">
        <v>487.14600000000007</v>
      </c>
      <c r="J59" s="42">
        <v>515.09699999999998</v>
      </c>
    </row>
    <row r="60" spans="1:10" ht="16.5" hidden="1" thickBot="1" x14ac:dyDescent="0.3">
      <c r="A60" s="38" t="s">
        <v>333</v>
      </c>
      <c r="B60" s="38" t="s">
        <v>127</v>
      </c>
      <c r="C60" s="41">
        <v>505.78000000000003</v>
      </c>
      <c r="D60" s="41">
        <v>532.40000000000009</v>
      </c>
      <c r="E60" s="41">
        <v>560.35100000000011</v>
      </c>
      <c r="F60" s="41">
        <v>590.96400000000006</v>
      </c>
      <c r="G60" s="41">
        <v>620.24600000000009</v>
      </c>
      <c r="H60" s="41">
        <v>656.18299999999999</v>
      </c>
      <c r="I60" s="41">
        <v>690.7890000000001</v>
      </c>
      <c r="J60" s="41">
        <v>726.726</v>
      </c>
    </row>
    <row r="61" spans="1:10" ht="16.5" hidden="1" thickBot="1" x14ac:dyDescent="0.3">
      <c r="A61" s="39" t="s">
        <v>333</v>
      </c>
      <c r="B61" s="39" t="s">
        <v>136</v>
      </c>
      <c r="C61" s="42">
        <v>295.48200000000003</v>
      </c>
      <c r="D61" s="42">
        <v>348.72199999999998</v>
      </c>
      <c r="E61" s="42">
        <v>379.33500000000004</v>
      </c>
      <c r="F61" s="42">
        <v>393.97600000000006</v>
      </c>
      <c r="G61" s="42">
        <v>469.84300000000002</v>
      </c>
      <c r="H61" s="42">
        <v>582.97800000000007</v>
      </c>
      <c r="I61" s="42">
        <v>620.24600000000009</v>
      </c>
      <c r="J61" s="42">
        <v>636.21800000000007</v>
      </c>
    </row>
    <row r="62" spans="1:10" ht="16.5" hidden="1" thickBot="1" x14ac:dyDescent="0.3">
      <c r="A62" s="38" t="s">
        <v>333</v>
      </c>
      <c r="B62" s="38" t="s">
        <v>190</v>
      </c>
      <c r="C62" s="41">
        <v>190.33300000000003</v>
      </c>
      <c r="D62" s="41">
        <v>227.60100000000003</v>
      </c>
      <c r="E62" s="41">
        <v>242.24200000000002</v>
      </c>
      <c r="F62" s="41">
        <v>258.21400000000006</v>
      </c>
      <c r="G62" s="41">
        <v>302.13700000000006</v>
      </c>
      <c r="H62" s="41">
        <v>379.33500000000004</v>
      </c>
      <c r="I62" s="41">
        <v>439.23000000000008</v>
      </c>
      <c r="J62" s="41">
        <v>469.84300000000002</v>
      </c>
    </row>
    <row r="63" spans="1:10" ht="16.5" hidden="1" thickBot="1" x14ac:dyDescent="0.3">
      <c r="A63" s="39" t="s">
        <v>333</v>
      </c>
      <c r="B63" s="39" t="s">
        <v>199</v>
      </c>
      <c r="C63" s="42">
        <v>397.96900000000005</v>
      </c>
      <c r="D63" s="42">
        <v>444.55400000000003</v>
      </c>
      <c r="E63" s="42">
        <v>483.15300000000008</v>
      </c>
      <c r="F63" s="42">
        <v>513.76600000000008</v>
      </c>
      <c r="G63" s="42">
        <v>567.00600000000009</v>
      </c>
      <c r="H63" s="42">
        <v>658.84500000000014</v>
      </c>
      <c r="I63" s="42">
        <v>681.47199999999998</v>
      </c>
      <c r="J63" s="42">
        <v>750.68400000000008</v>
      </c>
    </row>
    <row r="64" spans="1:10" ht="16.5" hidden="1" thickBot="1" x14ac:dyDescent="0.3">
      <c r="A64" s="38" t="s">
        <v>333</v>
      </c>
      <c r="B64" s="38" t="s">
        <v>208</v>
      </c>
      <c r="C64" s="41">
        <v>147.74100000000001</v>
      </c>
      <c r="D64" s="41">
        <v>157.05800000000002</v>
      </c>
      <c r="E64" s="41">
        <v>163.71300000000002</v>
      </c>
      <c r="F64" s="41">
        <v>173.03000000000003</v>
      </c>
      <c r="G64" s="41">
        <v>182.34700000000004</v>
      </c>
      <c r="H64" s="41">
        <v>191.66400000000002</v>
      </c>
      <c r="I64" s="41">
        <v>202.31200000000001</v>
      </c>
      <c r="J64" s="41">
        <v>212.96</v>
      </c>
    </row>
    <row r="65" spans="1:10" ht="16.5" hidden="1" thickBot="1" x14ac:dyDescent="0.3">
      <c r="A65" s="39" t="s">
        <v>333</v>
      </c>
      <c r="B65" s="39" t="s">
        <v>217</v>
      </c>
      <c r="C65" s="42">
        <v>166.375</v>
      </c>
      <c r="D65" s="42">
        <v>179.685</v>
      </c>
      <c r="E65" s="42">
        <v>196.98800000000003</v>
      </c>
      <c r="F65" s="42">
        <v>212.96</v>
      </c>
      <c r="G65" s="42">
        <v>258.21400000000006</v>
      </c>
      <c r="H65" s="42">
        <v>393.97600000000006</v>
      </c>
      <c r="I65" s="42">
        <v>436.56800000000004</v>
      </c>
      <c r="J65" s="42">
        <v>452.54</v>
      </c>
    </row>
    <row r="66" spans="1:10" ht="16.5" hidden="1" thickBot="1" x14ac:dyDescent="0.3">
      <c r="A66" s="38" t="s">
        <v>333</v>
      </c>
      <c r="B66" s="38" t="s">
        <v>235</v>
      </c>
      <c r="C66" s="41">
        <v>802.59300000000007</v>
      </c>
      <c r="D66" s="41">
        <v>867.81200000000001</v>
      </c>
      <c r="E66" s="41">
        <v>907.74200000000008</v>
      </c>
      <c r="F66" s="41">
        <v>938.35500000000002</v>
      </c>
      <c r="G66" s="41">
        <v>998.25000000000011</v>
      </c>
      <c r="H66" s="41">
        <v>1122.0330000000001</v>
      </c>
      <c r="I66" s="41">
        <v>1122.0330000000001</v>
      </c>
      <c r="J66" s="41">
        <v>1263.1190000000001</v>
      </c>
    </row>
    <row r="67" spans="1:10" ht="16.5" hidden="1" thickBot="1" x14ac:dyDescent="0.3">
      <c r="A67" s="39" t="s">
        <v>333</v>
      </c>
      <c r="B67" s="39" t="s">
        <v>244</v>
      </c>
      <c r="C67" s="42">
        <v>137.09300000000002</v>
      </c>
      <c r="D67" s="42">
        <v>151.73400000000001</v>
      </c>
      <c r="E67" s="42">
        <v>166.375</v>
      </c>
      <c r="F67" s="42">
        <v>202.31200000000001</v>
      </c>
      <c r="G67" s="42">
        <v>235.58700000000002</v>
      </c>
      <c r="H67" s="42">
        <v>295.48200000000003</v>
      </c>
      <c r="I67" s="42">
        <v>332.75</v>
      </c>
      <c r="J67" s="42">
        <v>348.72199999999998</v>
      </c>
    </row>
    <row r="68" spans="1:10" ht="16.5" hidden="1" thickBot="1" x14ac:dyDescent="0.3">
      <c r="A68" s="38" t="s">
        <v>333</v>
      </c>
      <c r="B68" s="38" t="s">
        <v>253</v>
      </c>
      <c r="C68" s="41">
        <v>153.06500000000003</v>
      </c>
      <c r="D68" s="41">
        <v>162.38200000000001</v>
      </c>
      <c r="E68" s="41">
        <v>178.35400000000001</v>
      </c>
      <c r="F68" s="41">
        <v>192.995</v>
      </c>
      <c r="G68" s="41">
        <v>255.55200000000002</v>
      </c>
      <c r="H68" s="41">
        <v>330.08800000000002</v>
      </c>
      <c r="I68" s="41">
        <v>389.983</v>
      </c>
      <c r="J68" s="41">
        <v>423.25799999999998</v>
      </c>
    </row>
    <row r="69" spans="1:10" ht="16.5" hidden="1" thickBot="1" x14ac:dyDescent="0.3">
      <c r="A69" s="39" t="s">
        <v>333</v>
      </c>
      <c r="B69" s="39" t="s">
        <v>37</v>
      </c>
      <c r="C69" s="42">
        <v>199.65</v>
      </c>
      <c r="D69" s="42">
        <v>210.29800000000003</v>
      </c>
      <c r="E69" s="42">
        <v>223.60800000000003</v>
      </c>
      <c r="F69" s="42">
        <v>232.92500000000001</v>
      </c>
      <c r="G69" s="42">
        <v>246.23500000000001</v>
      </c>
      <c r="H69" s="42">
        <v>259.54500000000002</v>
      </c>
      <c r="I69" s="42">
        <v>274.18600000000004</v>
      </c>
      <c r="J69" s="42">
        <v>264.26400000000001</v>
      </c>
    </row>
    <row r="70" spans="1:10" ht="16.5" hidden="1" thickBot="1" x14ac:dyDescent="0.3">
      <c r="A70" s="38" t="s">
        <v>333</v>
      </c>
      <c r="B70" s="38" t="s">
        <v>279</v>
      </c>
      <c r="C70" s="41">
        <v>190.33300000000003</v>
      </c>
      <c r="D70" s="41">
        <v>240.911</v>
      </c>
      <c r="E70" s="41">
        <v>264.86900000000003</v>
      </c>
      <c r="F70" s="41">
        <v>280.84100000000001</v>
      </c>
      <c r="G70" s="41">
        <v>332.75</v>
      </c>
      <c r="H70" s="41">
        <v>360.70100000000008</v>
      </c>
      <c r="I70" s="41">
        <v>379.33500000000004</v>
      </c>
      <c r="J70" s="41">
        <v>393.97600000000006</v>
      </c>
    </row>
    <row r="71" spans="1:10" ht="16.5" hidden="1" thickBot="1" x14ac:dyDescent="0.3">
      <c r="A71" s="39" t="s">
        <v>333</v>
      </c>
      <c r="B71" s="39" t="s">
        <v>306</v>
      </c>
      <c r="C71" s="42">
        <v>179.685</v>
      </c>
      <c r="D71" s="42">
        <v>215.62200000000004</v>
      </c>
      <c r="E71" s="42">
        <v>235.58700000000002</v>
      </c>
      <c r="F71" s="42">
        <v>250.22800000000001</v>
      </c>
      <c r="G71" s="42">
        <v>295.48200000000003</v>
      </c>
      <c r="H71" s="42">
        <v>375.46300000000002</v>
      </c>
      <c r="I71" s="42">
        <v>431.24400000000009</v>
      </c>
      <c r="J71" s="42">
        <v>461.85700000000003</v>
      </c>
    </row>
    <row r="72" spans="1:10" ht="16.5" hidden="1" thickBot="1" x14ac:dyDescent="0.3">
      <c r="A72" s="38" t="s">
        <v>333</v>
      </c>
      <c r="B72" s="38" t="s">
        <v>315</v>
      </c>
      <c r="C72" s="41">
        <v>665.5</v>
      </c>
      <c r="D72" s="41">
        <v>726.726</v>
      </c>
      <c r="E72" s="41">
        <v>771.98</v>
      </c>
      <c r="F72" s="41">
        <v>802.59300000000007</v>
      </c>
      <c r="G72" s="41">
        <v>911.73500000000013</v>
      </c>
      <c r="H72" s="41">
        <v>1003.5740000000001</v>
      </c>
      <c r="I72" s="41">
        <v>1059.4760000000001</v>
      </c>
      <c r="J72" s="41">
        <v>1141.9980000000003</v>
      </c>
    </row>
    <row r="73" spans="1:10" ht="16.5" hidden="1" thickBot="1" x14ac:dyDescent="0.3">
      <c r="A73" s="39" t="s">
        <v>333</v>
      </c>
      <c r="B73" s="39" t="s">
        <v>333</v>
      </c>
      <c r="C73" s="42">
        <v>146.41</v>
      </c>
      <c r="D73" s="42">
        <v>155.727</v>
      </c>
      <c r="E73" s="42">
        <v>166.375</v>
      </c>
      <c r="F73" s="42">
        <v>186.34000000000003</v>
      </c>
      <c r="G73" s="42">
        <v>206.30500000000004</v>
      </c>
      <c r="H73" s="42">
        <v>218.28400000000002</v>
      </c>
      <c r="I73" s="42">
        <v>227.60100000000003</v>
      </c>
      <c r="J73" s="42">
        <v>242.24200000000002</v>
      </c>
    </row>
    <row r="74" spans="1:10" ht="16.5" hidden="1" thickBot="1" x14ac:dyDescent="0.3">
      <c r="A74" s="38" t="s">
        <v>333</v>
      </c>
      <c r="B74" s="38" t="s">
        <v>351</v>
      </c>
      <c r="C74" s="41">
        <v>590.96400000000006</v>
      </c>
      <c r="D74" s="41">
        <v>622.90800000000002</v>
      </c>
      <c r="E74" s="41">
        <v>653.52100000000007</v>
      </c>
      <c r="F74" s="41">
        <v>689.45799999999997</v>
      </c>
      <c r="G74" s="41">
        <v>725.3950000000001</v>
      </c>
      <c r="H74" s="41">
        <v>763.99400000000003</v>
      </c>
      <c r="I74" s="41">
        <v>785.29000000000008</v>
      </c>
      <c r="J74" s="41">
        <v>802.59300000000007</v>
      </c>
    </row>
    <row r="75" spans="1:10" ht="16.5" hidden="1" thickBot="1" x14ac:dyDescent="0.3">
      <c r="A75" s="39" t="s">
        <v>333</v>
      </c>
      <c r="B75" s="39" t="s">
        <v>360</v>
      </c>
      <c r="C75" s="42">
        <v>601.61199999999997</v>
      </c>
      <c r="D75" s="42">
        <v>632.22500000000002</v>
      </c>
      <c r="E75" s="42">
        <v>665.5</v>
      </c>
      <c r="F75" s="42">
        <v>701.43700000000001</v>
      </c>
      <c r="G75" s="42">
        <v>737.37400000000014</v>
      </c>
      <c r="H75" s="42">
        <v>778.6350000000001</v>
      </c>
      <c r="I75" s="42">
        <v>819.89600000000007</v>
      </c>
      <c r="J75" s="42">
        <v>862.48800000000017</v>
      </c>
    </row>
    <row r="76" spans="1:10" ht="16.5" hidden="1" thickBot="1" x14ac:dyDescent="0.3">
      <c r="A76" s="38" t="s">
        <v>333</v>
      </c>
      <c r="B76" s="38" t="s">
        <v>369</v>
      </c>
      <c r="C76" s="41">
        <v>529.73800000000006</v>
      </c>
      <c r="D76" s="41">
        <v>574.99200000000008</v>
      </c>
      <c r="E76" s="41">
        <v>597.61900000000003</v>
      </c>
      <c r="F76" s="41">
        <v>628.23200000000008</v>
      </c>
      <c r="G76" s="41">
        <v>734.71199999999999</v>
      </c>
      <c r="H76" s="41">
        <v>887.77700000000016</v>
      </c>
      <c r="I76" s="41">
        <v>914.15499999999997</v>
      </c>
      <c r="J76" s="41">
        <v>983.60900000000015</v>
      </c>
    </row>
    <row r="77" spans="1:10" ht="16.5" hidden="1" thickBot="1" x14ac:dyDescent="0.3">
      <c r="A77" s="39" t="s">
        <v>333</v>
      </c>
      <c r="B77" s="39" t="s">
        <v>387</v>
      </c>
      <c r="C77" s="42">
        <v>196.98800000000003</v>
      </c>
      <c r="D77" s="42">
        <v>232.92500000000001</v>
      </c>
      <c r="E77" s="42">
        <v>259.54500000000002</v>
      </c>
      <c r="F77" s="42">
        <v>279.51</v>
      </c>
      <c r="G77" s="42">
        <v>332.75</v>
      </c>
      <c r="H77" s="42">
        <v>379.33500000000004</v>
      </c>
      <c r="I77" s="42">
        <v>407.286</v>
      </c>
      <c r="J77" s="42">
        <v>424.58900000000006</v>
      </c>
    </row>
    <row r="78" spans="1:10" ht="16.5" hidden="1" thickBot="1" x14ac:dyDescent="0.3">
      <c r="A78" s="38" t="s">
        <v>333</v>
      </c>
      <c r="B78" s="38" t="s">
        <v>405</v>
      </c>
      <c r="C78" s="41">
        <v>190.33300000000003</v>
      </c>
      <c r="D78" s="41">
        <v>240.911</v>
      </c>
      <c r="E78" s="41">
        <v>264.86900000000003</v>
      </c>
      <c r="F78" s="41">
        <v>280.84100000000001</v>
      </c>
      <c r="G78" s="41">
        <v>326.09500000000003</v>
      </c>
      <c r="H78" s="41">
        <v>356.70800000000003</v>
      </c>
      <c r="I78" s="41">
        <v>379.33500000000004</v>
      </c>
      <c r="J78" s="41">
        <v>393.97600000000006</v>
      </c>
    </row>
    <row r="79" spans="1:10" ht="16.5" hidden="1" thickBot="1" x14ac:dyDescent="0.3">
      <c r="A79" s="39" t="s">
        <v>333</v>
      </c>
      <c r="B79" s="39" t="s">
        <v>432</v>
      </c>
      <c r="C79" s="42">
        <v>146.41</v>
      </c>
      <c r="D79" s="42">
        <v>155.727</v>
      </c>
      <c r="E79" s="42">
        <v>166.375</v>
      </c>
      <c r="F79" s="42">
        <v>186.34000000000003</v>
      </c>
      <c r="G79" s="42">
        <v>206.30500000000004</v>
      </c>
      <c r="H79" s="42">
        <v>218.28400000000002</v>
      </c>
      <c r="I79" s="42">
        <v>234.25600000000003</v>
      </c>
      <c r="J79" s="42">
        <v>242.24200000000002</v>
      </c>
    </row>
    <row r="80" spans="1:10" ht="16.5" hidden="1" thickBot="1" x14ac:dyDescent="0.3">
      <c r="A80" s="38" t="s">
        <v>333</v>
      </c>
      <c r="B80" s="38" t="s">
        <v>441</v>
      </c>
      <c r="C80" s="41">
        <v>198.31900000000002</v>
      </c>
      <c r="D80" s="41">
        <v>266.20000000000005</v>
      </c>
      <c r="E80" s="41">
        <v>306.13000000000005</v>
      </c>
      <c r="F80" s="41">
        <v>332.75</v>
      </c>
      <c r="G80" s="41">
        <v>425.92</v>
      </c>
      <c r="H80" s="41">
        <v>439.23000000000008</v>
      </c>
      <c r="I80" s="41">
        <v>479.16000000000008</v>
      </c>
      <c r="J80" s="41">
        <v>485.815</v>
      </c>
    </row>
    <row r="81" spans="1:10" ht="16.5" hidden="1" thickBot="1" x14ac:dyDescent="0.3">
      <c r="A81" s="39" t="s">
        <v>333</v>
      </c>
      <c r="B81" s="39" t="s">
        <v>450</v>
      </c>
      <c r="C81" s="42">
        <v>437.899</v>
      </c>
      <c r="D81" s="42">
        <v>460.52600000000007</v>
      </c>
      <c r="E81" s="42">
        <v>484.48400000000004</v>
      </c>
      <c r="F81" s="42">
        <v>509.77300000000002</v>
      </c>
      <c r="G81" s="42">
        <v>537.72400000000005</v>
      </c>
      <c r="H81" s="42">
        <v>568.33699999999999</v>
      </c>
      <c r="I81" s="42">
        <v>598.95000000000005</v>
      </c>
      <c r="J81" s="42">
        <v>652.19000000000005</v>
      </c>
    </row>
    <row r="82" spans="1:10" ht="16.5" hidden="1" thickBot="1" x14ac:dyDescent="0.3">
      <c r="A82" s="38" t="s">
        <v>333</v>
      </c>
      <c r="B82" s="38" t="s">
        <v>468</v>
      </c>
      <c r="C82" s="41">
        <v>326.09500000000003</v>
      </c>
      <c r="D82" s="41">
        <v>363.363</v>
      </c>
      <c r="E82" s="41">
        <v>408.61700000000008</v>
      </c>
      <c r="F82" s="41">
        <v>424.58900000000006</v>
      </c>
      <c r="G82" s="41">
        <v>469.84300000000002</v>
      </c>
      <c r="H82" s="41">
        <v>524.4140000000001</v>
      </c>
      <c r="I82" s="41">
        <v>590.96400000000006</v>
      </c>
      <c r="J82" s="41">
        <v>658.84500000000014</v>
      </c>
    </row>
    <row r="83" spans="1:10" ht="16.5" hidden="1" thickBot="1" x14ac:dyDescent="0.3">
      <c r="A83" s="39" t="s">
        <v>333</v>
      </c>
      <c r="B83" s="39" t="s">
        <v>522</v>
      </c>
      <c r="C83" s="42">
        <v>212.96</v>
      </c>
      <c r="D83" s="42">
        <v>280.84100000000001</v>
      </c>
      <c r="E83" s="42">
        <v>324.76400000000001</v>
      </c>
      <c r="F83" s="42">
        <v>350.05300000000005</v>
      </c>
      <c r="G83" s="42">
        <v>397.96900000000005</v>
      </c>
      <c r="H83" s="42">
        <v>453.87100000000004</v>
      </c>
      <c r="I83" s="42">
        <v>472.50500000000005</v>
      </c>
      <c r="J83" s="42">
        <v>499.12500000000006</v>
      </c>
    </row>
    <row r="84" spans="1:10" ht="16.5" hidden="1" thickBot="1" x14ac:dyDescent="0.3">
      <c r="A84" s="38" t="s">
        <v>333</v>
      </c>
      <c r="B84" s="38" t="s">
        <v>540</v>
      </c>
      <c r="C84" s="41">
        <v>250.22800000000001</v>
      </c>
      <c r="D84" s="41">
        <v>272.85500000000002</v>
      </c>
      <c r="E84" s="41">
        <v>319.44</v>
      </c>
      <c r="F84" s="41">
        <v>332.75</v>
      </c>
      <c r="G84" s="41">
        <v>385.99</v>
      </c>
      <c r="H84" s="41">
        <v>453.87100000000004</v>
      </c>
      <c r="I84" s="41">
        <v>505.78000000000003</v>
      </c>
      <c r="J84" s="41">
        <v>574.99200000000008</v>
      </c>
    </row>
    <row r="85" spans="1:10" ht="16.5" hidden="1" thickBot="1" x14ac:dyDescent="0.3">
      <c r="A85" s="39" t="s">
        <v>333</v>
      </c>
      <c r="B85" s="39" t="s">
        <v>594</v>
      </c>
      <c r="C85" s="42">
        <v>590.96400000000006</v>
      </c>
      <c r="D85" s="42">
        <v>612.2600000000001</v>
      </c>
      <c r="E85" s="42">
        <v>636.21800000000007</v>
      </c>
      <c r="F85" s="42">
        <v>689.45799999999997</v>
      </c>
      <c r="G85" s="42">
        <v>775.97299999999996</v>
      </c>
      <c r="H85" s="42">
        <v>923.71400000000006</v>
      </c>
      <c r="I85" s="42">
        <v>983.60900000000015</v>
      </c>
      <c r="J85" s="42">
        <v>1028.8630000000001</v>
      </c>
    </row>
    <row r="86" spans="1:10" ht="16.5" hidden="1" thickBot="1" x14ac:dyDescent="0.3">
      <c r="A86" s="38" t="s">
        <v>333</v>
      </c>
      <c r="B86" s="38" t="s">
        <v>603</v>
      </c>
      <c r="C86" s="41">
        <v>190.33300000000003</v>
      </c>
      <c r="D86" s="41">
        <v>240.911</v>
      </c>
      <c r="E86" s="41">
        <v>264.86900000000003</v>
      </c>
      <c r="F86" s="41">
        <v>280.84100000000001</v>
      </c>
      <c r="G86" s="41">
        <v>326.09500000000003</v>
      </c>
      <c r="H86" s="41">
        <v>356.70800000000003</v>
      </c>
      <c r="I86" s="41">
        <v>379.33500000000004</v>
      </c>
      <c r="J86" s="41">
        <v>393.97600000000006</v>
      </c>
    </row>
    <row r="87" spans="1:10" ht="16.5" hidden="1" thickBot="1" x14ac:dyDescent="0.3">
      <c r="A87" s="39" t="s">
        <v>333</v>
      </c>
      <c r="B87" s="39" t="s">
        <v>630</v>
      </c>
      <c r="C87" s="42">
        <v>196.98800000000003</v>
      </c>
      <c r="D87" s="42">
        <v>232.92500000000001</v>
      </c>
      <c r="E87" s="42">
        <v>259.54500000000002</v>
      </c>
      <c r="F87" s="42">
        <v>279.51</v>
      </c>
      <c r="G87" s="42">
        <v>332.75</v>
      </c>
      <c r="H87" s="42">
        <v>379.33500000000004</v>
      </c>
      <c r="I87" s="42">
        <v>407.286</v>
      </c>
      <c r="J87" s="42">
        <v>424.58900000000006</v>
      </c>
    </row>
    <row r="88" spans="1:10" ht="16.5" hidden="1" thickBot="1" x14ac:dyDescent="0.3">
      <c r="A88" s="38" t="s">
        <v>333</v>
      </c>
      <c r="B88" s="38" t="s">
        <v>639</v>
      </c>
      <c r="C88" s="41">
        <v>437.899</v>
      </c>
      <c r="D88" s="41">
        <v>460.52600000000007</v>
      </c>
      <c r="E88" s="41">
        <v>484.48400000000004</v>
      </c>
      <c r="F88" s="41">
        <v>509.77300000000002</v>
      </c>
      <c r="G88" s="41">
        <v>537.72400000000005</v>
      </c>
      <c r="H88" s="41">
        <v>568.33699999999999</v>
      </c>
      <c r="I88" s="41">
        <v>598.95000000000005</v>
      </c>
      <c r="J88" s="41">
        <v>652.19000000000005</v>
      </c>
    </row>
    <row r="89" spans="1:10" ht="16.5" hidden="1" thickBot="1" x14ac:dyDescent="0.3">
      <c r="A89" s="39" t="s">
        <v>333</v>
      </c>
      <c r="B89" s="39" t="s">
        <v>648</v>
      </c>
      <c r="C89" s="42">
        <v>363.00000000000006</v>
      </c>
      <c r="D89" s="42">
        <v>380.30300000000005</v>
      </c>
      <c r="E89" s="42">
        <v>400.26800000000003</v>
      </c>
      <c r="F89" s="42">
        <v>421.56400000000002</v>
      </c>
      <c r="G89" s="42">
        <v>444.19100000000003</v>
      </c>
      <c r="H89" s="42">
        <v>468.149</v>
      </c>
      <c r="I89" s="42">
        <v>490.77600000000007</v>
      </c>
      <c r="J89" s="42">
        <v>518.72700000000009</v>
      </c>
    </row>
    <row r="90" spans="1:10" ht="16.5" hidden="1" thickBot="1" x14ac:dyDescent="0.3">
      <c r="A90" s="38" t="s">
        <v>333</v>
      </c>
      <c r="B90" s="38" t="s">
        <v>657</v>
      </c>
      <c r="C90" s="41">
        <v>318.10900000000004</v>
      </c>
      <c r="D90" s="41">
        <v>371.34899999999999</v>
      </c>
      <c r="E90" s="41">
        <v>424.58900000000006</v>
      </c>
      <c r="F90" s="41">
        <v>439.23000000000008</v>
      </c>
      <c r="G90" s="41">
        <v>515.09699999999998</v>
      </c>
      <c r="H90" s="41">
        <v>590.96400000000006</v>
      </c>
      <c r="I90" s="41">
        <v>628.23200000000008</v>
      </c>
      <c r="J90" s="41">
        <v>681.47199999999998</v>
      </c>
    </row>
    <row r="91" spans="1:10" ht="16.5" hidden="1" thickBot="1" x14ac:dyDescent="0.3">
      <c r="A91" s="39" t="s">
        <v>333</v>
      </c>
      <c r="B91" s="39" t="s">
        <v>675</v>
      </c>
      <c r="C91" s="42">
        <v>316.77800000000002</v>
      </c>
      <c r="D91" s="42">
        <v>332.75</v>
      </c>
      <c r="E91" s="42">
        <v>350.05300000000005</v>
      </c>
      <c r="F91" s="42">
        <v>370.01800000000003</v>
      </c>
      <c r="G91" s="42">
        <v>389.983</v>
      </c>
      <c r="H91" s="42">
        <v>409.94800000000004</v>
      </c>
      <c r="I91" s="42">
        <v>431.24400000000009</v>
      </c>
      <c r="J91" s="42">
        <v>453.87100000000004</v>
      </c>
    </row>
    <row r="92" spans="1:10" ht="16.5" hidden="1" thickBot="1" x14ac:dyDescent="0.3">
      <c r="A92" s="38" t="s">
        <v>333</v>
      </c>
      <c r="B92" s="38" t="s">
        <v>684</v>
      </c>
      <c r="C92" s="41">
        <v>484.48400000000004</v>
      </c>
      <c r="D92" s="41">
        <v>509.77300000000002</v>
      </c>
      <c r="E92" s="41">
        <v>537.72400000000005</v>
      </c>
      <c r="F92" s="41">
        <v>564.34400000000005</v>
      </c>
      <c r="G92" s="41">
        <v>585.64</v>
      </c>
      <c r="H92" s="41">
        <v>620.24600000000009</v>
      </c>
      <c r="I92" s="41">
        <v>673.48599999999999</v>
      </c>
      <c r="J92" s="41">
        <v>712.08500000000004</v>
      </c>
    </row>
    <row r="93" spans="1:10" ht="16.5" hidden="1" thickBot="1" x14ac:dyDescent="0.3">
      <c r="A93" s="39" t="s">
        <v>333</v>
      </c>
      <c r="B93" s="39" t="s">
        <v>702</v>
      </c>
      <c r="C93" s="42">
        <v>484.48400000000004</v>
      </c>
      <c r="D93" s="42">
        <v>509.77300000000002</v>
      </c>
      <c r="E93" s="42">
        <v>537.72400000000005</v>
      </c>
      <c r="F93" s="42">
        <v>564.34400000000005</v>
      </c>
      <c r="G93" s="42">
        <v>594.95700000000011</v>
      </c>
      <c r="H93" s="42">
        <v>620.24600000000009</v>
      </c>
      <c r="I93" s="42">
        <v>673.48599999999999</v>
      </c>
      <c r="J93" s="42">
        <v>718.74</v>
      </c>
    </row>
    <row r="94" spans="1:10" ht="16.5" hidden="1" thickBot="1" x14ac:dyDescent="0.3">
      <c r="A94" s="38" t="s">
        <v>333</v>
      </c>
      <c r="B94" s="38" t="s">
        <v>729</v>
      </c>
      <c r="C94" s="41">
        <v>182.34700000000004</v>
      </c>
      <c r="D94" s="41">
        <v>227.60100000000003</v>
      </c>
      <c r="E94" s="41">
        <v>264.86900000000003</v>
      </c>
      <c r="F94" s="41">
        <v>284.834</v>
      </c>
      <c r="G94" s="41">
        <v>343.39800000000002</v>
      </c>
      <c r="H94" s="41">
        <v>393.97600000000006</v>
      </c>
      <c r="I94" s="41">
        <v>424.58900000000006</v>
      </c>
      <c r="J94" s="41">
        <v>439.23000000000008</v>
      </c>
    </row>
    <row r="95" spans="1:10" ht="16.5" hidden="1" thickBot="1" x14ac:dyDescent="0.3">
      <c r="A95" s="39" t="s">
        <v>333</v>
      </c>
      <c r="B95" s="39" t="s">
        <v>738</v>
      </c>
      <c r="C95" s="42">
        <v>206.30500000000004</v>
      </c>
      <c r="D95" s="42">
        <v>216.953</v>
      </c>
      <c r="E95" s="42">
        <v>232.92500000000001</v>
      </c>
      <c r="F95" s="42">
        <v>242.24200000000002</v>
      </c>
      <c r="G95" s="42">
        <v>295.48200000000003</v>
      </c>
      <c r="H95" s="42">
        <v>318.10900000000004</v>
      </c>
      <c r="I95" s="42">
        <v>348.72199999999998</v>
      </c>
      <c r="J95" s="42">
        <v>363.363</v>
      </c>
    </row>
    <row r="96" spans="1:10" ht="16.5" hidden="1" thickBot="1" x14ac:dyDescent="0.3">
      <c r="A96" s="38" t="s">
        <v>333</v>
      </c>
      <c r="B96" s="38" t="s">
        <v>747</v>
      </c>
      <c r="C96" s="41">
        <v>185.00900000000001</v>
      </c>
      <c r="D96" s="41">
        <v>222.27700000000002</v>
      </c>
      <c r="E96" s="41">
        <v>235.58700000000002</v>
      </c>
      <c r="F96" s="41">
        <v>256.88300000000004</v>
      </c>
      <c r="G96" s="41">
        <v>302.13700000000006</v>
      </c>
      <c r="H96" s="41">
        <v>392.64500000000004</v>
      </c>
      <c r="I96" s="41">
        <v>443.22300000000007</v>
      </c>
      <c r="J96" s="41">
        <v>484.48400000000004</v>
      </c>
    </row>
    <row r="97" spans="1:10" ht="16.5" hidden="1" thickBot="1" x14ac:dyDescent="0.3">
      <c r="A97" s="39" t="s">
        <v>333</v>
      </c>
      <c r="B97" s="39" t="s">
        <v>756</v>
      </c>
      <c r="C97" s="42">
        <v>340.73599999999999</v>
      </c>
      <c r="D97" s="42">
        <v>367.35599999999999</v>
      </c>
      <c r="E97" s="42">
        <v>409.94800000000004</v>
      </c>
      <c r="F97" s="42">
        <v>428.58200000000005</v>
      </c>
      <c r="G97" s="42">
        <v>487.14600000000007</v>
      </c>
      <c r="H97" s="42">
        <v>541.7170000000001</v>
      </c>
      <c r="I97" s="42">
        <v>605.60500000000002</v>
      </c>
      <c r="J97" s="42">
        <v>681.47199999999998</v>
      </c>
    </row>
    <row r="98" spans="1:10" ht="16.5" hidden="1" thickBot="1" x14ac:dyDescent="0.3">
      <c r="A98" s="38" t="s">
        <v>333</v>
      </c>
      <c r="B98" s="38" t="s">
        <v>1626</v>
      </c>
      <c r="C98" s="41">
        <v>817.23400000000015</v>
      </c>
      <c r="D98" s="41">
        <v>893.101</v>
      </c>
      <c r="E98" s="41">
        <v>946.34100000000001</v>
      </c>
      <c r="F98" s="41">
        <v>960.98200000000008</v>
      </c>
      <c r="G98" s="41">
        <v>1064.8000000000002</v>
      </c>
      <c r="H98" s="41">
        <v>1131.3500000000001</v>
      </c>
      <c r="I98" s="41">
        <v>1204.5550000000001</v>
      </c>
      <c r="J98" s="41">
        <v>1251.1400000000001</v>
      </c>
    </row>
    <row r="99" spans="1:10" ht="16.5" hidden="1" thickBot="1" x14ac:dyDescent="0.3">
      <c r="A99" s="39" t="s">
        <v>333</v>
      </c>
      <c r="B99" s="39" t="s">
        <v>783</v>
      </c>
      <c r="C99" s="42">
        <v>185.00900000000001</v>
      </c>
      <c r="D99" s="42">
        <v>226.27</v>
      </c>
      <c r="E99" s="42">
        <v>244.904</v>
      </c>
      <c r="F99" s="42">
        <v>256.88300000000004</v>
      </c>
      <c r="G99" s="42">
        <v>304.79899999999998</v>
      </c>
      <c r="H99" s="42">
        <v>399.3</v>
      </c>
      <c r="I99" s="42">
        <v>441.89200000000005</v>
      </c>
      <c r="J99" s="42">
        <v>484.48400000000004</v>
      </c>
    </row>
    <row r="100" spans="1:10" ht="16.5" hidden="1" thickBot="1" x14ac:dyDescent="0.3">
      <c r="A100" s="38" t="s">
        <v>333</v>
      </c>
      <c r="B100" s="38" t="s">
        <v>792</v>
      </c>
      <c r="C100" s="41">
        <v>393.97600000000006</v>
      </c>
      <c r="D100" s="41">
        <v>453.87100000000004</v>
      </c>
      <c r="E100" s="41">
        <v>499.12500000000006</v>
      </c>
      <c r="F100" s="41">
        <v>523.08299999999997</v>
      </c>
      <c r="G100" s="41">
        <v>568.33699999999999</v>
      </c>
      <c r="H100" s="41">
        <v>650.85900000000015</v>
      </c>
      <c r="I100" s="41">
        <v>712.08500000000004</v>
      </c>
      <c r="J100" s="41">
        <v>786.62100000000009</v>
      </c>
    </row>
    <row r="101" spans="1:10" ht="16.5" hidden="1" thickBot="1" x14ac:dyDescent="0.3">
      <c r="A101" s="39" t="s">
        <v>333</v>
      </c>
      <c r="B101" s="39" t="s">
        <v>819</v>
      </c>
      <c r="C101" s="42">
        <v>336.74299999999999</v>
      </c>
      <c r="D101" s="42">
        <v>366.02500000000003</v>
      </c>
      <c r="E101" s="42">
        <v>400.63100000000003</v>
      </c>
      <c r="F101" s="42">
        <v>429.91300000000001</v>
      </c>
      <c r="G101" s="42">
        <v>459.19500000000005</v>
      </c>
      <c r="H101" s="42">
        <v>552.36500000000001</v>
      </c>
      <c r="I101" s="42">
        <v>658.84500000000014</v>
      </c>
      <c r="J101" s="42">
        <v>825.22000000000014</v>
      </c>
    </row>
    <row r="102" spans="1:10" ht="16.5" hidden="1" thickBot="1" x14ac:dyDescent="0.3">
      <c r="A102" s="38" t="s">
        <v>333</v>
      </c>
      <c r="B102" s="38" t="s">
        <v>828</v>
      </c>
      <c r="C102" s="41">
        <v>292.82</v>
      </c>
      <c r="D102" s="41">
        <v>319.44</v>
      </c>
      <c r="E102" s="41">
        <v>346.06000000000006</v>
      </c>
      <c r="F102" s="41">
        <v>372.68000000000006</v>
      </c>
      <c r="G102" s="41">
        <v>412.61000000000007</v>
      </c>
      <c r="H102" s="41">
        <v>572.33000000000004</v>
      </c>
      <c r="I102" s="41">
        <v>585.64</v>
      </c>
      <c r="J102" s="41">
        <v>598.95000000000005</v>
      </c>
    </row>
    <row r="103" spans="1:10" ht="16.5" hidden="1" thickBot="1" x14ac:dyDescent="0.3">
      <c r="A103" s="39" t="s">
        <v>333</v>
      </c>
      <c r="B103" s="39" t="s">
        <v>846</v>
      </c>
      <c r="C103" s="42">
        <v>231.59400000000002</v>
      </c>
      <c r="D103" s="42">
        <v>243.57300000000004</v>
      </c>
      <c r="E103" s="42">
        <v>258.21400000000006</v>
      </c>
      <c r="F103" s="42">
        <v>271.524</v>
      </c>
      <c r="G103" s="42">
        <v>284.834</v>
      </c>
      <c r="H103" s="42">
        <v>302.13700000000006</v>
      </c>
      <c r="I103" s="42">
        <v>316.77800000000002</v>
      </c>
      <c r="J103" s="42">
        <v>332.75</v>
      </c>
    </row>
    <row r="104" spans="1:10" ht="16.5" hidden="1" thickBot="1" x14ac:dyDescent="0.3">
      <c r="A104" s="38" t="s">
        <v>333</v>
      </c>
      <c r="B104" s="38" t="s">
        <v>855</v>
      </c>
      <c r="C104" s="41">
        <v>319.44</v>
      </c>
      <c r="D104" s="41">
        <v>344.72899999999998</v>
      </c>
      <c r="E104" s="41">
        <v>393.97600000000006</v>
      </c>
      <c r="F104" s="41">
        <v>424.58900000000006</v>
      </c>
      <c r="G104" s="41">
        <v>484.48400000000004</v>
      </c>
      <c r="H104" s="41">
        <v>574.99200000000008</v>
      </c>
      <c r="I104" s="41">
        <v>632.22500000000002</v>
      </c>
      <c r="J104" s="41">
        <v>798.6</v>
      </c>
    </row>
    <row r="105" spans="1:10" ht="16.5" hidden="1" thickBot="1" x14ac:dyDescent="0.3">
      <c r="A105" s="39" t="s">
        <v>333</v>
      </c>
      <c r="B105" s="39" t="s">
        <v>864</v>
      </c>
      <c r="C105" s="42">
        <v>256.88300000000004</v>
      </c>
      <c r="D105" s="42">
        <v>299.47500000000002</v>
      </c>
      <c r="E105" s="42">
        <v>332.75</v>
      </c>
      <c r="F105" s="42">
        <v>372.68000000000006</v>
      </c>
      <c r="G105" s="42">
        <v>412.61000000000007</v>
      </c>
      <c r="H105" s="42">
        <v>469.84300000000002</v>
      </c>
      <c r="I105" s="42">
        <v>492.47</v>
      </c>
      <c r="J105" s="42">
        <v>515.09699999999998</v>
      </c>
    </row>
    <row r="106" spans="1:10" ht="16.5" hidden="1" thickBot="1" x14ac:dyDescent="0.3">
      <c r="A106" s="38" t="s">
        <v>333</v>
      </c>
      <c r="B106" s="38" t="s">
        <v>882</v>
      </c>
      <c r="C106" s="41">
        <v>383.32800000000003</v>
      </c>
      <c r="D106" s="41">
        <v>431.24400000000009</v>
      </c>
      <c r="E106" s="41">
        <v>479.16000000000008</v>
      </c>
      <c r="F106" s="41">
        <v>493.80100000000004</v>
      </c>
      <c r="G106" s="41">
        <v>545.71</v>
      </c>
      <c r="H106" s="41">
        <v>613.59100000000001</v>
      </c>
      <c r="I106" s="41">
        <v>642.87300000000005</v>
      </c>
      <c r="J106" s="41">
        <v>712.08500000000004</v>
      </c>
    </row>
    <row r="107" spans="1:10" ht="16.5" hidden="1" thickBot="1" x14ac:dyDescent="0.3">
      <c r="A107" s="39" t="s">
        <v>333</v>
      </c>
      <c r="B107" s="39" t="s">
        <v>909</v>
      </c>
      <c r="C107" s="42">
        <v>179.685</v>
      </c>
      <c r="D107" s="42">
        <v>199.65</v>
      </c>
      <c r="E107" s="42">
        <v>227.60100000000003</v>
      </c>
      <c r="F107" s="42">
        <v>258.21400000000006</v>
      </c>
      <c r="G107" s="42">
        <v>290.15800000000002</v>
      </c>
      <c r="H107" s="42">
        <v>316.77800000000002</v>
      </c>
      <c r="I107" s="42">
        <v>332.75</v>
      </c>
      <c r="J107" s="42">
        <v>348.72199999999998</v>
      </c>
    </row>
    <row r="108" spans="1:10" ht="16.5" hidden="1" thickBot="1" x14ac:dyDescent="0.3">
      <c r="A108" s="38" t="s">
        <v>46</v>
      </c>
      <c r="B108" s="38" t="s">
        <v>118</v>
      </c>
      <c r="C108" s="41">
        <v>0</v>
      </c>
      <c r="D108" s="41">
        <v>0</v>
      </c>
      <c r="E108" s="41">
        <v>121.00000000000001</v>
      </c>
      <c r="F108" s="41">
        <v>121.00000000000001</v>
      </c>
      <c r="G108" s="41">
        <v>181.50000000000003</v>
      </c>
      <c r="H108" s="41">
        <v>217.8</v>
      </c>
      <c r="I108" s="41">
        <v>242.00000000000003</v>
      </c>
      <c r="J108" s="41">
        <v>278.3</v>
      </c>
    </row>
    <row r="109" spans="1:10" ht="16.5" hidden="1" thickBot="1" x14ac:dyDescent="0.3">
      <c r="A109" s="39" t="s">
        <v>46</v>
      </c>
      <c r="B109" s="39" t="s">
        <v>136</v>
      </c>
      <c r="C109" s="41">
        <v>0</v>
      </c>
      <c r="D109" s="41">
        <v>0</v>
      </c>
      <c r="E109" s="42">
        <v>121.00000000000001</v>
      </c>
      <c r="F109" s="42">
        <v>121.00000000000001</v>
      </c>
      <c r="G109" s="42">
        <v>181.50000000000003</v>
      </c>
      <c r="H109" s="42">
        <v>217.8</v>
      </c>
      <c r="I109" s="42">
        <v>242.00000000000003</v>
      </c>
      <c r="J109" s="42">
        <v>278.3</v>
      </c>
    </row>
    <row r="110" spans="1:10" ht="16.5" hidden="1" thickBot="1" x14ac:dyDescent="0.3">
      <c r="A110" s="38" t="s">
        <v>46</v>
      </c>
      <c r="B110" s="38" t="s">
        <v>37</v>
      </c>
      <c r="C110" s="41">
        <v>0</v>
      </c>
      <c r="D110" s="41">
        <v>0</v>
      </c>
      <c r="E110" s="41">
        <v>216.59000000000003</v>
      </c>
      <c r="F110" s="41">
        <v>216.59000000000003</v>
      </c>
      <c r="G110" s="41">
        <v>324.88500000000005</v>
      </c>
      <c r="H110" s="41">
        <v>379.03800000000001</v>
      </c>
      <c r="I110" s="41">
        <v>433.18000000000006</v>
      </c>
      <c r="J110" s="41">
        <v>446.72100000000006</v>
      </c>
    </row>
    <row r="111" spans="1:10" ht="16.5" hidden="1" thickBot="1" x14ac:dyDescent="0.3">
      <c r="A111" s="39" t="s">
        <v>46</v>
      </c>
      <c r="B111" s="39" t="s">
        <v>333</v>
      </c>
      <c r="C111" s="41">
        <v>0</v>
      </c>
      <c r="D111" s="41">
        <v>0</v>
      </c>
      <c r="E111" s="42">
        <v>226.21500000000003</v>
      </c>
      <c r="F111" s="42">
        <v>226.21500000000003</v>
      </c>
      <c r="G111" s="42">
        <v>339.31700000000006</v>
      </c>
      <c r="H111" s="42">
        <v>395.86800000000005</v>
      </c>
      <c r="I111" s="42">
        <v>452.41900000000004</v>
      </c>
      <c r="J111" s="42">
        <v>466.565</v>
      </c>
    </row>
    <row r="112" spans="1:10" ht="16.5" hidden="1" thickBot="1" x14ac:dyDescent="0.3">
      <c r="A112" s="38" t="s">
        <v>46</v>
      </c>
      <c r="B112" s="38" t="s">
        <v>351</v>
      </c>
      <c r="C112" s="41">
        <v>0</v>
      </c>
      <c r="D112" s="41">
        <v>0</v>
      </c>
      <c r="E112" s="41">
        <v>121.00000000000001</v>
      </c>
      <c r="F112" s="41">
        <v>121.00000000000001</v>
      </c>
      <c r="G112" s="41">
        <v>181.50000000000003</v>
      </c>
      <c r="H112" s="41">
        <v>217.8</v>
      </c>
      <c r="I112" s="41">
        <v>242.00000000000003</v>
      </c>
      <c r="J112" s="41">
        <v>278.3</v>
      </c>
    </row>
    <row r="113" spans="1:10" ht="16.5" hidden="1" thickBot="1" x14ac:dyDescent="0.3">
      <c r="A113" s="39" t="s">
        <v>46</v>
      </c>
      <c r="B113" s="39" t="s">
        <v>360</v>
      </c>
      <c r="C113" s="41">
        <v>0</v>
      </c>
      <c r="D113" s="41">
        <v>0</v>
      </c>
      <c r="E113" s="42">
        <v>462.02199999999999</v>
      </c>
      <c r="F113" s="42">
        <v>462.02199999999999</v>
      </c>
      <c r="G113" s="42">
        <v>693.03300000000002</v>
      </c>
      <c r="H113" s="42">
        <v>808.54399999999998</v>
      </c>
      <c r="I113" s="42">
        <v>924.04399999999998</v>
      </c>
      <c r="J113" s="42">
        <v>952.93000000000006</v>
      </c>
    </row>
    <row r="114" spans="1:10" ht="16.5" hidden="1" thickBot="1" x14ac:dyDescent="0.3">
      <c r="A114" s="38" t="s">
        <v>46</v>
      </c>
      <c r="B114" s="38" t="s">
        <v>405</v>
      </c>
      <c r="C114" s="41">
        <v>0</v>
      </c>
      <c r="D114" s="41">
        <v>0</v>
      </c>
      <c r="E114" s="41">
        <v>227.48000000000002</v>
      </c>
      <c r="F114" s="41">
        <v>227.48000000000002</v>
      </c>
      <c r="G114" s="41">
        <v>341.22</v>
      </c>
      <c r="H114" s="41">
        <v>398.09000000000003</v>
      </c>
      <c r="I114" s="41">
        <v>454.96000000000004</v>
      </c>
      <c r="J114" s="41">
        <v>469.18299999999999</v>
      </c>
    </row>
    <row r="115" spans="1:10" ht="16.5" hidden="1" thickBot="1" x14ac:dyDescent="0.3">
      <c r="A115" s="39" t="s">
        <v>46</v>
      </c>
      <c r="B115" s="39" t="s">
        <v>450</v>
      </c>
      <c r="C115" s="41">
        <v>0</v>
      </c>
      <c r="D115" s="41">
        <v>0</v>
      </c>
      <c r="E115" s="42">
        <v>121.00000000000001</v>
      </c>
      <c r="F115" s="42">
        <v>121.00000000000001</v>
      </c>
      <c r="G115" s="42">
        <v>181.50000000000003</v>
      </c>
      <c r="H115" s="42">
        <v>217.8</v>
      </c>
      <c r="I115" s="42">
        <v>242.00000000000003</v>
      </c>
      <c r="J115" s="42">
        <v>278.3</v>
      </c>
    </row>
    <row r="116" spans="1:10" ht="16.5" hidden="1" thickBot="1" x14ac:dyDescent="0.3">
      <c r="A116" s="38" t="s">
        <v>46</v>
      </c>
      <c r="B116" s="38" t="s">
        <v>639</v>
      </c>
      <c r="C116" s="41">
        <v>0</v>
      </c>
      <c r="D116" s="41">
        <v>0</v>
      </c>
      <c r="E116" s="41">
        <v>121.00000000000001</v>
      </c>
      <c r="F116" s="41">
        <v>121.00000000000001</v>
      </c>
      <c r="G116" s="41">
        <v>181.50000000000003</v>
      </c>
      <c r="H116" s="41">
        <v>217.8</v>
      </c>
      <c r="I116" s="41">
        <v>242.00000000000003</v>
      </c>
      <c r="J116" s="41">
        <v>278.3</v>
      </c>
    </row>
    <row r="117" spans="1:10" ht="16.5" hidden="1" thickBot="1" x14ac:dyDescent="0.3">
      <c r="A117" s="39" t="s">
        <v>46</v>
      </c>
      <c r="B117" s="39" t="s">
        <v>657</v>
      </c>
      <c r="C117" s="41">
        <v>0</v>
      </c>
      <c r="D117" s="41">
        <v>0</v>
      </c>
      <c r="E117" s="42">
        <v>121.00000000000001</v>
      </c>
      <c r="F117" s="42">
        <v>121.00000000000001</v>
      </c>
      <c r="G117" s="42">
        <v>181.50000000000003</v>
      </c>
      <c r="H117" s="42">
        <v>217.8</v>
      </c>
      <c r="I117" s="42">
        <v>242.00000000000003</v>
      </c>
      <c r="J117" s="42">
        <v>278.3</v>
      </c>
    </row>
    <row r="118" spans="1:10" ht="16.5" hidden="1" thickBot="1" x14ac:dyDescent="0.3">
      <c r="A118" s="38" t="s">
        <v>46</v>
      </c>
      <c r="B118" s="38" t="s">
        <v>702</v>
      </c>
      <c r="C118" s="41">
        <v>0</v>
      </c>
      <c r="D118" s="41">
        <v>0</v>
      </c>
      <c r="E118" s="41">
        <v>121.00000000000001</v>
      </c>
      <c r="F118" s="41">
        <v>121.00000000000001</v>
      </c>
      <c r="G118" s="41">
        <v>181.50000000000003</v>
      </c>
      <c r="H118" s="41">
        <v>217.8</v>
      </c>
      <c r="I118" s="41">
        <v>242.00000000000003</v>
      </c>
      <c r="J118" s="41">
        <v>278.3</v>
      </c>
    </row>
    <row r="119" spans="1:10" ht="16.5" hidden="1" thickBot="1" x14ac:dyDescent="0.3">
      <c r="A119" s="39" t="s">
        <v>46</v>
      </c>
      <c r="B119" s="39" t="s">
        <v>819</v>
      </c>
      <c r="C119" s="41">
        <v>0</v>
      </c>
      <c r="D119" s="41">
        <v>0</v>
      </c>
      <c r="E119" s="42">
        <v>121.00000000000001</v>
      </c>
      <c r="F119" s="42">
        <v>121.00000000000001</v>
      </c>
      <c r="G119" s="42">
        <v>181.50000000000003</v>
      </c>
      <c r="H119" s="42">
        <v>217.8</v>
      </c>
      <c r="I119" s="42">
        <v>242.00000000000003</v>
      </c>
      <c r="J119" s="42">
        <v>278.3</v>
      </c>
    </row>
    <row r="120" spans="1:10" ht="16.5" hidden="1" thickBot="1" x14ac:dyDescent="0.3">
      <c r="A120" s="38" t="s">
        <v>46</v>
      </c>
      <c r="B120" s="38" t="s">
        <v>846</v>
      </c>
      <c r="C120" s="41">
        <v>0</v>
      </c>
      <c r="D120" s="41">
        <v>0</v>
      </c>
      <c r="E120" s="41">
        <v>195.64600000000004</v>
      </c>
      <c r="F120" s="41">
        <v>195.64600000000004</v>
      </c>
      <c r="G120" s="41">
        <v>293.45799999999997</v>
      </c>
      <c r="H120" s="41">
        <v>342.375</v>
      </c>
      <c r="I120" s="41">
        <v>391.28100000000001</v>
      </c>
      <c r="J120" s="41">
        <v>403.51300000000003</v>
      </c>
    </row>
    <row r="121" spans="1:10" ht="16.5" hidden="1" thickBot="1" x14ac:dyDescent="0.3">
      <c r="A121" s="40" t="s">
        <v>46</v>
      </c>
      <c r="B121" s="40" t="s">
        <v>909</v>
      </c>
      <c r="C121" s="41">
        <v>0</v>
      </c>
      <c r="D121" s="41">
        <v>0</v>
      </c>
      <c r="E121" s="43">
        <v>221.49600000000004</v>
      </c>
      <c r="F121" s="43">
        <v>221.49600000000004</v>
      </c>
      <c r="G121" s="43">
        <v>332.233</v>
      </c>
      <c r="H121" s="43">
        <v>387.60700000000003</v>
      </c>
      <c r="I121" s="43">
        <v>442.98099999999999</v>
      </c>
      <c r="J121" s="43">
        <v>456.83000000000004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DACA0-9ECC-47C5-893A-707FC72E89B7}">
  <sheetPr>
    <tabColor theme="8"/>
  </sheetPr>
  <dimension ref="A1:K124"/>
  <sheetViews>
    <sheetView workbookViewId="0">
      <selection activeCell="C10" sqref="C10"/>
    </sheetView>
  </sheetViews>
  <sheetFormatPr baseColWidth="10" defaultColWidth="11.42578125" defaultRowHeight="15" x14ac:dyDescent="0.25"/>
  <cols>
    <col min="1" max="1" width="10.5703125" bestFit="1" customWidth="1"/>
    <col min="2" max="2" width="23.85546875" bestFit="1" customWidth="1"/>
    <col min="3" max="5" width="11.5703125" bestFit="1" customWidth="1"/>
    <col min="6" max="6" width="12.5703125" bestFit="1" customWidth="1"/>
    <col min="7" max="9" width="13.5703125" bestFit="1" customWidth="1"/>
    <col min="10" max="10" width="14" bestFit="1" customWidth="1"/>
    <col min="11" max="11" width="13.42578125" bestFit="1" customWidth="1"/>
  </cols>
  <sheetData>
    <row r="1" spans="1:11" x14ac:dyDescent="0.25">
      <c r="A1" t="s">
        <v>1</v>
      </c>
      <c r="B1" t="s">
        <v>2</v>
      </c>
      <c r="C1" t="s">
        <v>21</v>
      </c>
      <c r="D1" t="s">
        <v>29</v>
      </c>
      <c r="E1" t="s">
        <v>31</v>
      </c>
      <c r="F1" t="s">
        <v>33</v>
      </c>
      <c r="G1" t="s">
        <v>23</v>
      </c>
      <c r="H1" t="s">
        <v>25</v>
      </c>
      <c r="I1" t="s">
        <v>27</v>
      </c>
      <c r="J1" t="s">
        <v>35</v>
      </c>
      <c r="K1" t="s">
        <v>2786</v>
      </c>
    </row>
    <row r="2" spans="1:11" x14ac:dyDescent="0.25">
      <c r="A2" t="s">
        <v>918</v>
      </c>
      <c r="B2" t="s">
        <v>37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700</v>
      </c>
      <c r="K2" t="s">
        <v>4</v>
      </c>
    </row>
    <row r="3" spans="1:11" x14ac:dyDescent="0.25">
      <c r="A3" t="s">
        <v>918</v>
      </c>
      <c r="B3" t="s">
        <v>333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830</v>
      </c>
      <c r="K3" t="s">
        <v>4</v>
      </c>
    </row>
    <row r="4" spans="1:11" x14ac:dyDescent="0.25">
      <c r="A4" t="s">
        <v>37</v>
      </c>
      <c r="B4" t="s">
        <v>918</v>
      </c>
      <c r="C4">
        <v>0</v>
      </c>
      <c r="D4">
        <v>0</v>
      </c>
      <c r="E4">
        <v>375</v>
      </c>
      <c r="F4">
        <v>0</v>
      </c>
      <c r="G4">
        <v>0</v>
      </c>
      <c r="H4">
        <v>0</v>
      </c>
      <c r="I4">
        <v>0</v>
      </c>
      <c r="J4">
        <v>0</v>
      </c>
      <c r="K4" t="s">
        <v>4</v>
      </c>
    </row>
    <row r="5" spans="1:11" x14ac:dyDescent="0.25">
      <c r="A5" t="s">
        <v>46</v>
      </c>
      <c r="B5" t="s">
        <v>118</v>
      </c>
      <c r="C5">
        <v>155.76</v>
      </c>
      <c r="D5">
        <v>166.38</v>
      </c>
      <c r="E5">
        <v>172.28</v>
      </c>
      <c r="F5">
        <v>185.26</v>
      </c>
      <c r="G5">
        <v>248.98</v>
      </c>
      <c r="H5">
        <v>274.94</v>
      </c>
      <c r="I5">
        <v>300.89999999999998</v>
      </c>
      <c r="J5">
        <v>390.58</v>
      </c>
      <c r="K5" t="s">
        <v>4</v>
      </c>
    </row>
    <row r="6" spans="1:11" x14ac:dyDescent="0.25">
      <c r="A6" t="s">
        <v>46</v>
      </c>
      <c r="B6" t="s">
        <v>136</v>
      </c>
      <c r="C6">
        <v>98.79</v>
      </c>
      <c r="D6">
        <v>105.45</v>
      </c>
      <c r="E6">
        <v>108.78</v>
      </c>
      <c r="F6">
        <v>117.66</v>
      </c>
      <c r="G6">
        <v>157.62</v>
      </c>
      <c r="H6">
        <v>174.27</v>
      </c>
      <c r="I6">
        <v>189.81</v>
      </c>
      <c r="J6">
        <v>247.53</v>
      </c>
      <c r="K6" t="s">
        <v>4</v>
      </c>
    </row>
    <row r="7" spans="1:11" x14ac:dyDescent="0.25">
      <c r="A7" t="s">
        <v>46</v>
      </c>
      <c r="B7" t="s">
        <v>37</v>
      </c>
      <c r="C7">
        <v>300.95999999999998</v>
      </c>
      <c r="D7">
        <v>314.13</v>
      </c>
      <c r="E7">
        <v>334.02</v>
      </c>
      <c r="F7">
        <v>359.1</v>
      </c>
      <c r="G7">
        <v>468.42</v>
      </c>
      <c r="H7">
        <v>517.26</v>
      </c>
      <c r="I7">
        <v>567.21</v>
      </c>
      <c r="J7">
        <v>735.93</v>
      </c>
      <c r="K7" t="s">
        <v>4</v>
      </c>
    </row>
    <row r="8" spans="1:11" x14ac:dyDescent="0.25">
      <c r="A8" t="s">
        <v>46</v>
      </c>
      <c r="B8" t="s">
        <v>333</v>
      </c>
      <c r="C8">
        <v>305.25</v>
      </c>
      <c r="D8">
        <v>328.56</v>
      </c>
      <c r="E8">
        <v>348.84</v>
      </c>
      <c r="F8">
        <v>365.19</v>
      </c>
      <c r="G8">
        <v>489.51</v>
      </c>
      <c r="H8">
        <v>540.57000000000005</v>
      </c>
      <c r="I8">
        <v>591.63</v>
      </c>
      <c r="J8">
        <v>769.23</v>
      </c>
      <c r="K8" t="s">
        <v>4</v>
      </c>
    </row>
    <row r="9" spans="1:11" x14ac:dyDescent="0.25">
      <c r="A9" t="s">
        <v>46</v>
      </c>
      <c r="B9" t="s">
        <v>351</v>
      </c>
      <c r="C9">
        <v>122.1</v>
      </c>
      <c r="D9">
        <v>133.19999999999999</v>
      </c>
      <c r="E9">
        <v>155.4</v>
      </c>
      <c r="F9">
        <v>166.5</v>
      </c>
      <c r="G9">
        <v>199.8</v>
      </c>
      <c r="H9">
        <v>210.9</v>
      </c>
      <c r="I9">
        <v>260.85000000000002</v>
      </c>
      <c r="J9">
        <v>277.5</v>
      </c>
      <c r="K9" t="s">
        <v>4</v>
      </c>
    </row>
    <row r="10" spans="1:11" x14ac:dyDescent="0.25">
      <c r="A10" t="s">
        <v>46</v>
      </c>
      <c r="B10" t="s">
        <v>360</v>
      </c>
      <c r="C10">
        <v>624.92999999999995</v>
      </c>
      <c r="D10">
        <v>670.44</v>
      </c>
      <c r="E10">
        <v>692.64</v>
      </c>
      <c r="F10">
        <v>745.92</v>
      </c>
      <c r="G10">
        <v>1000.11</v>
      </c>
      <c r="H10">
        <v>1104.45</v>
      </c>
      <c r="I10">
        <v>1208.79</v>
      </c>
      <c r="J10">
        <v>1570.65</v>
      </c>
      <c r="K10" t="s">
        <v>4</v>
      </c>
    </row>
    <row r="11" spans="1:11" x14ac:dyDescent="0.25">
      <c r="A11" t="s">
        <v>46</v>
      </c>
      <c r="B11" t="s">
        <v>405</v>
      </c>
      <c r="C11">
        <v>307.47000000000003</v>
      </c>
      <c r="D11">
        <v>329.67</v>
      </c>
      <c r="E11">
        <v>340.77</v>
      </c>
      <c r="F11">
        <v>367.41</v>
      </c>
      <c r="G11">
        <v>491.73</v>
      </c>
      <c r="H11">
        <v>543.9</v>
      </c>
      <c r="I11">
        <v>594.96</v>
      </c>
      <c r="J11">
        <v>773.67</v>
      </c>
      <c r="K11" t="s">
        <v>4</v>
      </c>
    </row>
    <row r="12" spans="1:11" x14ac:dyDescent="0.25">
      <c r="A12" t="s">
        <v>46</v>
      </c>
      <c r="B12" t="s">
        <v>450</v>
      </c>
      <c r="C12">
        <v>172.05</v>
      </c>
      <c r="D12">
        <v>173.8</v>
      </c>
      <c r="E12">
        <v>196</v>
      </c>
      <c r="F12">
        <v>206</v>
      </c>
      <c r="G12">
        <v>249.75</v>
      </c>
      <c r="H12">
        <v>260.85000000000002</v>
      </c>
      <c r="I12">
        <v>310.8</v>
      </c>
      <c r="J12">
        <v>311.5</v>
      </c>
      <c r="K12" t="s">
        <v>4</v>
      </c>
    </row>
    <row r="13" spans="1:11" x14ac:dyDescent="0.25">
      <c r="A13" t="s">
        <v>46</v>
      </c>
      <c r="B13" t="s">
        <v>639</v>
      </c>
      <c r="C13">
        <v>88.8</v>
      </c>
      <c r="D13">
        <v>95.46</v>
      </c>
      <c r="E13">
        <v>98.79</v>
      </c>
      <c r="F13">
        <v>107.5</v>
      </c>
      <c r="G13">
        <v>142.08000000000001</v>
      </c>
      <c r="H13">
        <v>157.62</v>
      </c>
      <c r="I13">
        <v>172.05</v>
      </c>
      <c r="J13">
        <v>224.22</v>
      </c>
      <c r="K13" t="s">
        <v>4</v>
      </c>
    </row>
    <row r="14" spans="1:11" x14ac:dyDescent="0.25">
      <c r="A14" t="s">
        <v>46</v>
      </c>
      <c r="B14" t="s">
        <v>657</v>
      </c>
      <c r="C14">
        <v>107.38</v>
      </c>
      <c r="D14">
        <v>114.46</v>
      </c>
      <c r="E14">
        <v>119.18</v>
      </c>
      <c r="F14">
        <v>127.44</v>
      </c>
      <c r="G14">
        <v>171.1</v>
      </c>
      <c r="H14">
        <v>188.8</v>
      </c>
      <c r="I14">
        <v>207.68</v>
      </c>
      <c r="J14">
        <v>269.04000000000002</v>
      </c>
      <c r="K14" t="s">
        <v>4</v>
      </c>
    </row>
    <row r="15" spans="1:11" x14ac:dyDescent="0.25">
      <c r="A15" t="s">
        <v>46</v>
      </c>
      <c r="B15" t="s">
        <v>702</v>
      </c>
      <c r="C15">
        <v>153.4</v>
      </c>
      <c r="D15">
        <v>165.2</v>
      </c>
      <c r="E15">
        <v>188.8</v>
      </c>
      <c r="F15">
        <v>200.6</v>
      </c>
      <c r="G15">
        <v>236</v>
      </c>
      <c r="H15">
        <v>247.8</v>
      </c>
      <c r="I15">
        <v>300.89999999999998</v>
      </c>
      <c r="J15">
        <v>277.75</v>
      </c>
      <c r="K15" t="s">
        <v>4</v>
      </c>
    </row>
    <row r="16" spans="1:11" x14ac:dyDescent="0.25">
      <c r="A16" t="s">
        <v>46</v>
      </c>
      <c r="B16" t="s">
        <v>819</v>
      </c>
      <c r="C16">
        <v>149.85</v>
      </c>
      <c r="D16">
        <v>160.94999999999999</v>
      </c>
      <c r="E16">
        <v>183.15</v>
      </c>
      <c r="F16">
        <v>194.25</v>
      </c>
      <c r="G16">
        <v>227.55</v>
      </c>
      <c r="H16">
        <v>238.65</v>
      </c>
      <c r="I16">
        <v>288.60000000000002</v>
      </c>
      <c r="J16">
        <v>305.25</v>
      </c>
      <c r="K16" t="s">
        <v>4</v>
      </c>
    </row>
    <row r="17" spans="1:11" x14ac:dyDescent="0.25">
      <c r="A17" t="s">
        <v>46</v>
      </c>
      <c r="B17" t="s">
        <v>846</v>
      </c>
      <c r="C17">
        <v>271.32</v>
      </c>
      <c r="D17">
        <v>291.83999999999997</v>
      </c>
      <c r="E17">
        <v>300.95999999999998</v>
      </c>
      <c r="F17">
        <v>324.89999999999998</v>
      </c>
      <c r="G17">
        <v>434.34</v>
      </c>
      <c r="H17">
        <v>467.31</v>
      </c>
      <c r="I17">
        <v>525.54</v>
      </c>
      <c r="J17">
        <v>664.89</v>
      </c>
      <c r="K17" t="s">
        <v>4</v>
      </c>
    </row>
    <row r="18" spans="1:11" x14ac:dyDescent="0.25">
      <c r="A18" t="s">
        <v>46</v>
      </c>
      <c r="B18" t="s">
        <v>909</v>
      </c>
      <c r="C18">
        <v>299.7</v>
      </c>
      <c r="D18">
        <v>320.79000000000002</v>
      </c>
      <c r="E18">
        <v>340.86</v>
      </c>
      <c r="F18">
        <v>367.08</v>
      </c>
      <c r="G18">
        <v>479.52</v>
      </c>
      <c r="H18">
        <v>529.47</v>
      </c>
      <c r="I18">
        <v>579.41999999999996</v>
      </c>
      <c r="J18">
        <v>752.58</v>
      </c>
      <c r="K18" t="s">
        <v>4</v>
      </c>
    </row>
    <row r="19" spans="1:11" x14ac:dyDescent="0.25">
      <c r="A19" t="s">
        <v>37</v>
      </c>
      <c r="B19" t="s">
        <v>46</v>
      </c>
      <c r="C19">
        <v>200.1</v>
      </c>
      <c r="D19">
        <v>190.9</v>
      </c>
      <c r="E19">
        <v>250.7</v>
      </c>
      <c r="F19">
        <v>272.55</v>
      </c>
      <c r="G19">
        <v>323.14999999999998</v>
      </c>
      <c r="H19">
        <v>395.58</v>
      </c>
      <c r="I19">
        <v>627.15</v>
      </c>
      <c r="J19">
        <v>694.86</v>
      </c>
      <c r="K19" t="s">
        <v>4</v>
      </c>
    </row>
    <row r="20" spans="1:11" x14ac:dyDescent="0.25">
      <c r="A20" t="s">
        <v>37</v>
      </c>
      <c r="B20" t="s">
        <v>82</v>
      </c>
      <c r="C20">
        <v>144.73330000000001</v>
      </c>
      <c r="D20">
        <v>145.73330000000001</v>
      </c>
      <c r="E20">
        <v>186.66669999999999</v>
      </c>
      <c r="F20">
        <v>203.66669999999999</v>
      </c>
      <c r="G20">
        <v>250.66669999999999</v>
      </c>
      <c r="H20">
        <v>263.07</v>
      </c>
      <c r="I20">
        <v>377.4</v>
      </c>
      <c r="J20">
        <v>415.14</v>
      </c>
      <c r="K20" t="s">
        <v>4</v>
      </c>
    </row>
    <row r="21" spans="1:11" x14ac:dyDescent="0.25">
      <c r="A21" t="s">
        <v>37</v>
      </c>
      <c r="B21" t="s">
        <v>100</v>
      </c>
      <c r="C21">
        <v>264.5</v>
      </c>
      <c r="D21">
        <v>285</v>
      </c>
      <c r="E21">
        <v>444.6</v>
      </c>
      <c r="F21">
        <v>449.55</v>
      </c>
      <c r="G21">
        <v>524.4</v>
      </c>
      <c r="H21">
        <v>532.79999999999995</v>
      </c>
      <c r="I21">
        <v>598.5</v>
      </c>
      <c r="J21">
        <v>627</v>
      </c>
      <c r="K21" t="s">
        <v>4</v>
      </c>
    </row>
    <row r="22" spans="1:11" x14ac:dyDescent="0.25">
      <c r="A22" t="s">
        <v>37</v>
      </c>
      <c r="B22" t="s">
        <v>109</v>
      </c>
      <c r="C22">
        <v>147.19999999999999</v>
      </c>
      <c r="D22">
        <v>175.56</v>
      </c>
      <c r="E22">
        <v>215.83330000000001</v>
      </c>
      <c r="F22">
        <v>245.1</v>
      </c>
      <c r="G22">
        <v>241.5</v>
      </c>
      <c r="H22">
        <v>259.92</v>
      </c>
      <c r="I22">
        <v>403.56</v>
      </c>
      <c r="J22">
        <v>453.99</v>
      </c>
      <c r="K22" t="s">
        <v>4</v>
      </c>
    </row>
    <row r="23" spans="1:11" x14ac:dyDescent="0.25">
      <c r="A23" t="s">
        <v>37</v>
      </c>
      <c r="B23" t="s">
        <v>118</v>
      </c>
      <c r="C23">
        <v>134.19999999999999</v>
      </c>
      <c r="D23">
        <v>140.19999999999999</v>
      </c>
      <c r="E23">
        <v>172</v>
      </c>
      <c r="F23">
        <v>186</v>
      </c>
      <c r="G23">
        <v>199</v>
      </c>
      <c r="H23">
        <v>212.3</v>
      </c>
      <c r="I23">
        <v>305.8</v>
      </c>
      <c r="J23">
        <v>364.08</v>
      </c>
      <c r="K23" t="s">
        <v>4</v>
      </c>
    </row>
    <row r="24" spans="1:11" x14ac:dyDescent="0.25">
      <c r="A24" t="s">
        <v>37</v>
      </c>
      <c r="B24" t="s">
        <v>127</v>
      </c>
      <c r="C24">
        <v>159.4667</v>
      </c>
      <c r="D24">
        <v>171.4667</v>
      </c>
      <c r="E24">
        <v>214.83330000000001</v>
      </c>
      <c r="F24">
        <v>221.83330000000001</v>
      </c>
      <c r="G24">
        <v>241.83330000000001</v>
      </c>
      <c r="H24">
        <v>250.8</v>
      </c>
      <c r="I24">
        <v>387.39</v>
      </c>
      <c r="J24">
        <v>453.75</v>
      </c>
      <c r="K24" t="s">
        <v>4</v>
      </c>
    </row>
    <row r="25" spans="1:11" x14ac:dyDescent="0.25">
      <c r="A25" t="s">
        <v>37</v>
      </c>
      <c r="B25" t="s">
        <v>136</v>
      </c>
      <c r="C25">
        <v>157.55000000000001</v>
      </c>
      <c r="D25">
        <v>170.73330000000001</v>
      </c>
      <c r="E25">
        <v>207</v>
      </c>
      <c r="F25">
        <v>219.16669999999999</v>
      </c>
      <c r="G25">
        <v>253</v>
      </c>
      <c r="H25">
        <v>288.64999999999998</v>
      </c>
      <c r="I25">
        <v>405.84</v>
      </c>
      <c r="J25">
        <v>458.28</v>
      </c>
      <c r="K25" t="s">
        <v>4</v>
      </c>
    </row>
    <row r="26" spans="1:11" x14ac:dyDescent="0.25">
      <c r="A26" t="s">
        <v>37</v>
      </c>
      <c r="B26" t="s">
        <v>190</v>
      </c>
      <c r="C26">
        <v>164.26669999999999</v>
      </c>
      <c r="D26">
        <v>185.26669999999999</v>
      </c>
      <c r="E26">
        <v>202.83330000000001</v>
      </c>
      <c r="F26">
        <v>220.83330000000001</v>
      </c>
      <c r="G26">
        <v>231.42</v>
      </c>
      <c r="H26">
        <v>263.07</v>
      </c>
      <c r="I26">
        <v>368.4</v>
      </c>
      <c r="J26">
        <v>423.75</v>
      </c>
      <c r="K26" t="s">
        <v>4</v>
      </c>
    </row>
    <row r="27" spans="1:11" x14ac:dyDescent="0.25">
      <c r="A27" t="s">
        <v>37</v>
      </c>
      <c r="B27" t="s">
        <v>199</v>
      </c>
      <c r="C27">
        <v>325.23</v>
      </c>
      <c r="D27">
        <v>336.33</v>
      </c>
      <c r="E27">
        <v>353.4</v>
      </c>
      <c r="F27">
        <v>427.16669999999999</v>
      </c>
      <c r="G27">
        <v>438.9</v>
      </c>
      <c r="H27">
        <v>460.65</v>
      </c>
      <c r="I27">
        <v>591.63</v>
      </c>
      <c r="J27">
        <v>731.49</v>
      </c>
      <c r="K27" t="s">
        <v>4</v>
      </c>
    </row>
    <row r="28" spans="1:11" x14ac:dyDescent="0.25">
      <c r="A28" t="s">
        <v>37</v>
      </c>
      <c r="B28" t="s">
        <v>208</v>
      </c>
      <c r="C28">
        <v>91.2667</v>
      </c>
      <c r="D28">
        <v>95.2667</v>
      </c>
      <c r="E28">
        <v>127.83329999999999</v>
      </c>
      <c r="F28">
        <v>133.83330000000001</v>
      </c>
      <c r="G28">
        <v>165.83330000000001</v>
      </c>
      <c r="H28">
        <v>170.4</v>
      </c>
      <c r="I28">
        <v>236.4</v>
      </c>
      <c r="J28">
        <v>273.25</v>
      </c>
      <c r="K28" t="s">
        <v>4</v>
      </c>
    </row>
    <row r="29" spans="1:11" x14ac:dyDescent="0.25">
      <c r="A29" t="s">
        <v>37</v>
      </c>
      <c r="B29" t="s">
        <v>217</v>
      </c>
      <c r="C29">
        <v>91.02</v>
      </c>
      <c r="D29">
        <v>105.45</v>
      </c>
      <c r="E29">
        <v>139.66669999999999</v>
      </c>
      <c r="F29">
        <v>153.66669999999999</v>
      </c>
      <c r="G29">
        <v>163.66669999999999</v>
      </c>
      <c r="H29">
        <v>180.6</v>
      </c>
      <c r="I29">
        <v>214.6</v>
      </c>
      <c r="J29">
        <v>243.09</v>
      </c>
      <c r="K29" t="s">
        <v>4</v>
      </c>
    </row>
    <row r="30" spans="1:11" x14ac:dyDescent="0.25">
      <c r="A30" t="s">
        <v>37</v>
      </c>
      <c r="B30" t="s">
        <v>235</v>
      </c>
      <c r="C30">
        <v>342</v>
      </c>
      <c r="D30">
        <v>387.6</v>
      </c>
      <c r="E30">
        <v>441</v>
      </c>
      <c r="F30">
        <v>456</v>
      </c>
      <c r="G30">
        <v>513</v>
      </c>
      <c r="H30">
        <v>563.16</v>
      </c>
      <c r="I30">
        <v>697.68</v>
      </c>
      <c r="J30">
        <v>720.48</v>
      </c>
      <c r="K30" t="s">
        <v>4</v>
      </c>
    </row>
    <row r="31" spans="1:11" x14ac:dyDescent="0.25">
      <c r="A31" t="s">
        <v>37</v>
      </c>
      <c r="B31" t="s">
        <v>244</v>
      </c>
      <c r="C31">
        <v>102.2</v>
      </c>
      <c r="D31">
        <v>105.2</v>
      </c>
      <c r="E31">
        <v>141.5</v>
      </c>
      <c r="F31">
        <v>159.5</v>
      </c>
      <c r="G31">
        <v>172.5</v>
      </c>
      <c r="H31">
        <v>196.8</v>
      </c>
      <c r="I31">
        <v>251.8</v>
      </c>
      <c r="J31">
        <v>284.75</v>
      </c>
      <c r="K31" t="s">
        <v>4</v>
      </c>
    </row>
    <row r="32" spans="1:11" x14ac:dyDescent="0.25">
      <c r="A32" t="s">
        <v>37</v>
      </c>
      <c r="B32" t="s">
        <v>253</v>
      </c>
      <c r="C32">
        <v>118.77</v>
      </c>
      <c r="D32">
        <v>119.13330000000001</v>
      </c>
      <c r="E32">
        <v>130.16669999999999</v>
      </c>
      <c r="F32">
        <v>143.16669999999999</v>
      </c>
      <c r="G32">
        <v>179.82</v>
      </c>
      <c r="H32">
        <v>226.44</v>
      </c>
      <c r="I32">
        <v>334.11</v>
      </c>
      <c r="J32">
        <v>362.97</v>
      </c>
      <c r="K32" t="s">
        <v>4</v>
      </c>
    </row>
    <row r="33" spans="1:11" x14ac:dyDescent="0.25">
      <c r="A33" t="s">
        <v>37</v>
      </c>
      <c r="B33" t="s">
        <v>37</v>
      </c>
      <c r="C33">
        <v>57.8</v>
      </c>
      <c r="D33">
        <v>57.8</v>
      </c>
      <c r="E33">
        <v>66.5</v>
      </c>
      <c r="F33">
        <v>74.5</v>
      </c>
      <c r="G33">
        <v>83.5</v>
      </c>
      <c r="H33">
        <v>90.2</v>
      </c>
      <c r="I33">
        <v>122.2</v>
      </c>
      <c r="J33">
        <v>131.25</v>
      </c>
      <c r="K33" t="s">
        <v>4</v>
      </c>
    </row>
    <row r="34" spans="1:11" x14ac:dyDescent="0.25">
      <c r="A34" t="s">
        <v>37</v>
      </c>
      <c r="B34" t="s">
        <v>279</v>
      </c>
      <c r="C34">
        <v>133.19999999999999</v>
      </c>
      <c r="D34">
        <v>139.86670000000001</v>
      </c>
      <c r="E34">
        <v>179.83330000000001</v>
      </c>
      <c r="F34">
        <v>189.83330000000001</v>
      </c>
      <c r="G34">
        <v>236.83330000000001</v>
      </c>
      <c r="H34">
        <v>264.18</v>
      </c>
      <c r="I34">
        <v>344.8</v>
      </c>
      <c r="J34">
        <v>418.25</v>
      </c>
      <c r="K34" t="s">
        <v>4</v>
      </c>
    </row>
    <row r="35" spans="1:11" x14ac:dyDescent="0.25">
      <c r="A35" t="s">
        <v>37</v>
      </c>
      <c r="B35" t="s">
        <v>306</v>
      </c>
      <c r="C35">
        <v>156.18</v>
      </c>
      <c r="D35">
        <v>160.74</v>
      </c>
      <c r="E35">
        <v>202.92</v>
      </c>
      <c r="F35">
        <v>221.16</v>
      </c>
      <c r="G35">
        <v>267.89999999999998</v>
      </c>
      <c r="H35">
        <v>290.82</v>
      </c>
      <c r="I35">
        <v>376.29</v>
      </c>
      <c r="J35">
        <v>407.37</v>
      </c>
      <c r="K35" t="s">
        <v>4</v>
      </c>
    </row>
    <row r="36" spans="1:11" x14ac:dyDescent="0.25">
      <c r="A36" t="s">
        <v>37</v>
      </c>
      <c r="B36" t="s">
        <v>315</v>
      </c>
      <c r="C36">
        <v>736.86670000000004</v>
      </c>
      <c r="D36">
        <v>746.86670000000004</v>
      </c>
      <c r="E36">
        <v>927.83330000000001</v>
      </c>
      <c r="F36">
        <v>1110</v>
      </c>
      <c r="G36">
        <v>1121.8333</v>
      </c>
      <c r="H36">
        <v>1221</v>
      </c>
      <c r="I36">
        <v>1539.8</v>
      </c>
      <c r="J36">
        <v>1798.2</v>
      </c>
      <c r="K36" t="s">
        <v>4</v>
      </c>
    </row>
    <row r="37" spans="1:11" x14ac:dyDescent="0.25">
      <c r="A37" t="s">
        <v>37</v>
      </c>
      <c r="B37" t="s">
        <v>333</v>
      </c>
      <c r="C37">
        <v>91.4</v>
      </c>
      <c r="D37">
        <v>94.4</v>
      </c>
      <c r="E37">
        <v>130</v>
      </c>
      <c r="F37">
        <v>143</v>
      </c>
      <c r="G37">
        <v>156</v>
      </c>
      <c r="H37">
        <v>177.6</v>
      </c>
      <c r="I37">
        <v>206.6</v>
      </c>
      <c r="J37">
        <v>247.5</v>
      </c>
      <c r="K37" t="s">
        <v>4</v>
      </c>
    </row>
    <row r="38" spans="1:11" x14ac:dyDescent="0.25">
      <c r="A38" t="s">
        <v>37</v>
      </c>
      <c r="B38" t="s">
        <v>351</v>
      </c>
      <c r="C38">
        <v>198</v>
      </c>
      <c r="D38">
        <v>212</v>
      </c>
      <c r="E38">
        <v>251</v>
      </c>
      <c r="F38">
        <v>284</v>
      </c>
      <c r="G38">
        <v>302.45</v>
      </c>
      <c r="H38">
        <v>331.2</v>
      </c>
      <c r="I38">
        <v>511.86</v>
      </c>
      <c r="J38">
        <v>617.88</v>
      </c>
      <c r="K38" t="s">
        <v>4</v>
      </c>
    </row>
    <row r="39" spans="1:11" x14ac:dyDescent="0.25">
      <c r="A39" t="s">
        <v>37</v>
      </c>
      <c r="B39" t="s">
        <v>360</v>
      </c>
      <c r="C39">
        <v>190.9</v>
      </c>
      <c r="D39">
        <v>211.33330000000001</v>
      </c>
      <c r="E39">
        <v>250.16669999999999</v>
      </c>
      <c r="F39">
        <v>253.16669999999999</v>
      </c>
      <c r="G39">
        <v>281.75</v>
      </c>
      <c r="H39">
        <v>290.95</v>
      </c>
      <c r="I39">
        <v>511.86</v>
      </c>
      <c r="J39">
        <v>626.04</v>
      </c>
      <c r="K39" t="s">
        <v>4</v>
      </c>
    </row>
    <row r="40" spans="1:11" x14ac:dyDescent="0.25">
      <c r="A40" t="s">
        <v>37</v>
      </c>
      <c r="B40" t="s">
        <v>369</v>
      </c>
      <c r="C40">
        <v>246.1</v>
      </c>
      <c r="D40">
        <v>270.26670000000001</v>
      </c>
      <c r="E40">
        <v>347.33330000000001</v>
      </c>
      <c r="F40">
        <v>408.12</v>
      </c>
      <c r="G40">
        <v>430.92</v>
      </c>
      <c r="H40">
        <v>475.38</v>
      </c>
      <c r="I40">
        <v>564.29999999999995</v>
      </c>
      <c r="J40">
        <v>676.02</v>
      </c>
      <c r="K40" t="s">
        <v>4</v>
      </c>
    </row>
    <row r="41" spans="1:11" x14ac:dyDescent="0.25">
      <c r="A41" t="s">
        <v>37</v>
      </c>
      <c r="B41" t="s">
        <v>387</v>
      </c>
      <c r="C41">
        <v>105.45</v>
      </c>
      <c r="D41">
        <v>120.9333</v>
      </c>
      <c r="E41">
        <v>133.66669999999999</v>
      </c>
      <c r="F41">
        <v>144.66669999999999</v>
      </c>
      <c r="G41">
        <v>187.59</v>
      </c>
      <c r="H41">
        <v>199.8</v>
      </c>
      <c r="I41">
        <v>295.26</v>
      </c>
      <c r="J41">
        <v>321.89999999999998</v>
      </c>
      <c r="K41" t="s">
        <v>4</v>
      </c>
    </row>
    <row r="42" spans="1:11" x14ac:dyDescent="0.25">
      <c r="A42" t="s">
        <v>37</v>
      </c>
      <c r="B42" t="s">
        <v>405</v>
      </c>
      <c r="C42">
        <v>61.866700000000002</v>
      </c>
      <c r="D42">
        <v>63.866700000000002</v>
      </c>
      <c r="E42">
        <v>76.833299999999994</v>
      </c>
      <c r="F42">
        <v>85.833299999999994</v>
      </c>
      <c r="G42">
        <v>93.833299999999994</v>
      </c>
      <c r="H42">
        <v>103.8</v>
      </c>
      <c r="I42">
        <v>129.80000000000001</v>
      </c>
      <c r="J42">
        <v>142.25</v>
      </c>
      <c r="K42" t="s">
        <v>4</v>
      </c>
    </row>
    <row r="43" spans="1:11" x14ac:dyDescent="0.25">
      <c r="A43" t="s">
        <v>37</v>
      </c>
      <c r="B43" t="s">
        <v>432</v>
      </c>
      <c r="C43">
        <v>100.4</v>
      </c>
      <c r="D43">
        <v>105.4</v>
      </c>
      <c r="E43">
        <v>142.08000000000001</v>
      </c>
      <c r="F43">
        <v>151</v>
      </c>
      <c r="G43">
        <v>168.72</v>
      </c>
      <c r="H43">
        <v>189.81</v>
      </c>
      <c r="I43">
        <v>226.44</v>
      </c>
      <c r="J43">
        <v>267.51</v>
      </c>
      <c r="K43" t="s">
        <v>4</v>
      </c>
    </row>
    <row r="44" spans="1:11" x14ac:dyDescent="0.25">
      <c r="A44" t="s">
        <v>37</v>
      </c>
      <c r="B44" t="s">
        <v>441</v>
      </c>
      <c r="C44">
        <v>165.26669999999999</v>
      </c>
      <c r="D44">
        <v>167.58</v>
      </c>
      <c r="E44">
        <v>222</v>
      </c>
      <c r="F44">
        <v>227.55</v>
      </c>
      <c r="G44">
        <v>281.94</v>
      </c>
      <c r="H44">
        <v>299.7</v>
      </c>
      <c r="I44">
        <v>406.26</v>
      </c>
      <c r="J44">
        <v>526.14</v>
      </c>
      <c r="K44" t="s">
        <v>4</v>
      </c>
    </row>
    <row r="45" spans="1:11" x14ac:dyDescent="0.25">
      <c r="A45" t="s">
        <v>37</v>
      </c>
      <c r="B45" t="s">
        <v>450</v>
      </c>
      <c r="C45">
        <v>170.9333</v>
      </c>
      <c r="D45">
        <v>177.9333</v>
      </c>
      <c r="E45">
        <v>225.66669999999999</v>
      </c>
      <c r="F45">
        <v>233.66669999999999</v>
      </c>
      <c r="G45">
        <v>257.66669999999999</v>
      </c>
      <c r="H45">
        <v>286.39999999999998</v>
      </c>
      <c r="I45">
        <v>389.4</v>
      </c>
      <c r="J45">
        <v>453</v>
      </c>
      <c r="K45" t="s">
        <v>4</v>
      </c>
    </row>
    <row r="46" spans="1:11" x14ac:dyDescent="0.25">
      <c r="A46" t="s">
        <v>37</v>
      </c>
      <c r="B46" t="s">
        <v>468</v>
      </c>
      <c r="C46">
        <v>224.25</v>
      </c>
      <c r="D46">
        <v>227.7</v>
      </c>
      <c r="E46">
        <v>296.39999999999998</v>
      </c>
      <c r="F46">
        <v>300.95999999999998</v>
      </c>
      <c r="G46">
        <v>342.7</v>
      </c>
      <c r="H46">
        <v>357.96</v>
      </c>
      <c r="I46">
        <v>500.46</v>
      </c>
      <c r="J46">
        <v>590.52</v>
      </c>
      <c r="K46" t="s">
        <v>4</v>
      </c>
    </row>
    <row r="47" spans="1:11" x14ac:dyDescent="0.25">
      <c r="A47" t="s">
        <v>37</v>
      </c>
      <c r="B47" t="s">
        <v>522</v>
      </c>
      <c r="C47">
        <v>112.4667</v>
      </c>
      <c r="D47">
        <v>126.4667</v>
      </c>
      <c r="E47">
        <v>159.83330000000001</v>
      </c>
      <c r="F47">
        <v>170.83330000000001</v>
      </c>
      <c r="G47">
        <v>185.83330000000001</v>
      </c>
      <c r="H47">
        <v>212.2</v>
      </c>
      <c r="I47">
        <v>252.2</v>
      </c>
      <c r="J47">
        <v>292.25</v>
      </c>
      <c r="K47" t="s">
        <v>4</v>
      </c>
    </row>
    <row r="48" spans="1:11" x14ac:dyDescent="0.25">
      <c r="A48" t="s">
        <v>37</v>
      </c>
      <c r="B48" t="s">
        <v>540</v>
      </c>
      <c r="C48">
        <v>151.80000000000001</v>
      </c>
      <c r="D48">
        <v>159.6</v>
      </c>
      <c r="E48">
        <v>225.72</v>
      </c>
      <c r="F48">
        <v>239.4</v>
      </c>
      <c r="G48">
        <v>266.76</v>
      </c>
      <c r="H48">
        <v>287.27999999999997</v>
      </c>
      <c r="I48">
        <v>371.64</v>
      </c>
      <c r="J48">
        <v>416.25</v>
      </c>
      <c r="K48" t="s">
        <v>4</v>
      </c>
    </row>
    <row r="49" spans="1:11" x14ac:dyDescent="0.25">
      <c r="A49" t="s">
        <v>37</v>
      </c>
      <c r="B49" t="s">
        <v>594</v>
      </c>
      <c r="C49">
        <v>370.5</v>
      </c>
      <c r="D49">
        <v>385.66669999999999</v>
      </c>
      <c r="E49">
        <v>421.33330000000001</v>
      </c>
      <c r="F49">
        <v>461.33330000000001</v>
      </c>
      <c r="G49">
        <v>507.3</v>
      </c>
      <c r="H49">
        <v>565.44000000000005</v>
      </c>
      <c r="I49">
        <v>615.6</v>
      </c>
      <c r="J49">
        <v>707.5</v>
      </c>
      <c r="K49" t="s">
        <v>4</v>
      </c>
    </row>
    <row r="50" spans="1:11" x14ac:dyDescent="0.25">
      <c r="A50" t="s">
        <v>37</v>
      </c>
      <c r="B50" t="s">
        <v>603</v>
      </c>
      <c r="C50">
        <v>157.62</v>
      </c>
      <c r="D50">
        <v>158.72999999999999</v>
      </c>
      <c r="E50">
        <v>199.8</v>
      </c>
      <c r="F50">
        <v>210.9</v>
      </c>
      <c r="G50">
        <v>263.07</v>
      </c>
      <c r="H50">
        <v>263.07</v>
      </c>
      <c r="I50">
        <v>349.65</v>
      </c>
      <c r="J50">
        <v>420.69</v>
      </c>
      <c r="K50" t="s">
        <v>4</v>
      </c>
    </row>
    <row r="51" spans="1:11" x14ac:dyDescent="0.25">
      <c r="A51" t="s">
        <v>37</v>
      </c>
      <c r="B51" t="s">
        <v>630</v>
      </c>
      <c r="C51">
        <v>157.62</v>
      </c>
      <c r="D51">
        <v>180.93</v>
      </c>
      <c r="E51">
        <v>205.35</v>
      </c>
      <c r="F51">
        <v>217.56</v>
      </c>
      <c r="G51">
        <v>240.87</v>
      </c>
      <c r="H51">
        <v>290.82</v>
      </c>
      <c r="I51">
        <v>394.05</v>
      </c>
      <c r="J51">
        <v>414.03</v>
      </c>
      <c r="K51" t="s">
        <v>4</v>
      </c>
    </row>
    <row r="52" spans="1:11" x14ac:dyDescent="0.25">
      <c r="A52" t="s">
        <v>37</v>
      </c>
      <c r="B52" t="s">
        <v>639</v>
      </c>
      <c r="C52">
        <v>170.2</v>
      </c>
      <c r="D52">
        <v>178.6</v>
      </c>
      <c r="E52">
        <v>204.5</v>
      </c>
      <c r="F52">
        <v>219.5</v>
      </c>
      <c r="G52">
        <v>257.5</v>
      </c>
      <c r="H52">
        <v>288.39999999999998</v>
      </c>
      <c r="I52">
        <v>450.4</v>
      </c>
      <c r="J52">
        <v>517.25</v>
      </c>
      <c r="K52" t="s">
        <v>4</v>
      </c>
    </row>
    <row r="53" spans="1:11" x14ac:dyDescent="0.25">
      <c r="A53" t="s">
        <v>37</v>
      </c>
      <c r="B53" t="s">
        <v>648</v>
      </c>
      <c r="C53">
        <v>237.86670000000001</v>
      </c>
      <c r="D53">
        <v>247.86670000000001</v>
      </c>
      <c r="E53">
        <v>304.83330000000001</v>
      </c>
      <c r="F53">
        <v>319.83330000000001</v>
      </c>
      <c r="G53">
        <v>371.85</v>
      </c>
      <c r="H53">
        <v>388.5</v>
      </c>
      <c r="I53">
        <v>444</v>
      </c>
      <c r="J53">
        <v>466.2</v>
      </c>
      <c r="K53" t="s">
        <v>4</v>
      </c>
    </row>
    <row r="54" spans="1:11" x14ac:dyDescent="0.25">
      <c r="A54" t="s">
        <v>37</v>
      </c>
      <c r="B54" t="s">
        <v>657</v>
      </c>
      <c r="C54">
        <v>180.93</v>
      </c>
      <c r="D54">
        <v>189.81</v>
      </c>
      <c r="E54">
        <v>227.55</v>
      </c>
      <c r="F54">
        <v>240.87</v>
      </c>
      <c r="G54">
        <v>265.29000000000002</v>
      </c>
      <c r="H54">
        <v>298.58999999999997</v>
      </c>
      <c r="I54">
        <v>395.16</v>
      </c>
      <c r="J54">
        <v>479.52</v>
      </c>
      <c r="K54" t="s">
        <v>4</v>
      </c>
    </row>
    <row r="55" spans="1:11" x14ac:dyDescent="0.25">
      <c r="A55" t="s">
        <v>37</v>
      </c>
      <c r="B55" t="s">
        <v>675</v>
      </c>
      <c r="C55">
        <v>108.1</v>
      </c>
      <c r="D55">
        <v>112.33329999999999</v>
      </c>
      <c r="E55">
        <v>149.66669999999999</v>
      </c>
      <c r="F55">
        <v>151.66669999999999</v>
      </c>
      <c r="G55">
        <v>188.66669999999999</v>
      </c>
      <c r="H55">
        <v>211</v>
      </c>
      <c r="I55">
        <v>252</v>
      </c>
      <c r="J55">
        <v>287.5</v>
      </c>
      <c r="K55" t="s">
        <v>4</v>
      </c>
    </row>
    <row r="56" spans="1:11" x14ac:dyDescent="0.25">
      <c r="A56" t="s">
        <v>37</v>
      </c>
      <c r="B56" t="s">
        <v>684</v>
      </c>
      <c r="C56">
        <v>179.4</v>
      </c>
      <c r="D56">
        <v>194.35</v>
      </c>
      <c r="E56">
        <v>249.55</v>
      </c>
      <c r="F56">
        <v>236.9</v>
      </c>
      <c r="G56">
        <v>296.7</v>
      </c>
      <c r="H56">
        <v>312.8</v>
      </c>
      <c r="I56">
        <v>435.48</v>
      </c>
      <c r="J56">
        <v>526.67999999999995</v>
      </c>
      <c r="K56" t="s">
        <v>4</v>
      </c>
    </row>
    <row r="57" spans="1:11" x14ac:dyDescent="0.25">
      <c r="A57" t="s">
        <v>37</v>
      </c>
      <c r="B57" t="s">
        <v>702</v>
      </c>
      <c r="C57">
        <v>179.4</v>
      </c>
      <c r="D57">
        <v>198.2</v>
      </c>
      <c r="E57">
        <v>251.5</v>
      </c>
      <c r="F57">
        <v>256.5</v>
      </c>
      <c r="G57">
        <v>276.5</v>
      </c>
      <c r="H57">
        <v>293.8</v>
      </c>
      <c r="I57">
        <v>444.8</v>
      </c>
      <c r="J57">
        <v>536.75</v>
      </c>
      <c r="K57" t="s">
        <v>4</v>
      </c>
    </row>
    <row r="58" spans="1:11" x14ac:dyDescent="0.25">
      <c r="A58" t="s">
        <v>37</v>
      </c>
      <c r="B58" t="s">
        <v>729</v>
      </c>
      <c r="C58">
        <v>145.4</v>
      </c>
      <c r="D58">
        <v>166.4</v>
      </c>
      <c r="E58">
        <v>207.5</v>
      </c>
      <c r="F58">
        <v>210.5</v>
      </c>
      <c r="G58">
        <v>243.5</v>
      </c>
      <c r="H58">
        <v>276.60000000000002</v>
      </c>
      <c r="I58">
        <v>356.6</v>
      </c>
      <c r="J58">
        <v>417.75</v>
      </c>
      <c r="K58" t="s">
        <v>4</v>
      </c>
    </row>
    <row r="59" spans="1:11" x14ac:dyDescent="0.25">
      <c r="A59" t="s">
        <v>37</v>
      </c>
      <c r="B59" t="s">
        <v>738</v>
      </c>
      <c r="C59">
        <v>145.80000000000001</v>
      </c>
      <c r="D59">
        <v>150.80000000000001</v>
      </c>
      <c r="E59">
        <v>198.5</v>
      </c>
      <c r="F59">
        <v>224.5</v>
      </c>
      <c r="G59">
        <v>251.5</v>
      </c>
      <c r="H59">
        <v>272.2</v>
      </c>
      <c r="I59">
        <v>363.2</v>
      </c>
      <c r="J59">
        <v>387.75</v>
      </c>
      <c r="K59" t="s">
        <v>4</v>
      </c>
    </row>
    <row r="60" spans="1:11" x14ac:dyDescent="0.25">
      <c r="A60" t="s">
        <v>37</v>
      </c>
      <c r="B60" t="s">
        <v>747</v>
      </c>
      <c r="C60">
        <v>174.26669999999999</v>
      </c>
      <c r="D60">
        <v>170.94</v>
      </c>
      <c r="E60">
        <v>214.32</v>
      </c>
      <c r="F60">
        <v>250.86</v>
      </c>
      <c r="G60">
        <v>265.29000000000002</v>
      </c>
      <c r="H60">
        <v>304.14</v>
      </c>
      <c r="I60">
        <v>421.8</v>
      </c>
      <c r="J60">
        <v>502.83</v>
      </c>
      <c r="K60" t="s">
        <v>4</v>
      </c>
    </row>
    <row r="61" spans="1:11" x14ac:dyDescent="0.25">
      <c r="A61" t="s">
        <v>37</v>
      </c>
      <c r="B61" t="s">
        <v>756</v>
      </c>
      <c r="C61">
        <v>279.72000000000003</v>
      </c>
      <c r="D61">
        <v>288.60000000000002</v>
      </c>
      <c r="E61">
        <v>349.65</v>
      </c>
      <c r="F61">
        <v>394.05</v>
      </c>
      <c r="G61">
        <v>439.56</v>
      </c>
      <c r="H61">
        <v>477.3</v>
      </c>
      <c r="I61">
        <v>600.51</v>
      </c>
      <c r="J61">
        <v>733.71</v>
      </c>
      <c r="K61" t="s">
        <v>4</v>
      </c>
    </row>
    <row r="62" spans="1:11" x14ac:dyDescent="0.25">
      <c r="A62" t="s">
        <v>37</v>
      </c>
      <c r="B62" t="s">
        <v>765</v>
      </c>
      <c r="C62">
        <v>642.69000000000005</v>
      </c>
      <c r="D62">
        <v>681.8</v>
      </c>
      <c r="E62">
        <v>752.4</v>
      </c>
      <c r="F62">
        <v>777</v>
      </c>
      <c r="G62">
        <v>810.54</v>
      </c>
      <c r="H62">
        <v>899.46</v>
      </c>
      <c r="I62">
        <v>1019.16</v>
      </c>
      <c r="J62">
        <v>1059.06</v>
      </c>
      <c r="K62" t="s">
        <v>4</v>
      </c>
    </row>
    <row r="63" spans="1:11" x14ac:dyDescent="0.25">
      <c r="A63" t="s">
        <v>37</v>
      </c>
      <c r="B63" t="s">
        <v>783</v>
      </c>
      <c r="C63">
        <v>171.9333</v>
      </c>
      <c r="D63">
        <v>180.93</v>
      </c>
      <c r="E63">
        <v>227.55</v>
      </c>
      <c r="F63">
        <v>245.31</v>
      </c>
      <c r="G63">
        <v>263.33999999999997</v>
      </c>
      <c r="H63">
        <v>301.92</v>
      </c>
      <c r="I63">
        <v>404.04</v>
      </c>
      <c r="J63">
        <v>434.01</v>
      </c>
      <c r="K63" t="s">
        <v>4</v>
      </c>
    </row>
    <row r="64" spans="1:11" x14ac:dyDescent="0.25">
      <c r="A64" t="s">
        <v>37</v>
      </c>
      <c r="B64" t="s">
        <v>792</v>
      </c>
      <c r="C64">
        <v>235.75</v>
      </c>
      <c r="D64">
        <v>258.5333</v>
      </c>
      <c r="E64">
        <v>322.62</v>
      </c>
      <c r="F64">
        <v>371.64</v>
      </c>
      <c r="G64">
        <v>402.42</v>
      </c>
      <c r="H64">
        <v>430.92</v>
      </c>
      <c r="I64">
        <v>556.32000000000005</v>
      </c>
      <c r="J64">
        <v>642</v>
      </c>
      <c r="K64" t="s">
        <v>4</v>
      </c>
    </row>
    <row r="65" spans="1:11" x14ac:dyDescent="0.25">
      <c r="A65" t="s">
        <v>37</v>
      </c>
      <c r="B65" t="s">
        <v>819</v>
      </c>
      <c r="C65">
        <v>191.0667</v>
      </c>
      <c r="D65">
        <v>205.0667</v>
      </c>
      <c r="E65">
        <v>242.33330000000001</v>
      </c>
      <c r="F65">
        <v>266.33330000000001</v>
      </c>
      <c r="G65">
        <v>289.33330000000001</v>
      </c>
      <c r="H65">
        <v>309.60000000000002</v>
      </c>
      <c r="I65">
        <v>419.6</v>
      </c>
      <c r="J65">
        <v>529</v>
      </c>
      <c r="K65" t="s">
        <v>4</v>
      </c>
    </row>
    <row r="66" spans="1:11" x14ac:dyDescent="0.25">
      <c r="A66" t="s">
        <v>37</v>
      </c>
      <c r="B66" t="s">
        <v>828</v>
      </c>
      <c r="C66">
        <v>149.5</v>
      </c>
      <c r="D66">
        <v>142.80000000000001</v>
      </c>
      <c r="E66">
        <v>196</v>
      </c>
      <c r="F66">
        <v>234.84</v>
      </c>
      <c r="G66">
        <v>249.55</v>
      </c>
      <c r="H66">
        <v>287.27999999999997</v>
      </c>
      <c r="I66">
        <v>480.63</v>
      </c>
      <c r="J66">
        <v>572.76</v>
      </c>
      <c r="K66" t="s">
        <v>4</v>
      </c>
    </row>
    <row r="67" spans="1:11" x14ac:dyDescent="0.25">
      <c r="A67" t="s">
        <v>37</v>
      </c>
      <c r="B67" t="s">
        <v>846</v>
      </c>
      <c r="C67">
        <v>103</v>
      </c>
      <c r="D67">
        <v>103</v>
      </c>
      <c r="E67">
        <v>110</v>
      </c>
      <c r="F67">
        <v>115</v>
      </c>
      <c r="G67">
        <v>140</v>
      </c>
      <c r="H67">
        <v>151</v>
      </c>
      <c r="I67">
        <v>297</v>
      </c>
      <c r="J67">
        <v>353.5</v>
      </c>
      <c r="K67" t="s">
        <v>4</v>
      </c>
    </row>
    <row r="68" spans="1:11" x14ac:dyDescent="0.25">
      <c r="A68" t="s">
        <v>37</v>
      </c>
      <c r="B68" t="s">
        <v>855</v>
      </c>
      <c r="C68">
        <v>171.86670000000001</v>
      </c>
      <c r="D68">
        <v>177.86670000000001</v>
      </c>
      <c r="E68">
        <v>210.83330000000001</v>
      </c>
      <c r="F68">
        <v>241.83330000000001</v>
      </c>
      <c r="G68">
        <v>261.06</v>
      </c>
      <c r="H68">
        <v>278.8</v>
      </c>
      <c r="I68">
        <v>384.18</v>
      </c>
      <c r="J68">
        <v>434.01</v>
      </c>
      <c r="K68" t="s">
        <v>4</v>
      </c>
    </row>
    <row r="69" spans="1:11" x14ac:dyDescent="0.25">
      <c r="A69" t="s">
        <v>37</v>
      </c>
      <c r="B69" t="s">
        <v>864</v>
      </c>
      <c r="C69">
        <v>158.6</v>
      </c>
      <c r="D69">
        <v>164.6</v>
      </c>
      <c r="E69">
        <v>182</v>
      </c>
      <c r="F69">
        <v>190</v>
      </c>
      <c r="G69">
        <v>212</v>
      </c>
      <c r="H69">
        <v>222</v>
      </c>
      <c r="I69">
        <v>330.78</v>
      </c>
      <c r="J69">
        <v>380.73</v>
      </c>
      <c r="K69" t="s">
        <v>4</v>
      </c>
    </row>
    <row r="70" spans="1:11" x14ac:dyDescent="0.25">
      <c r="A70" t="s">
        <v>37</v>
      </c>
      <c r="B70" t="s">
        <v>882</v>
      </c>
      <c r="C70">
        <v>304.14</v>
      </c>
      <c r="D70">
        <v>324.39999999999998</v>
      </c>
      <c r="E70">
        <v>359.5</v>
      </c>
      <c r="F70">
        <v>408.48</v>
      </c>
      <c r="G70">
        <v>439.56</v>
      </c>
      <c r="H70">
        <v>499.5</v>
      </c>
      <c r="I70">
        <v>566.1</v>
      </c>
      <c r="J70">
        <v>596.07000000000005</v>
      </c>
      <c r="K70" t="s">
        <v>4</v>
      </c>
    </row>
    <row r="71" spans="1:11" x14ac:dyDescent="0.25">
      <c r="A71" t="s">
        <v>37</v>
      </c>
      <c r="B71" t="s">
        <v>909</v>
      </c>
      <c r="C71">
        <v>75.933300000000003</v>
      </c>
      <c r="D71">
        <v>75.933300000000003</v>
      </c>
      <c r="E71">
        <v>88.666700000000006</v>
      </c>
      <c r="F71">
        <v>92.666700000000006</v>
      </c>
      <c r="G71">
        <v>103.66670000000001</v>
      </c>
      <c r="H71">
        <v>122.1</v>
      </c>
      <c r="I71">
        <v>203.13</v>
      </c>
      <c r="J71">
        <v>264.18</v>
      </c>
      <c r="K71" t="s">
        <v>4</v>
      </c>
    </row>
    <row r="72" spans="1:11" x14ac:dyDescent="0.25">
      <c r="A72" t="s">
        <v>333</v>
      </c>
      <c r="B72" t="s">
        <v>46</v>
      </c>
      <c r="C72">
        <v>303.02999999999997</v>
      </c>
      <c r="D72">
        <v>316.35000000000002</v>
      </c>
      <c r="E72">
        <v>366.3</v>
      </c>
      <c r="F72">
        <v>399.6</v>
      </c>
      <c r="G72">
        <v>444</v>
      </c>
      <c r="H72">
        <v>471.75</v>
      </c>
      <c r="I72">
        <v>618.27</v>
      </c>
      <c r="J72">
        <v>656.01</v>
      </c>
      <c r="K72" t="s">
        <v>4</v>
      </c>
    </row>
    <row r="73" spans="1:11" x14ac:dyDescent="0.25">
      <c r="A73" t="s">
        <v>333</v>
      </c>
      <c r="B73" t="s">
        <v>82</v>
      </c>
      <c r="C73">
        <v>138.75</v>
      </c>
      <c r="D73">
        <v>144.30000000000001</v>
      </c>
      <c r="E73">
        <v>222</v>
      </c>
      <c r="F73">
        <v>238.65</v>
      </c>
      <c r="G73">
        <v>277.5</v>
      </c>
      <c r="H73">
        <v>294.14999999999998</v>
      </c>
      <c r="I73">
        <v>349.65</v>
      </c>
      <c r="J73">
        <v>377.4</v>
      </c>
      <c r="K73" t="s">
        <v>4</v>
      </c>
    </row>
    <row r="74" spans="1:11" x14ac:dyDescent="0.25">
      <c r="A74" t="s">
        <v>333</v>
      </c>
      <c r="B74" t="s">
        <v>100</v>
      </c>
      <c r="C74">
        <v>302.10000000000002</v>
      </c>
      <c r="D74">
        <v>313.5</v>
      </c>
      <c r="E74">
        <v>416.1</v>
      </c>
      <c r="F74">
        <v>427.5</v>
      </c>
      <c r="G74">
        <v>461.7</v>
      </c>
      <c r="H74">
        <v>478.8</v>
      </c>
      <c r="I74">
        <v>615.6</v>
      </c>
      <c r="J74">
        <v>621.29999999999995</v>
      </c>
      <c r="K74" t="s">
        <v>4</v>
      </c>
    </row>
    <row r="75" spans="1:11" x14ac:dyDescent="0.25">
      <c r="A75" t="s">
        <v>333</v>
      </c>
      <c r="B75" t="s">
        <v>109</v>
      </c>
      <c r="C75">
        <v>193.8</v>
      </c>
      <c r="D75">
        <v>205.2</v>
      </c>
      <c r="E75">
        <v>239.4</v>
      </c>
      <c r="F75">
        <v>256.5</v>
      </c>
      <c r="G75">
        <v>285</v>
      </c>
      <c r="H75">
        <v>302.10000000000002</v>
      </c>
      <c r="I75">
        <v>444</v>
      </c>
      <c r="J75">
        <v>455.1</v>
      </c>
      <c r="K75" t="s">
        <v>4</v>
      </c>
    </row>
    <row r="76" spans="1:11" x14ac:dyDescent="0.25">
      <c r="A76" t="s">
        <v>333</v>
      </c>
      <c r="B76" t="s">
        <v>118</v>
      </c>
      <c r="C76">
        <v>233.1</v>
      </c>
      <c r="D76">
        <v>244.2</v>
      </c>
      <c r="E76">
        <v>289.66669999999999</v>
      </c>
      <c r="F76">
        <v>299.66669999999999</v>
      </c>
      <c r="G76">
        <v>348.54</v>
      </c>
      <c r="H76">
        <v>367.41</v>
      </c>
      <c r="I76">
        <v>401.6</v>
      </c>
      <c r="J76">
        <v>429.57</v>
      </c>
      <c r="K76" t="s">
        <v>4</v>
      </c>
    </row>
    <row r="77" spans="1:11" x14ac:dyDescent="0.25">
      <c r="A77" t="s">
        <v>333</v>
      </c>
      <c r="B77" t="s">
        <v>127</v>
      </c>
      <c r="C77">
        <v>244.2</v>
      </c>
      <c r="D77">
        <v>255.3</v>
      </c>
      <c r="E77">
        <v>288.60000000000002</v>
      </c>
      <c r="F77">
        <v>305.25</v>
      </c>
      <c r="G77">
        <v>333</v>
      </c>
      <c r="H77">
        <v>344.1</v>
      </c>
      <c r="I77">
        <v>576.09</v>
      </c>
      <c r="J77">
        <v>606.05999999999995</v>
      </c>
      <c r="K77" t="s">
        <v>4</v>
      </c>
    </row>
    <row r="78" spans="1:11" x14ac:dyDescent="0.25">
      <c r="A78" t="s">
        <v>333</v>
      </c>
      <c r="B78" t="s">
        <v>136</v>
      </c>
      <c r="C78">
        <v>187.2</v>
      </c>
      <c r="D78">
        <v>198.9</v>
      </c>
      <c r="E78">
        <v>245.7</v>
      </c>
      <c r="F78">
        <v>257.39999999999998</v>
      </c>
      <c r="G78">
        <v>292.5</v>
      </c>
      <c r="H78">
        <v>310.05</v>
      </c>
      <c r="I78">
        <v>517.26</v>
      </c>
      <c r="J78">
        <v>530.58000000000004</v>
      </c>
      <c r="K78" t="s">
        <v>4</v>
      </c>
    </row>
    <row r="79" spans="1:11" x14ac:dyDescent="0.25">
      <c r="A79" t="s">
        <v>333</v>
      </c>
      <c r="B79" t="s">
        <v>190</v>
      </c>
      <c r="C79">
        <v>136.80000000000001</v>
      </c>
      <c r="D79">
        <v>148.19999999999999</v>
      </c>
      <c r="E79">
        <v>171</v>
      </c>
      <c r="F79">
        <v>182.4</v>
      </c>
      <c r="G79">
        <v>228</v>
      </c>
      <c r="H79">
        <v>233.1</v>
      </c>
      <c r="I79">
        <v>284.39999999999998</v>
      </c>
      <c r="J79">
        <v>304.25</v>
      </c>
      <c r="K79" t="s">
        <v>4</v>
      </c>
    </row>
    <row r="80" spans="1:11" x14ac:dyDescent="0.25">
      <c r="A80" t="s">
        <v>333</v>
      </c>
      <c r="B80" t="s">
        <v>199</v>
      </c>
      <c r="C80">
        <v>117</v>
      </c>
      <c r="D80">
        <v>122.85</v>
      </c>
      <c r="E80">
        <v>200.07</v>
      </c>
      <c r="F80">
        <v>212.94</v>
      </c>
      <c r="G80">
        <v>245.7</v>
      </c>
      <c r="H80">
        <v>265.58999999999997</v>
      </c>
      <c r="I80">
        <v>386.1</v>
      </c>
      <c r="J80">
        <v>413.01</v>
      </c>
      <c r="K80" t="s">
        <v>4</v>
      </c>
    </row>
    <row r="81" spans="1:11" x14ac:dyDescent="0.25">
      <c r="A81" t="s">
        <v>333</v>
      </c>
      <c r="B81" t="s">
        <v>208</v>
      </c>
      <c r="C81">
        <v>108.78</v>
      </c>
      <c r="D81">
        <v>113.22</v>
      </c>
      <c r="E81">
        <v>144.30000000000001</v>
      </c>
      <c r="F81">
        <v>144.30000000000001</v>
      </c>
      <c r="G81">
        <v>172.05</v>
      </c>
      <c r="H81">
        <v>172.05</v>
      </c>
      <c r="I81">
        <v>568.32000000000005</v>
      </c>
      <c r="J81">
        <v>568.25</v>
      </c>
      <c r="K81" t="s">
        <v>4</v>
      </c>
    </row>
    <row r="82" spans="1:11" x14ac:dyDescent="0.25">
      <c r="A82" t="s">
        <v>333</v>
      </c>
      <c r="B82" t="s">
        <v>217</v>
      </c>
      <c r="C82">
        <v>122.1</v>
      </c>
      <c r="D82">
        <v>133.19999999999999</v>
      </c>
      <c r="E82">
        <v>163.66669999999999</v>
      </c>
      <c r="F82">
        <v>166.5</v>
      </c>
      <c r="G82">
        <v>199.8</v>
      </c>
      <c r="H82">
        <v>210.9</v>
      </c>
      <c r="I82">
        <v>260.85000000000002</v>
      </c>
      <c r="J82">
        <v>277.5</v>
      </c>
      <c r="K82" t="s">
        <v>4</v>
      </c>
    </row>
    <row r="83" spans="1:11" x14ac:dyDescent="0.25">
      <c r="A83" t="s">
        <v>333</v>
      </c>
      <c r="B83" t="s">
        <v>235</v>
      </c>
      <c r="C83">
        <v>228.15</v>
      </c>
      <c r="D83">
        <v>239.85</v>
      </c>
      <c r="E83">
        <v>286.64999999999998</v>
      </c>
      <c r="F83">
        <v>298.35000000000002</v>
      </c>
      <c r="G83">
        <v>362.7</v>
      </c>
      <c r="H83">
        <v>380.25</v>
      </c>
      <c r="I83">
        <v>456.3</v>
      </c>
      <c r="J83">
        <v>473.85</v>
      </c>
      <c r="K83" t="s">
        <v>4</v>
      </c>
    </row>
    <row r="84" spans="1:11" x14ac:dyDescent="0.25">
      <c r="A84" t="s">
        <v>333</v>
      </c>
      <c r="B84" t="s">
        <v>244</v>
      </c>
      <c r="C84">
        <v>488.4</v>
      </c>
      <c r="D84">
        <v>455.06670000000003</v>
      </c>
      <c r="E84">
        <v>551.33330000000001</v>
      </c>
      <c r="F84">
        <v>566.33330000000001</v>
      </c>
      <c r="G84">
        <v>606.33330000000001</v>
      </c>
      <c r="H84">
        <v>677.1</v>
      </c>
      <c r="I84">
        <v>737.6</v>
      </c>
      <c r="J84">
        <v>754.5</v>
      </c>
      <c r="K84" t="s">
        <v>4</v>
      </c>
    </row>
    <row r="85" spans="1:11" x14ac:dyDescent="0.25">
      <c r="A85" t="s">
        <v>333</v>
      </c>
      <c r="B85" t="s">
        <v>253</v>
      </c>
      <c r="C85">
        <v>144.30000000000001</v>
      </c>
      <c r="D85">
        <v>155.4</v>
      </c>
      <c r="E85">
        <v>177.6</v>
      </c>
      <c r="F85">
        <v>188.7</v>
      </c>
      <c r="G85">
        <v>233.1</v>
      </c>
      <c r="H85">
        <v>244.2</v>
      </c>
      <c r="I85">
        <v>305.25</v>
      </c>
      <c r="J85">
        <v>321.89999999999998</v>
      </c>
      <c r="K85" t="s">
        <v>4</v>
      </c>
    </row>
    <row r="86" spans="1:11" x14ac:dyDescent="0.25">
      <c r="A86" t="s">
        <v>333</v>
      </c>
      <c r="B86" t="s">
        <v>37</v>
      </c>
      <c r="C86">
        <v>99.9</v>
      </c>
      <c r="D86">
        <v>111</v>
      </c>
      <c r="E86">
        <v>158.16669999999999</v>
      </c>
      <c r="F86">
        <v>133.19999999999999</v>
      </c>
      <c r="G86">
        <v>153.16669999999999</v>
      </c>
      <c r="H86">
        <v>170.8</v>
      </c>
      <c r="I86">
        <v>245.8</v>
      </c>
      <c r="J86">
        <v>244.75</v>
      </c>
      <c r="K86" t="s">
        <v>4</v>
      </c>
    </row>
    <row r="87" spans="1:11" x14ac:dyDescent="0.25">
      <c r="A87" t="s">
        <v>333</v>
      </c>
      <c r="B87" t="s">
        <v>279</v>
      </c>
      <c r="C87">
        <v>133.19999999999999</v>
      </c>
      <c r="D87">
        <v>144.30000000000001</v>
      </c>
      <c r="E87">
        <v>177.6</v>
      </c>
      <c r="F87">
        <v>194</v>
      </c>
      <c r="G87">
        <v>249.75</v>
      </c>
      <c r="H87">
        <v>256.8</v>
      </c>
      <c r="I87">
        <v>316.8</v>
      </c>
      <c r="J87">
        <v>331</v>
      </c>
      <c r="K87" t="s">
        <v>4</v>
      </c>
    </row>
    <row r="88" spans="1:11" x14ac:dyDescent="0.25">
      <c r="A88" t="s">
        <v>333</v>
      </c>
      <c r="B88" t="s">
        <v>306</v>
      </c>
      <c r="C88">
        <v>188.7</v>
      </c>
      <c r="D88">
        <v>199.8</v>
      </c>
      <c r="E88">
        <v>228</v>
      </c>
      <c r="F88">
        <v>238.65</v>
      </c>
      <c r="G88">
        <v>277.5</v>
      </c>
      <c r="H88">
        <v>294.14999999999998</v>
      </c>
      <c r="I88">
        <v>349.65</v>
      </c>
      <c r="J88">
        <v>377.4</v>
      </c>
      <c r="K88" t="s">
        <v>4</v>
      </c>
    </row>
    <row r="89" spans="1:11" x14ac:dyDescent="0.25">
      <c r="A89" t="s">
        <v>333</v>
      </c>
      <c r="B89" t="s">
        <v>315</v>
      </c>
      <c r="C89">
        <v>150.93</v>
      </c>
      <c r="D89">
        <v>157.94999999999999</v>
      </c>
      <c r="E89">
        <v>189.54</v>
      </c>
      <c r="F89">
        <v>207.09</v>
      </c>
      <c r="G89">
        <v>237.51</v>
      </c>
      <c r="H89">
        <v>259.74</v>
      </c>
      <c r="I89">
        <v>379.08</v>
      </c>
      <c r="J89">
        <v>405.99</v>
      </c>
      <c r="K89" t="s">
        <v>4</v>
      </c>
    </row>
    <row r="90" spans="1:11" x14ac:dyDescent="0.25">
      <c r="A90" t="s">
        <v>333</v>
      </c>
      <c r="B90" t="s">
        <v>333</v>
      </c>
      <c r="C90">
        <v>399.6</v>
      </c>
      <c r="D90">
        <v>410.7</v>
      </c>
      <c r="E90">
        <v>459.66669999999999</v>
      </c>
      <c r="F90">
        <v>521.70000000000005</v>
      </c>
      <c r="G90">
        <v>566.1</v>
      </c>
      <c r="H90">
        <v>577.20000000000005</v>
      </c>
      <c r="I90">
        <v>650.6</v>
      </c>
      <c r="J90">
        <v>662</v>
      </c>
      <c r="K90" t="s">
        <v>4</v>
      </c>
    </row>
    <row r="91" spans="1:11" x14ac:dyDescent="0.25">
      <c r="A91" t="s">
        <v>333</v>
      </c>
      <c r="B91" t="s">
        <v>351</v>
      </c>
      <c r="C91">
        <v>147.41999999999999</v>
      </c>
      <c r="D91">
        <v>157.94999999999999</v>
      </c>
      <c r="E91">
        <v>163.80000000000001</v>
      </c>
      <c r="F91">
        <v>173.16</v>
      </c>
      <c r="G91">
        <v>198.9</v>
      </c>
      <c r="H91">
        <v>246.87</v>
      </c>
      <c r="I91">
        <v>317.07</v>
      </c>
      <c r="J91">
        <v>326.43</v>
      </c>
      <c r="K91" t="s">
        <v>4</v>
      </c>
    </row>
    <row r="92" spans="1:11" x14ac:dyDescent="0.25">
      <c r="A92" t="s">
        <v>333</v>
      </c>
      <c r="B92" t="s">
        <v>360</v>
      </c>
      <c r="C92">
        <v>285</v>
      </c>
      <c r="D92">
        <v>296.39999999999998</v>
      </c>
      <c r="E92">
        <v>342</v>
      </c>
      <c r="F92">
        <v>359.1</v>
      </c>
      <c r="G92">
        <v>410.4</v>
      </c>
      <c r="H92">
        <v>427.5</v>
      </c>
      <c r="I92">
        <v>621.6</v>
      </c>
      <c r="J92">
        <v>643.79999999999995</v>
      </c>
      <c r="K92" t="s">
        <v>4</v>
      </c>
    </row>
    <row r="93" spans="1:11" x14ac:dyDescent="0.25">
      <c r="A93" t="s">
        <v>333</v>
      </c>
      <c r="B93" t="s">
        <v>369</v>
      </c>
      <c r="C93">
        <v>285</v>
      </c>
      <c r="D93">
        <v>296.39999999999998</v>
      </c>
      <c r="E93">
        <v>342</v>
      </c>
      <c r="F93">
        <v>359.1</v>
      </c>
      <c r="G93">
        <v>410.4</v>
      </c>
      <c r="H93">
        <v>427.5</v>
      </c>
      <c r="I93">
        <v>638.4</v>
      </c>
      <c r="J93">
        <v>661.2</v>
      </c>
      <c r="K93" t="s">
        <v>4</v>
      </c>
    </row>
    <row r="94" spans="1:11" x14ac:dyDescent="0.25">
      <c r="A94" t="s">
        <v>333</v>
      </c>
      <c r="B94" t="s">
        <v>387</v>
      </c>
      <c r="C94">
        <v>160.94999999999999</v>
      </c>
      <c r="D94">
        <v>172.05</v>
      </c>
      <c r="E94">
        <v>249.75</v>
      </c>
      <c r="F94">
        <v>260.85000000000002</v>
      </c>
      <c r="G94">
        <v>294.14999999999998</v>
      </c>
      <c r="H94">
        <v>305.25</v>
      </c>
      <c r="I94">
        <v>438.45</v>
      </c>
      <c r="J94">
        <v>444</v>
      </c>
      <c r="K94" t="s">
        <v>4</v>
      </c>
    </row>
    <row r="95" spans="1:11" x14ac:dyDescent="0.25">
      <c r="A95" t="s">
        <v>333</v>
      </c>
      <c r="B95" t="s">
        <v>405</v>
      </c>
      <c r="C95">
        <v>297.48</v>
      </c>
      <c r="D95">
        <v>309.69</v>
      </c>
      <c r="E95">
        <v>347.43</v>
      </c>
      <c r="F95">
        <v>378.51</v>
      </c>
      <c r="G95">
        <v>425.13</v>
      </c>
      <c r="H95">
        <v>455.1</v>
      </c>
      <c r="I95">
        <v>561.66</v>
      </c>
      <c r="J95">
        <v>599.4</v>
      </c>
      <c r="K95" t="s">
        <v>4</v>
      </c>
    </row>
    <row r="96" spans="1:11" x14ac:dyDescent="0.25">
      <c r="A96" t="s">
        <v>333</v>
      </c>
      <c r="B96" t="s">
        <v>432</v>
      </c>
      <c r="C96">
        <v>277.5</v>
      </c>
      <c r="D96">
        <v>124.32</v>
      </c>
      <c r="E96">
        <v>333</v>
      </c>
      <c r="F96">
        <v>321.16669999999999</v>
      </c>
      <c r="G96">
        <v>399.6</v>
      </c>
      <c r="H96">
        <v>416.25</v>
      </c>
      <c r="I96">
        <v>683.76</v>
      </c>
      <c r="J96">
        <v>719.28</v>
      </c>
      <c r="K96" t="s">
        <v>4</v>
      </c>
    </row>
    <row r="97" spans="1:11" x14ac:dyDescent="0.25">
      <c r="A97" t="s">
        <v>333</v>
      </c>
      <c r="B97" t="s">
        <v>441</v>
      </c>
      <c r="C97">
        <v>120.7333</v>
      </c>
      <c r="D97">
        <v>125.4</v>
      </c>
      <c r="E97">
        <v>147.41999999999999</v>
      </c>
      <c r="F97">
        <v>157.94999999999999</v>
      </c>
      <c r="G97">
        <v>176.67</v>
      </c>
      <c r="H97">
        <v>190.38</v>
      </c>
      <c r="I97">
        <v>222.3</v>
      </c>
      <c r="J97">
        <v>230.49</v>
      </c>
      <c r="K97" t="s">
        <v>4</v>
      </c>
    </row>
    <row r="98" spans="1:11" x14ac:dyDescent="0.25">
      <c r="A98" t="s">
        <v>333</v>
      </c>
      <c r="B98" t="s">
        <v>450</v>
      </c>
      <c r="C98">
        <v>163.80000000000001</v>
      </c>
      <c r="D98">
        <v>169.86</v>
      </c>
      <c r="E98">
        <v>228</v>
      </c>
      <c r="F98">
        <v>262.2</v>
      </c>
      <c r="G98">
        <v>285</v>
      </c>
      <c r="H98">
        <v>355.2</v>
      </c>
      <c r="I98">
        <v>410.4</v>
      </c>
      <c r="J98">
        <v>416.1</v>
      </c>
      <c r="K98" t="s">
        <v>4</v>
      </c>
    </row>
    <row r="99" spans="1:11" x14ac:dyDescent="0.25">
      <c r="A99" t="s">
        <v>333</v>
      </c>
      <c r="B99" t="s">
        <v>468</v>
      </c>
      <c r="C99">
        <v>187.33330000000001</v>
      </c>
      <c r="D99">
        <v>194.22</v>
      </c>
      <c r="E99">
        <v>223.47</v>
      </c>
      <c r="F99">
        <v>237.51</v>
      </c>
      <c r="G99">
        <v>258.57</v>
      </c>
      <c r="H99">
        <v>301.86</v>
      </c>
      <c r="I99">
        <v>432.9</v>
      </c>
      <c r="J99">
        <v>441.18</v>
      </c>
      <c r="K99" t="s">
        <v>4</v>
      </c>
    </row>
    <row r="100" spans="1:11" x14ac:dyDescent="0.25">
      <c r="A100" t="s">
        <v>333</v>
      </c>
      <c r="B100" t="s">
        <v>522</v>
      </c>
      <c r="C100">
        <v>597.53330000000005</v>
      </c>
      <c r="D100">
        <v>669.33</v>
      </c>
      <c r="E100">
        <v>675.16669999999999</v>
      </c>
      <c r="F100">
        <v>757.02</v>
      </c>
      <c r="G100">
        <v>782.55</v>
      </c>
      <c r="H100">
        <v>777.8</v>
      </c>
      <c r="I100">
        <v>937.8</v>
      </c>
      <c r="J100">
        <v>983.75</v>
      </c>
      <c r="K100" t="s">
        <v>4</v>
      </c>
    </row>
    <row r="101" spans="1:11" x14ac:dyDescent="0.25">
      <c r="A101" t="s">
        <v>333</v>
      </c>
      <c r="B101" t="s">
        <v>540</v>
      </c>
      <c r="C101">
        <v>117</v>
      </c>
      <c r="D101">
        <v>128.69999999999999</v>
      </c>
      <c r="E101">
        <v>146.25</v>
      </c>
      <c r="F101">
        <v>157.94999999999999</v>
      </c>
      <c r="G101">
        <v>187.2</v>
      </c>
      <c r="H101">
        <v>204.75</v>
      </c>
      <c r="I101">
        <v>280.8</v>
      </c>
      <c r="J101">
        <v>290.7</v>
      </c>
      <c r="K101" t="s">
        <v>4</v>
      </c>
    </row>
    <row r="102" spans="1:11" x14ac:dyDescent="0.25">
      <c r="A102" t="s">
        <v>333</v>
      </c>
      <c r="B102" t="s">
        <v>594</v>
      </c>
      <c r="C102">
        <v>281.4667</v>
      </c>
      <c r="D102">
        <v>280.8</v>
      </c>
      <c r="E102">
        <v>310.05</v>
      </c>
      <c r="F102">
        <v>321.75</v>
      </c>
      <c r="G102">
        <v>339.3</v>
      </c>
      <c r="H102">
        <v>356.85</v>
      </c>
      <c r="I102">
        <v>503.1</v>
      </c>
      <c r="J102">
        <v>520.65</v>
      </c>
      <c r="K102" t="s">
        <v>4</v>
      </c>
    </row>
    <row r="103" spans="1:11" x14ac:dyDescent="0.25">
      <c r="A103" t="s">
        <v>333</v>
      </c>
      <c r="B103" t="s">
        <v>603</v>
      </c>
      <c r="C103">
        <v>472.86</v>
      </c>
      <c r="D103">
        <v>492.84</v>
      </c>
      <c r="E103">
        <v>510.6</v>
      </c>
      <c r="F103">
        <v>530.58000000000004</v>
      </c>
      <c r="G103">
        <v>574.98</v>
      </c>
      <c r="H103">
        <v>647.13</v>
      </c>
      <c r="I103">
        <v>820.29</v>
      </c>
      <c r="J103">
        <v>858.03</v>
      </c>
      <c r="K103" t="s">
        <v>4</v>
      </c>
    </row>
    <row r="104" spans="1:11" x14ac:dyDescent="0.25">
      <c r="A104" t="s">
        <v>333</v>
      </c>
      <c r="B104" t="s">
        <v>630</v>
      </c>
      <c r="C104">
        <v>194.25</v>
      </c>
      <c r="D104">
        <v>205.35</v>
      </c>
      <c r="E104">
        <v>294.14999999999998</v>
      </c>
      <c r="F104">
        <v>305.25</v>
      </c>
      <c r="G104">
        <v>338.55</v>
      </c>
      <c r="H104">
        <v>355.2</v>
      </c>
      <c r="I104">
        <v>488.4</v>
      </c>
      <c r="J104">
        <v>499.5</v>
      </c>
      <c r="K104" t="s">
        <v>4</v>
      </c>
    </row>
    <row r="105" spans="1:11" x14ac:dyDescent="0.25">
      <c r="A105" t="s">
        <v>333</v>
      </c>
      <c r="B105" t="s">
        <v>639</v>
      </c>
      <c r="C105">
        <v>193.8</v>
      </c>
      <c r="D105">
        <v>205.2</v>
      </c>
      <c r="E105">
        <v>239.16669999999999</v>
      </c>
      <c r="F105">
        <v>245.1</v>
      </c>
      <c r="G105">
        <v>285</v>
      </c>
      <c r="H105">
        <v>302.10000000000002</v>
      </c>
      <c r="I105">
        <v>359.1</v>
      </c>
      <c r="J105">
        <v>387.6</v>
      </c>
      <c r="K105" t="s">
        <v>4</v>
      </c>
    </row>
    <row r="106" spans="1:11" x14ac:dyDescent="0.25">
      <c r="A106" t="s">
        <v>333</v>
      </c>
      <c r="B106" t="s">
        <v>648</v>
      </c>
      <c r="C106">
        <v>266.39999999999998</v>
      </c>
      <c r="D106">
        <v>277.5</v>
      </c>
      <c r="E106">
        <v>310.8</v>
      </c>
      <c r="F106">
        <v>327.45</v>
      </c>
      <c r="G106">
        <v>349.65</v>
      </c>
      <c r="H106">
        <v>366.3</v>
      </c>
      <c r="I106">
        <v>499.5</v>
      </c>
      <c r="J106">
        <v>543.9</v>
      </c>
      <c r="K106" t="s">
        <v>4</v>
      </c>
    </row>
    <row r="107" spans="1:11" x14ac:dyDescent="0.25">
      <c r="A107" t="s">
        <v>333</v>
      </c>
      <c r="B107" t="s">
        <v>657</v>
      </c>
      <c r="C107">
        <v>166.5</v>
      </c>
      <c r="D107">
        <v>177.6</v>
      </c>
      <c r="E107">
        <v>255.3</v>
      </c>
      <c r="F107">
        <v>266.39999999999998</v>
      </c>
      <c r="G107">
        <v>299.7</v>
      </c>
      <c r="H107">
        <v>316.35000000000002</v>
      </c>
      <c r="I107">
        <v>449.55</v>
      </c>
      <c r="J107">
        <v>460.65</v>
      </c>
      <c r="K107" t="s">
        <v>4</v>
      </c>
    </row>
    <row r="108" spans="1:11" x14ac:dyDescent="0.25">
      <c r="A108" t="s">
        <v>333</v>
      </c>
      <c r="B108" t="s">
        <v>675</v>
      </c>
      <c r="C108">
        <v>296.39999999999998</v>
      </c>
      <c r="D108">
        <v>307.8</v>
      </c>
      <c r="E108">
        <v>320.66669999999999</v>
      </c>
      <c r="F108">
        <v>364.8</v>
      </c>
      <c r="G108">
        <v>438.9</v>
      </c>
      <c r="H108">
        <v>418.8</v>
      </c>
      <c r="I108">
        <v>608.79999999999995</v>
      </c>
      <c r="J108">
        <v>626.5</v>
      </c>
      <c r="K108" t="s">
        <v>4</v>
      </c>
    </row>
    <row r="109" spans="1:11" x14ac:dyDescent="0.25">
      <c r="A109" t="s">
        <v>333</v>
      </c>
      <c r="B109" t="s">
        <v>684</v>
      </c>
      <c r="C109">
        <v>163.80000000000001</v>
      </c>
      <c r="D109">
        <v>175.5</v>
      </c>
      <c r="E109">
        <v>210.6</v>
      </c>
      <c r="F109">
        <v>234</v>
      </c>
      <c r="G109">
        <v>325.26</v>
      </c>
      <c r="H109">
        <v>334.02</v>
      </c>
      <c r="I109">
        <v>379.08</v>
      </c>
      <c r="J109">
        <v>398.97</v>
      </c>
      <c r="K109" t="s">
        <v>4</v>
      </c>
    </row>
    <row r="110" spans="1:11" x14ac:dyDescent="0.25">
      <c r="A110" t="s">
        <v>333</v>
      </c>
      <c r="B110" t="s">
        <v>702</v>
      </c>
      <c r="C110">
        <v>187.2</v>
      </c>
      <c r="D110">
        <v>198.9</v>
      </c>
      <c r="E110">
        <v>273.60000000000002</v>
      </c>
      <c r="F110">
        <v>285</v>
      </c>
      <c r="G110">
        <v>319.2</v>
      </c>
      <c r="H110">
        <v>336.3</v>
      </c>
      <c r="I110">
        <v>473.1</v>
      </c>
      <c r="J110">
        <v>484.5</v>
      </c>
      <c r="K110" t="s">
        <v>4</v>
      </c>
    </row>
    <row r="111" spans="1:11" x14ac:dyDescent="0.25">
      <c r="A111" t="s">
        <v>333</v>
      </c>
      <c r="B111" t="s">
        <v>729</v>
      </c>
      <c r="C111">
        <v>169.33330000000001</v>
      </c>
      <c r="D111">
        <v>179.33330000000001</v>
      </c>
      <c r="E111">
        <v>191.66669999999999</v>
      </c>
      <c r="F111">
        <v>196.4667</v>
      </c>
      <c r="G111">
        <v>336.66669999999999</v>
      </c>
      <c r="H111">
        <v>209.79</v>
      </c>
      <c r="I111">
        <v>359</v>
      </c>
      <c r="J111">
        <v>369.5</v>
      </c>
      <c r="K111" t="s">
        <v>4</v>
      </c>
    </row>
    <row r="112" spans="1:11" x14ac:dyDescent="0.25">
      <c r="A112" t="s">
        <v>333</v>
      </c>
      <c r="B112" t="s">
        <v>738</v>
      </c>
      <c r="C112">
        <v>145.41</v>
      </c>
      <c r="D112">
        <v>142.4667</v>
      </c>
      <c r="E112">
        <v>189.81</v>
      </c>
      <c r="F112">
        <v>220.89</v>
      </c>
      <c r="G112">
        <v>237.54</v>
      </c>
      <c r="H112">
        <v>286.38</v>
      </c>
      <c r="I112">
        <v>354.09</v>
      </c>
      <c r="J112">
        <v>340.25</v>
      </c>
      <c r="K112" t="s">
        <v>4</v>
      </c>
    </row>
    <row r="113" spans="1:11" x14ac:dyDescent="0.25">
      <c r="A113" t="s">
        <v>333</v>
      </c>
      <c r="B113" t="s">
        <v>747</v>
      </c>
      <c r="C113">
        <v>158.66669999999999</v>
      </c>
      <c r="D113">
        <v>172.05</v>
      </c>
      <c r="E113">
        <v>185.82</v>
      </c>
      <c r="F113">
        <v>199.5</v>
      </c>
      <c r="G113">
        <v>224.58</v>
      </c>
      <c r="H113">
        <v>246.42</v>
      </c>
      <c r="I113">
        <v>298.68</v>
      </c>
      <c r="J113">
        <v>311.22000000000003</v>
      </c>
      <c r="K113" t="s">
        <v>4</v>
      </c>
    </row>
    <row r="114" spans="1:11" x14ac:dyDescent="0.25">
      <c r="A114" t="s">
        <v>333</v>
      </c>
      <c r="B114" t="s">
        <v>756</v>
      </c>
      <c r="C114">
        <v>152.76</v>
      </c>
      <c r="D114">
        <v>158.46</v>
      </c>
      <c r="E114">
        <v>190.38</v>
      </c>
      <c r="F114">
        <v>201.78</v>
      </c>
      <c r="G114">
        <v>237.12</v>
      </c>
      <c r="H114">
        <v>279.3</v>
      </c>
      <c r="I114">
        <v>369.63</v>
      </c>
      <c r="J114">
        <v>404.04</v>
      </c>
      <c r="K114" t="s">
        <v>4</v>
      </c>
    </row>
    <row r="115" spans="1:11" x14ac:dyDescent="0.25">
      <c r="A115" t="s">
        <v>333</v>
      </c>
      <c r="B115" t="s">
        <v>765</v>
      </c>
      <c r="C115">
        <v>654.9</v>
      </c>
      <c r="D115">
        <v>681.54</v>
      </c>
      <c r="E115">
        <v>744.81</v>
      </c>
      <c r="F115">
        <v>789.21</v>
      </c>
      <c r="G115">
        <v>823.08</v>
      </c>
      <c r="H115">
        <v>888</v>
      </c>
      <c r="I115">
        <v>1031.7</v>
      </c>
      <c r="J115">
        <v>1071.5999999999999</v>
      </c>
      <c r="K115" t="s">
        <v>4</v>
      </c>
    </row>
    <row r="116" spans="1:11" x14ac:dyDescent="0.25">
      <c r="A116" t="s">
        <v>333</v>
      </c>
      <c r="B116" t="s">
        <v>783</v>
      </c>
      <c r="C116">
        <v>179.0667</v>
      </c>
      <c r="D116">
        <v>199.8</v>
      </c>
      <c r="E116">
        <v>288.60000000000002</v>
      </c>
      <c r="F116">
        <v>299.7</v>
      </c>
      <c r="G116">
        <v>333</v>
      </c>
      <c r="H116">
        <v>349.65</v>
      </c>
      <c r="I116">
        <v>482.85</v>
      </c>
      <c r="J116">
        <v>493.95</v>
      </c>
      <c r="K116" t="s">
        <v>4</v>
      </c>
    </row>
    <row r="117" spans="1:11" x14ac:dyDescent="0.25">
      <c r="A117" t="s">
        <v>333</v>
      </c>
      <c r="B117" t="s">
        <v>792</v>
      </c>
      <c r="C117">
        <v>156.78</v>
      </c>
      <c r="D117">
        <v>162.63</v>
      </c>
      <c r="E117">
        <v>198.9</v>
      </c>
      <c r="F117">
        <v>215.28</v>
      </c>
      <c r="G117">
        <v>243.36</v>
      </c>
      <c r="H117">
        <v>267.93</v>
      </c>
      <c r="I117">
        <v>388.44</v>
      </c>
      <c r="J117">
        <v>425.88</v>
      </c>
      <c r="K117" t="s">
        <v>4</v>
      </c>
    </row>
    <row r="118" spans="1:11" x14ac:dyDescent="0.25">
      <c r="A118" t="s">
        <v>333</v>
      </c>
      <c r="B118" t="s">
        <v>819</v>
      </c>
      <c r="C118">
        <v>277.5</v>
      </c>
      <c r="D118">
        <v>280.83</v>
      </c>
      <c r="E118">
        <v>329.67</v>
      </c>
      <c r="F118">
        <v>360.75</v>
      </c>
      <c r="G118">
        <v>387.39</v>
      </c>
      <c r="H118">
        <v>414.03</v>
      </c>
      <c r="I118">
        <v>549.45000000000005</v>
      </c>
      <c r="J118">
        <v>674.5</v>
      </c>
      <c r="K118" t="s">
        <v>4</v>
      </c>
    </row>
    <row r="119" spans="1:11" x14ac:dyDescent="0.25">
      <c r="A119" t="s">
        <v>333</v>
      </c>
      <c r="B119" t="s">
        <v>828</v>
      </c>
      <c r="C119">
        <v>233.1</v>
      </c>
      <c r="D119">
        <v>244.2</v>
      </c>
      <c r="E119">
        <v>273.60000000000002</v>
      </c>
      <c r="F119">
        <v>288.60000000000002</v>
      </c>
      <c r="G119">
        <v>319.2</v>
      </c>
      <c r="H119">
        <v>344.1</v>
      </c>
      <c r="I119">
        <v>488.4</v>
      </c>
      <c r="J119">
        <v>499.5</v>
      </c>
      <c r="K119" t="s">
        <v>4</v>
      </c>
    </row>
    <row r="120" spans="1:11" x14ac:dyDescent="0.25">
      <c r="A120" t="s">
        <v>333</v>
      </c>
      <c r="B120" t="s">
        <v>846</v>
      </c>
      <c r="C120">
        <v>217.56</v>
      </c>
      <c r="D120">
        <v>225.33</v>
      </c>
      <c r="E120">
        <v>225</v>
      </c>
      <c r="F120">
        <v>237.54</v>
      </c>
      <c r="G120">
        <v>313.02</v>
      </c>
      <c r="H120">
        <v>266.60000000000002</v>
      </c>
      <c r="I120">
        <v>341</v>
      </c>
      <c r="J120">
        <v>359.5</v>
      </c>
      <c r="K120" t="s">
        <v>4</v>
      </c>
    </row>
    <row r="121" spans="1:11" x14ac:dyDescent="0.25">
      <c r="A121" t="s">
        <v>333</v>
      </c>
      <c r="B121" t="s">
        <v>855</v>
      </c>
      <c r="C121">
        <v>255.3</v>
      </c>
      <c r="D121">
        <v>266.39999999999998</v>
      </c>
      <c r="E121">
        <v>287.49</v>
      </c>
      <c r="F121">
        <v>328.56</v>
      </c>
      <c r="G121">
        <v>354.09</v>
      </c>
      <c r="H121">
        <v>404.04</v>
      </c>
      <c r="I121">
        <v>527.25</v>
      </c>
      <c r="J121">
        <v>666</v>
      </c>
      <c r="K121" t="s">
        <v>4</v>
      </c>
    </row>
    <row r="122" spans="1:11" x14ac:dyDescent="0.25">
      <c r="A122" t="s">
        <v>333</v>
      </c>
      <c r="B122" t="s">
        <v>864</v>
      </c>
      <c r="C122">
        <v>266.39999999999998</v>
      </c>
      <c r="D122">
        <v>277.5</v>
      </c>
      <c r="E122">
        <v>321.5</v>
      </c>
      <c r="F122">
        <v>331.5</v>
      </c>
      <c r="G122">
        <v>394.05</v>
      </c>
      <c r="H122">
        <v>410.7</v>
      </c>
      <c r="I122">
        <v>482.85</v>
      </c>
      <c r="J122">
        <v>499.5</v>
      </c>
      <c r="K122" t="s">
        <v>4</v>
      </c>
    </row>
    <row r="123" spans="1:11" x14ac:dyDescent="0.25">
      <c r="A123" t="s">
        <v>333</v>
      </c>
      <c r="B123" t="s">
        <v>882</v>
      </c>
      <c r="C123">
        <v>306.36</v>
      </c>
      <c r="D123">
        <v>319.68</v>
      </c>
      <c r="E123">
        <v>359.64</v>
      </c>
      <c r="F123">
        <v>399.6</v>
      </c>
      <c r="G123">
        <v>411.81</v>
      </c>
      <c r="H123">
        <v>455.1</v>
      </c>
      <c r="I123">
        <v>536.13</v>
      </c>
      <c r="J123">
        <v>593.85</v>
      </c>
      <c r="K123" t="s">
        <v>4</v>
      </c>
    </row>
    <row r="124" spans="1:11" x14ac:dyDescent="0.25">
      <c r="A124" t="s">
        <v>333</v>
      </c>
      <c r="B124" t="s">
        <v>909</v>
      </c>
      <c r="C124">
        <v>144.30000000000001</v>
      </c>
      <c r="D124">
        <v>141.9333</v>
      </c>
      <c r="E124">
        <v>166.5</v>
      </c>
      <c r="F124">
        <v>189.81</v>
      </c>
      <c r="G124">
        <v>215.34</v>
      </c>
      <c r="H124">
        <v>241.98</v>
      </c>
      <c r="I124">
        <v>299.7</v>
      </c>
      <c r="J124">
        <v>310.8</v>
      </c>
      <c r="K124" t="s">
        <v>4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24D7F-0A60-4018-8B41-62B4478980AC}">
  <sheetPr>
    <tabColor theme="8"/>
  </sheetPr>
  <dimension ref="A1:K5"/>
  <sheetViews>
    <sheetView workbookViewId="0">
      <selection activeCell="F5" sqref="F5"/>
    </sheetView>
  </sheetViews>
  <sheetFormatPr baseColWidth="10" defaultColWidth="11.42578125" defaultRowHeight="15" x14ac:dyDescent="0.25"/>
  <cols>
    <col min="1" max="2" width="10.5703125" bestFit="1" customWidth="1"/>
    <col min="3" max="5" width="11.5703125" bestFit="1" customWidth="1"/>
    <col min="6" max="6" width="12.5703125" bestFit="1" customWidth="1"/>
    <col min="7" max="9" width="13.5703125" bestFit="1" customWidth="1"/>
    <col min="10" max="10" width="14" bestFit="1" customWidth="1"/>
    <col min="11" max="12" width="13.42578125" bestFit="1" customWidth="1"/>
  </cols>
  <sheetData>
    <row r="1" spans="1:11" x14ac:dyDescent="0.25">
      <c r="A1" t="s">
        <v>1</v>
      </c>
      <c r="B1" t="s">
        <v>2</v>
      </c>
      <c r="C1" t="s">
        <v>21</v>
      </c>
      <c r="D1" t="s">
        <v>29</v>
      </c>
      <c r="E1" t="s">
        <v>31</v>
      </c>
      <c r="F1" t="s">
        <v>33</v>
      </c>
      <c r="G1" t="s">
        <v>23</v>
      </c>
      <c r="H1" t="s">
        <v>25</v>
      </c>
      <c r="I1" t="s">
        <v>27</v>
      </c>
      <c r="J1" t="s">
        <v>35</v>
      </c>
      <c r="K1" t="s">
        <v>2786</v>
      </c>
    </row>
    <row r="2" spans="1:11" x14ac:dyDescent="0.25">
      <c r="A2" t="s">
        <v>37</v>
      </c>
      <c r="B2" t="s">
        <v>37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155.25</v>
      </c>
      <c r="K2" t="s">
        <v>2569</v>
      </c>
    </row>
    <row r="3" spans="1:11" x14ac:dyDescent="0.25">
      <c r="A3" t="s">
        <v>37</v>
      </c>
      <c r="B3" t="s">
        <v>333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240.95</v>
      </c>
      <c r="K3" t="s">
        <v>2569</v>
      </c>
    </row>
    <row r="4" spans="1:11" x14ac:dyDescent="0.25">
      <c r="A4" t="s">
        <v>333</v>
      </c>
      <c r="B4" t="s">
        <v>37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326</v>
      </c>
      <c r="K4" t="s">
        <v>2569</v>
      </c>
    </row>
    <row r="5" spans="1:11" x14ac:dyDescent="0.25">
      <c r="A5" t="s">
        <v>333</v>
      </c>
      <c r="B5" t="s">
        <v>333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192.4</v>
      </c>
      <c r="K5" t="s">
        <v>2569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227B9-DDC2-4FBB-8FB0-ADD2D863B2C7}">
  <sheetPr>
    <tabColor theme="8"/>
  </sheetPr>
  <dimension ref="A1:J5"/>
  <sheetViews>
    <sheetView workbookViewId="0">
      <selection activeCell="J2" sqref="J2:J5"/>
    </sheetView>
  </sheetViews>
  <sheetFormatPr baseColWidth="10" defaultColWidth="11.42578125" defaultRowHeight="15" x14ac:dyDescent="0.25"/>
  <cols>
    <col min="1" max="2" width="10.5703125" bestFit="1" customWidth="1"/>
    <col min="3" max="9" width="10.5703125" style="1" customWidth="1"/>
    <col min="10" max="10" width="14" style="1" bestFit="1" customWidth="1"/>
  </cols>
  <sheetData>
    <row r="1" spans="1:10" x14ac:dyDescent="0.25">
      <c r="A1" t="s">
        <v>1</v>
      </c>
      <c r="B1" t="s">
        <v>2</v>
      </c>
      <c r="C1" s="1" t="s">
        <v>21</v>
      </c>
      <c r="D1" s="1" t="s">
        <v>29</v>
      </c>
      <c r="E1" s="1" t="s">
        <v>31</v>
      </c>
      <c r="F1" s="1" t="s">
        <v>33</v>
      </c>
      <c r="G1" s="1" t="s">
        <v>23</v>
      </c>
      <c r="H1" s="1" t="s">
        <v>25</v>
      </c>
      <c r="I1" s="1" t="s">
        <v>27</v>
      </c>
      <c r="J1" s="1" t="s">
        <v>35</v>
      </c>
    </row>
    <row r="2" spans="1:10" x14ac:dyDescent="0.25">
      <c r="A2" t="s">
        <v>37</v>
      </c>
      <c r="B2" t="s">
        <v>37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170.77500000000001</v>
      </c>
    </row>
    <row r="3" spans="1:10" x14ac:dyDescent="0.25">
      <c r="A3" t="s">
        <v>37</v>
      </c>
      <c r="B3" t="s">
        <v>333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265.04500000000002</v>
      </c>
    </row>
    <row r="4" spans="1:10" x14ac:dyDescent="0.25">
      <c r="A4" t="s">
        <v>333</v>
      </c>
      <c r="B4" t="s">
        <v>37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358.6</v>
      </c>
    </row>
    <row r="5" spans="1:10" x14ac:dyDescent="0.25">
      <c r="A5" t="s">
        <v>333</v>
      </c>
      <c r="B5" t="s">
        <v>333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211.64000000000001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4E507-A7E9-4365-ABD1-1BAB23DC0D83}">
  <dimension ref="A1:K3"/>
  <sheetViews>
    <sheetView workbookViewId="0">
      <selection activeCell="J2" sqref="J2"/>
    </sheetView>
  </sheetViews>
  <sheetFormatPr baseColWidth="10" defaultColWidth="11.42578125" defaultRowHeight="15" x14ac:dyDescent="0.25"/>
  <cols>
    <col min="1" max="1" width="9.5703125" bestFit="1" customWidth="1"/>
    <col min="2" max="2" width="10.42578125" bestFit="1" customWidth="1"/>
    <col min="3" max="5" width="11.5703125" bestFit="1" customWidth="1"/>
    <col min="6" max="6" width="12.5703125" bestFit="1" customWidth="1"/>
    <col min="7" max="9" width="13.5703125" bestFit="1" customWidth="1"/>
    <col min="10" max="10" width="14" bestFit="1" customWidth="1"/>
    <col min="11" max="11" width="14.85546875" bestFit="1" customWidth="1"/>
    <col min="12" max="12" width="14" bestFit="1" customWidth="1"/>
    <col min="13" max="13" width="14.85546875" bestFit="1" customWidth="1"/>
  </cols>
  <sheetData>
    <row r="1" spans="1:11" x14ac:dyDescent="0.25">
      <c r="A1" t="s">
        <v>1</v>
      </c>
      <c r="B1" t="s">
        <v>2</v>
      </c>
      <c r="C1" t="s">
        <v>21</v>
      </c>
      <c r="D1" t="s">
        <v>29</v>
      </c>
      <c r="E1" t="s">
        <v>31</v>
      </c>
      <c r="F1" t="s">
        <v>33</v>
      </c>
      <c r="G1" t="s">
        <v>23</v>
      </c>
      <c r="H1" t="s">
        <v>25</v>
      </c>
      <c r="I1" t="s">
        <v>27</v>
      </c>
      <c r="J1" t="s">
        <v>35</v>
      </c>
      <c r="K1" t="s">
        <v>2786</v>
      </c>
    </row>
    <row r="2" spans="1:11" x14ac:dyDescent="0.25">
      <c r="A2" t="s">
        <v>37</v>
      </c>
      <c r="B2" t="s">
        <v>37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98.1</v>
      </c>
      <c r="K2" t="s">
        <v>2788</v>
      </c>
    </row>
    <row r="3" spans="1:11" x14ac:dyDescent="0.25">
      <c r="A3" t="s">
        <v>37</v>
      </c>
      <c r="B3" t="s">
        <v>2789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133.53</v>
      </c>
      <c r="K3" t="s">
        <v>2788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93F3A-EA1D-4534-85C5-ED74DBC6D63B}">
  <dimension ref="A1:K30"/>
  <sheetViews>
    <sheetView workbookViewId="0">
      <selection activeCell="J12" sqref="J12"/>
    </sheetView>
  </sheetViews>
  <sheetFormatPr baseColWidth="10" defaultColWidth="11.42578125" defaultRowHeight="15" x14ac:dyDescent="0.25"/>
  <cols>
    <col min="1" max="1" width="11.85546875" bestFit="1" customWidth="1"/>
    <col min="2" max="2" width="18.85546875" bestFit="1" customWidth="1"/>
    <col min="3" max="5" width="9.28515625" bestFit="1" customWidth="1"/>
    <col min="6" max="6" width="10.28515625" bestFit="1" customWidth="1"/>
    <col min="7" max="9" width="11.28515625" bestFit="1" customWidth="1"/>
    <col min="10" max="10" width="11.7109375" bestFit="1" customWidth="1"/>
    <col min="11" max="11" width="11.140625" bestFit="1" customWidth="1"/>
  </cols>
  <sheetData>
    <row r="1" spans="1:11" x14ac:dyDescent="0.25">
      <c r="A1" t="s">
        <v>1</v>
      </c>
      <c r="B1" t="s">
        <v>2</v>
      </c>
      <c r="C1" t="s">
        <v>21</v>
      </c>
      <c r="D1" t="s">
        <v>29</v>
      </c>
      <c r="E1" t="s">
        <v>31</v>
      </c>
      <c r="F1" t="s">
        <v>33</v>
      </c>
      <c r="G1" t="s">
        <v>23</v>
      </c>
      <c r="H1" t="s">
        <v>25</v>
      </c>
      <c r="I1" t="s">
        <v>27</v>
      </c>
      <c r="J1" t="s">
        <v>35</v>
      </c>
      <c r="K1" t="s">
        <v>2786</v>
      </c>
    </row>
    <row r="2" spans="1:11" x14ac:dyDescent="0.25">
      <c r="A2" t="s">
        <v>37</v>
      </c>
      <c r="B2" t="s">
        <v>46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585.6</v>
      </c>
      <c r="J2">
        <v>585.6</v>
      </c>
      <c r="K2" t="s">
        <v>7</v>
      </c>
    </row>
    <row r="3" spans="1:11" x14ac:dyDescent="0.25">
      <c r="A3" t="s">
        <v>37</v>
      </c>
      <c r="B3" t="s">
        <v>217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277.5</v>
      </c>
      <c r="J3">
        <v>277.5</v>
      </c>
      <c r="K3" t="s">
        <v>7</v>
      </c>
    </row>
    <row r="4" spans="1:11" x14ac:dyDescent="0.25">
      <c r="A4" t="s">
        <v>37</v>
      </c>
      <c r="B4" t="s">
        <v>37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143</v>
      </c>
      <c r="J4">
        <v>143</v>
      </c>
      <c r="K4" t="s">
        <v>7</v>
      </c>
    </row>
    <row r="5" spans="1:11" x14ac:dyDescent="0.25">
      <c r="A5" t="s">
        <v>37</v>
      </c>
      <c r="B5" t="s">
        <v>333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247.5</v>
      </c>
      <c r="J5">
        <v>247.5</v>
      </c>
      <c r="K5" t="s">
        <v>7</v>
      </c>
    </row>
    <row r="6" spans="1:11" x14ac:dyDescent="0.25">
      <c r="A6" t="s">
        <v>37</v>
      </c>
      <c r="B6" t="s">
        <v>351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622.20000000000005</v>
      </c>
      <c r="J6">
        <v>622.20000000000005</v>
      </c>
      <c r="K6" t="s">
        <v>7</v>
      </c>
    </row>
    <row r="7" spans="1:11" x14ac:dyDescent="0.25">
      <c r="A7" t="s">
        <v>37</v>
      </c>
      <c r="B7" t="s">
        <v>360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622.20000000000005</v>
      </c>
      <c r="J7">
        <v>622.20000000000005</v>
      </c>
      <c r="K7" t="s">
        <v>7</v>
      </c>
    </row>
    <row r="8" spans="1:11" x14ac:dyDescent="0.25">
      <c r="A8" t="s">
        <v>37</v>
      </c>
      <c r="B8" t="s">
        <v>405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176</v>
      </c>
      <c r="J8">
        <v>176</v>
      </c>
      <c r="K8" t="s">
        <v>7</v>
      </c>
    </row>
    <row r="9" spans="1:11" x14ac:dyDescent="0.25">
      <c r="A9" t="s">
        <v>37</v>
      </c>
      <c r="B9" t="s">
        <v>450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585.6</v>
      </c>
      <c r="J9">
        <v>585.6</v>
      </c>
      <c r="K9" t="s">
        <v>7</v>
      </c>
    </row>
    <row r="10" spans="1:11" x14ac:dyDescent="0.25">
      <c r="A10" t="s">
        <v>935</v>
      </c>
      <c r="B10" t="s">
        <v>639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573.4</v>
      </c>
      <c r="J10">
        <v>573.4</v>
      </c>
      <c r="K10" t="s">
        <v>7</v>
      </c>
    </row>
    <row r="11" spans="1:11" x14ac:dyDescent="0.25">
      <c r="A11" t="s">
        <v>37</v>
      </c>
      <c r="B11" t="s">
        <v>666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622.20000000000005</v>
      </c>
      <c r="J11">
        <v>622.20000000000005</v>
      </c>
      <c r="K11" t="s">
        <v>7</v>
      </c>
    </row>
    <row r="12" spans="1:11" x14ac:dyDescent="0.25">
      <c r="A12" t="s">
        <v>37</v>
      </c>
      <c r="B12" t="s">
        <v>738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385</v>
      </c>
      <c r="J12">
        <v>385</v>
      </c>
      <c r="K12" t="s">
        <v>7</v>
      </c>
    </row>
    <row r="13" spans="1:11" x14ac:dyDescent="0.25">
      <c r="A13" t="s">
        <v>37</v>
      </c>
      <c r="B13" t="s">
        <v>855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475.8</v>
      </c>
      <c r="J13">
        <v>475.8</v>
      </c>
      <c r="K13" t="s">
        <v>7</v>
      </c>
    </row>
    <row r="14" spans="1:11" x14ac:dyDescent="0.25">
      <c r="A14" t="s">
        <v>37</v>
      </c>
      <c r="B14" t="s">
        <v>909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253</v>
      </c>
      <c r="J14">
        <v>253</v>
      </c>
      <c r="K14" t="s">
        <v>7</v>
      </c>
    </row>
    <row r="15" spans="1:11" x14ac:dyDescent="0.25">
      <c r="A15" t="s">
        <v>333</v>
      </c>
      <c r="B15" t="s">
        <v>46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701.5</v>
      </c>
      <c r="J15">
        <v>701.5</v>
      </c>
      <c r="K15" t="s">
        <v>7</v>
      </c>
    </row>
    <row r="16" spans="1:11" x14ac:dyDescent="0.25">
      <c r="A16" t="s">
        <v>333</v>
      </c>
      <c r="B16" t="s">
        <v>217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410.4</v>
      </c>
      <c r="J16">
        <v>410.4</v>
      </c>
      <c r="K16" t="s">
        <v>7</v>
      </c>
    </row>
    <row r="17" spans="1:11" x14ac:dyDescent="0.25">
      <c r="A17" t="s">
        <v>333</v>
      </c>
      <c r="B17" t="s">
        <v>37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242</v>
      </c>
      <c r="J17">
        <v>242</v>
      </c>
      <c r="K17" t="s">
        <v>7</v>
      </c>
    </row>
    <row r="18" spans="1:11" x14ac:dyDescent="0.25">
      <c r="A18" t="s">
        <v>333</v>
      </c>
      <c r="B18" t="s">
        <v>333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220</v>
      </c>
      <c r="J18">
        <v>220</v>
      </c>
      <c r="K18" t="s">
        <v>7</v>
      </c>
    </row>
    <row r="19" spans="1:11" x14ac:dyDescent="0.25">
      <c r="A19" t="s">
        <v>333</v>
      </c>
      <c r="B19" t="s">
        <v>351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732</v>
      </c>
      <c r="J19">
        <v>732</v>
      </c>
      <c r="K19" t="s">
        <v>7</v>
      </c>
    </row>
    <row r="20" spans="1:11" x14ac:dyDescent="0.25">
      <c r="A20" t="s">
        <v>333</v>
      </c>
      <c r="B20" t="s">
        <v>360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732</v>
      </c>
      <c r="J20">
        <v>732</v>
      </c>
      <c r="K20" t="s">
        <v>7</v>
      </c>
    </row>
    <row r="21" spans="1:11" x14ac:dyDescent="0.25">
      <c r="A21" t="s">
        <v>333</v>
      </c>
      <c r="B21" t="s">
        <v>405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275</v>
      </c>
      <c r="J21">
        <v>275</v>
      </c>
      <c r="K21" t="s">
        <v>7</v>
      </c>
    </row>
    <row r="22" spans="1:11" x14ac:dyDescent="0.25">
      <c r="A22" t="s">
        <v>333</v>
      </c>
      <c r="B22" t="s">
        <v>450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634.4</v>
      </c>
      <c r="J22">
        <v>634.4</v>
      </c>
      <c r="K22" t="s">
        <v>7</v>
      </c>
    </row>
    <row r="23" spans="1:11" x14ac:dyDescent="0.25">
      <c r="A23" t="s">
        <v>333</v>
      </c>
      <c r="B23" t="s">
        <v>639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634.4</v>
      </c>
      <c r="J23">
        <v>634.4</v>
      </c>
      <c r="K23" t="s">
        <v>7</v>
      </c>
    </row>
    <row r="24" spans="1:11" x14ac:dyDescent="0.25">
      <c r="A24" t="s">
        <v>333</v>
      </c>
      <c r="B24" t="s">
        <v>666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732</v>
      </c>
      <c r="J24">
        <v>732</v>
      </c>
      <c r="K24" t="s">
        <v>7</v>
      </c>
    </row>
    <row r="25" spans="1:11" x14ac:dyDescent="0.25">
      <c r="A25" t="s">
        <v>333</v>
      </c>
      <c r="B25" t="s">
        <v>738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344.1</v>
      </c>
      <c r="J25">
        <v>344.1</v>
      </c>
      <c r="K25" t="s">
        <v>7</v>
      </c>
    </row>
    <row r="26" spans="1:11" x14ac:dyDescent="0.25">
      <c r="A26" t="s">
        <v>333</v>
      </c>
      <c r="B26" t="s">
        <v>819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671</v>
      </c>
      <c r="J26">
        <v>671</v>
      </c>
      <c r="K26" t="s">
        <v>7</v>
      </c>
    </row>
    <row r="27" spans="1:11" x14ac:dyDescent="0.25">
      <c r="A27" t="s">
        <v>333</v>
      </c>
      <c r="B27" t="s">
        <v>855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671</v>
      </c>
      <c r="J27">
        <v>671</v>
      </c>
      <c r="K27" t="s">
        <v>7</v>
      </c>
    </row>
    <row r="28" spans="1:11" x14ac:dyDescent="0.25">
      <c r="A28" t="s">
        <v>333</v>
      </c>
      <c r="B28" t="s">
        <v>909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286</v>
      </c>
      <c r="J28">
        <v>286</v>
      </c>
      <c r="K28" t="s">
        <v>7</v>
      </c>
    </row>
    <row r="29" spans="1:11" x14ac:dyDescent="0.25">
      <c r="A29" t="s">
        <v>19</v>
      </c>
      <c r="B29" t="s">
        <v>37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176</v>
      </c>
      <c r="J29">
        <v>176</v>
      </c>
      <c r="K29" t="s">
        <v>7</v>
      </c>
    </row>
    <row r="30" spans="1:11" x14ac:dyDescent="0.25">
      <c r="A30" t="s">
        <v>19</v>
      </c>
      <c r="B30" t="s">
        <v>20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275</v>
      </c>
      <c r="J30">
        <v>275</v>
      </c>
      <c r="K30" t="s">
        <v>7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DB0F2-4E00-4DBD-AF7F-99CDD2B1416F}">
  <sheetPr>
    <tabColor theme="8"/>
  </sheetPr>
  <dimension ref="A1:J126"/>
  <sheetViews>
    <sheetView topLeftCell="A126" zoomScale="85" zoomScaleNormal="85" workbookViewId="0">
      <selection activeCell="C2" sqref="C2:J126"/>
    </sheetView>
  </sheetViews>
  <sheetFormatPr baseColWidth="10" defaultColWidth="11.42578125" defaultRowHeight="15" x14ac:dyDescent="0.25"/>
  <cols>
    <col min="2" max="2" width="15" customWidth="1"/>
    <col min="3" max="5" width="12" style="1" customWidth="1"/>
    <col min="6" max="6" width="13" style="1" customWidth="1"/>
    <col min="7" max="9" width="14" style="1" customWidth="1"/>
    <col min="10" max="10" width="14.42578125" style="1" customWidth="1"/>
  </cols>
  <sheetData>
    <row r="1" spans="1:10" x14ac:dyDescent="0.25">
      <c r="A1" t="s">
        <v>1</v>
      </c>
      <c r="B1" t="s">
        <v>2</v>
      </c>
      <c r="C1" s="1" t="s">
        <v>21</v>
      </c>
      <c r="D1" s="1" t="s">
        <v>29</v>
      </c>
      <c r="E1" s="1" t="s">
        <v>31</v>
      </c>
      <c r="F1" s="1" t="s">
        <v>33</v>
      </c>
      <c r="G1" s="1" t="s">
        <v>23</v>
      </c>
      <c r="H1" s="1" t="s">
        <v>25</v>
      </c>
      <c r="I1" s="1" t="s">
        <v>27</v>
      </c>
      <c r="J1" s="1" t="s">
        <v>35</v>
      </c>
    </row>
    <row r="2" spans="1:10" x14ac:dyDescent="0.25">
      <c r="A2" t="s">
        <v>918</v>
      </c>
      <c r="B2" t="s">
        <v>37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770.00000000000011</v>
      </c>
    </row>
    <row r="3" spans="1:10" x14ac:dyDescent="0.25">
      <c r="A3" t="s">
        <v>918</v>
      </c>
      <c r="B3" t="s">
        <v>333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913.00000000000011</v>
      </c>
    </row>
    <row r="4" spans="1:10" x14ac:dyDescent="0.25">
      <c r="A4" t="s">
        <v>37</v>
      </c>
      <c r="B4" t="s">
        <v>918</v>
      </c>
      <c r="C4" s="1">
        <v>0</v>
      </c>
      <c r="D4" s="1">
        <v>0</v>
      </c>
      <c r="E4" s="1">
        <v>412.50000000000006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25">
      <c r="A5" t="s">
        <v>46</v>
      </c>
      <c r="B5" t="s">
        <v>118</v>
      </c>
      <c r="C5" s="1">
        <v>171.33600000000001</v>
      </c>
      <c r="D5" s="1">
        <v>183.018</v>
      </c>
      <c r="E5" s="1">
        <v>189.50800000000001</v>
      </c>
      <c r="F5" s="1">
        <v>203.786</v>
      </c>
      <c r="G5" s="1">
        <v>273.87799999999999</v>
      </c>
      <c r="H5" s="1">
        <v>302.43400000000003</v>
      </c>
      <c r="I5" s="1">
        <v>330.99</v>
      </c>
      <c r="J5" s="1">
        <v>429.63800000000003</v>
      </c>
    </row>
    <row r="6" spans="1:10" x14ac:dyDescent="0.25">
      <c r="A6" t="s">
        <v>46</v>
      </c>
      <c r="B6" t="s">
        <v>136</v>
      </c>
      <c r="C6" s="1">
        <v>108.66900000000001</v>
      </c>
      <c r="D6" s="1">
        <v>115.99500000000002</v>
      </c>
      <c r="E6" s="1">
        <v>119.65800000000002</v>
      </c>
      <c r="F6" s="1">
        <v>129.42600000000002</v>
      </c>
      <c r="G6" s="1">
        <v>173.38200000000001</v>
      </c>
      <c r="H6" s="1">
        <v>191.69700000000003</v>
      </c>
      <c r="I6" s="1">
        <v>208.79100000000003</v>
      </c>
      <c r="J6" s="1">
        <v>272.28300000000002</v>
      </c>
    </row>
    <row r="7" spans="1:10" x14ac:dyDescent="0.25">
      <c r="A7" t="s">
        <v>46</v>
      </c>
      <c r="B7" t="s">
        <v>37</v>
      </c>
      <c r="C7" s="1">
        <v>331.05599999999998</v>
      </c>
      <c r="D7" s="1">
        <v>345.54300000000001</v>
      </c>
      <c r="E7" s="1">
        <v>367.42200000000003</v>
      </c>
      <c r="F7" s="1">
        <v>395.01000000000005</v>
      </c>
      <c r="G7" s="1">
        <v>515.26200000000006</v>
      </c>
      <c r="H7" s="1">
        <v>568.98599999999999</v>
      </c>
      <c r="I7" s="1">
        <v>623.93100000000004</v>
      </c>
      <c r="J7" s="1">
        <v>809.52300000000002</v>
      </c>
    </row>
    <row r="8" spans="1:10" x14ac:dyDescent="0.25">
      <c r="A8" t="s">
        <v>46</v>
      </c>
      <c r="B8" t="s">
        <v>333</v>
      </c>
      <c r="C8" s="1">
        <v>335.77500000000003</v>
      </c>
      <c r="D8" s="1">
        <v>361.41600000000005</v>
      </c>
      <c r="E8" s="1">
        <v>383.72399999999999</v>
      </c>
      <c r="F8" s="1">
        <v>401.709</v>
      </c>
      <c r="G8" s="1">
        <v>538.46100000000001</v>
      </c>
      <c r="H8" s="1">
        <v>594.62700000000007</v>
      </c>
      <c r="I8" s="1">
        <v>650.79300000000001</v>
      </c>
      <c r="J8" s="1">
        <v>846.15300000000013</v>
      </c>
    </row>
    <row r="9" spans="1:10" x14ac:dyDescent="0.25">
      <c r="A9" t="s">
        <v>46</v>
      </c>
      <c r="B9" t="s">
        <v>351</v>
      </c>
      <c r="C9" s="1">
        <v>134.31</v>
      </c>
      <c r="D9" s="1">
        <v>146.52000000000001</v>
      </c>
      <c r="E9" s="1">
        <v>170.94000000000003</v>
      </c>
      <c r="F9" s="1">
        <v>183.15</v>
      </c>
      <c r="G9" s="1">
        <v>219.78000000000003</v>
      </c>
      <c r="H9" s="1">
        <v>231.99000000000004</v>
      </c>
      <c r="I9" s="1">
        <v>286.93500000000006</v>
      </c>
      <c r="J9" s="1">
        <v>305.25</v>
      </c>
    </row>
    <row r="10" spans="1:10" x14ac:dyDescent="0.25">
      <c r="A10" t="s">
        <v>46</v>
      </c>
      <c r="B10" t="s">
        <v>360</v>
      </c>
      <c r="C10" s="1">
        <v>687.423</v>
      </c>
      <c r="D10" s="1">
        <v>737.48400000000015</v>
      </c>
      <c r="E10" s="1">
        <v>761.904</v>
      </c>
      <c r="F10" s="1">
        <v>820.51200000000006</v>
      </c>
      <c r="G10" s="1">
        <v>1100.1210000000001</v>
      </c>
      <c r="H10" s="1">
        <v>1214.8950000000002</v>
      </c>
      <c r="I10" s="1">
        <v>1329.6690000000001</v>
      </c>
      <c r="J10" s="1">
        <v>1727.7150000000001</v>
      </c>
    </row>
    <row r="11" spans="1:10" x14ac:dyDescent="0.25">
      <c r="A11" t="s">
        <v>46</v>
      </c>
      <c r="B11" t="s">
        <v>405</v>
      </c>
      <c r="C11" s="1">
        <v>338.21700000000004</v>
      </c>
      <c r="D11" s="1">
        <v>362.63700000000006</v>
      </c>
      <c r="E11" s="1">
        <v>374.84700000000004</v>
      </c>
      <c r="F11" s="1">
        <v>404.15100000000007</v>
      </c>
      <c r="G11" s="1">
        <v>540.90300000000002</v>
      </c>
      <c r="H11" s="1">
        <v>598.29000000000008</v>
      </c>
      <c r="I11" s="1">
        <v>654.45600000000013</v>
      </c>
      <c r="J11" s="1">
        <v>851.03700000000003</v>
      </c>
    </row>
    <row r="12" spans="1:10" x14ac:dyDescent="0.25">
      <c r="A12" t="s">
        <v>46</v>
      </c>
      <c r="B12" t="s">
        <v>450</v>
      </c>
      <c r="C12" s="1">
        <v>189.25500000000002</v>
      </c>
      <c r="D12" s="1">
        <v>191.18000000000004</v>
      </c>
      <c r="E12" s="1">
        <v>215.60000000000002</v>
      </c>
      <c r="F12" s="1">
        <v>226.60000000000002</v>
      </c>
      <c r="G12" s="1">
        <v>274.72500000000002</v>
      </c>
      <c r="H12" s="1">
        <v>286.93500000000006</v>
      </c>
      <c r="I12" s="1">
        <v>341.88000000000005</v>
      </c>
      <c r="J12" s="1">
        <v>342.65000000000003</v>
      </c>
    </row>
    <row r="13" spans="1:10" x14ac:dyDescent="0.25">
      <c r="A13" t="s">
        <v>46</v>
      </c>
      <c r="B13" t="s">
        <v>639</v>
      </c>
      <c r="C13" s="1">
        <v>97.68</v>
      </c>
      <c r="D13" s="1">
        <v>105.006</v>
      </c>
      <c r="E13" s="1">
        <v>108.66900000000001</v>
      </c>
      <c r="F13" s="1">
        <v>118.25000000000001</v>
      </c>
      <c r="G13" s="1">
        <v>156.28800000000004</v>
      </c>
      <c r="H13" s="1">
        <v>173.38200000000001</v>
      </c>
      <c r="I13" s="1">
        <v>189.25500000000002</v>
      </c>
      <c r="J13" s="1">
        <v>246.64200000000002</v>
      </c>
    </row>
    <row r="14" spans="1:10" x14ac:dyDescent="0.25">
      <c r="A14" t="s">
        <v>46</v>
      </c>
      <c r="B14" t="s">
        <v>657</v>
      </c>
      <c r="C14" s="1">
        <v>118.11800000000001</v>
      </c>
      <c r="D14" s="1">
        <v>125.90600000000001</v>
      </c>
      <c r="E14" s="1">
        <v>131.09800000000001</v>
      </c>
      <c r="F14" s="1">
        <v>140.184</v>
      </c>
      <c r="G14" s="1">
        <v>188.21</v>
      </c>
      <c r="H14" s="1">
        <v>207.68000000000004</v>
      </c>
      <c r="I14" s="1">
        <v>228.44800000000004</v>
      </c>
      <c r="J14" s="1">
        <v>295.94400000000007</v>
      </c>
    </row>
    <row r="15" spans="1:10" x14ac:dyDescent="0.25">
      <c r="A15" t="s">
        <v>46</v>
      </c>
      <c r="B15" t="s">
        <v>702</v>
      </c>
      <c r="C15" s="1">
        <v>168.74</v>
      </c>
      <c r="D15" s="1">
        <v>181.72</v>
      </c>
      <c r="E15" s="1">
        <v>207.68000000000004</v>
      </c>
      <c r="F15" s="1">
        <v>220.66000000000003</v>
      </c>
      <c r="G15" s="1">
        <v>259.60000000000002</v>
      </c>
      <c r="H15" s="1">
        <v>272.58000000000004</v>
      </c>
      <c r="I15" s="1">
        <v>330.99</v>
      </c>
      <c r="J15" s="1">
        <v>305.52500000000003</v>
      </c>
    </row>
    <row r="16" spans="1:10" x14ac:dyDescent="0.25">
      <c r="A16" t="s">
        <v>46</v>
      </c>
      <c r="B16" t="s">
        <v>819</v>
      </c>
      <c r="C16" s="1">
        <v>164.83500000000001</v>
      </c>
      <c r="D16" s="1">
        <v>177.04500000000002</v>
      </c>
      <c r="E16" s="1">
        <v>201.46500000000003</v>
      </c>
      <c r="F16" s="1">
        <v>213.67500000000001</v>
      </c>
      <c r="G16" s="1">
        <v>250.30500000000004</v>
      </c>
      <c r="H16" s="1">
        <v>262.51500000000004</v>
      </c>
      <c r="I16" s="1">
        <v>317.46000000000004</v>
      </c>
      <c r="J16" s="1">
        <v>335.77500000000003</v>
      </c>
    </row>
    <row r="17" spans="1:10" x14ac:dyDescent="0.25">
      <c r="A17" t="s">
        <v>46</v>
      </c>
      <c r="B17" t="s">
        <v>846</v>
      </c>
      <c r="C17" s="1">
        <v>298.452</v>
      </c>
      <c r="D17" s="1">
        <v>321.024</v>
      </c>
      <c r="E17" s="1">
        <v>331.05599999999998</v>
      </c>
      <c r="F17" s="1">
        <v>357.39</v>
      </c>
      <c r="G17" s="1">
        <v>477.774</v>
      </c>
      <c r="H17" s="1">
        <v>514.04100000000005</v>
      </c>
      <c r="I17" s="1">
        <v>578.09400000000005</v>
      </c>
      <c r="J17" s="1">
        <v>731.37900000000002</v>
      </c>
    </row>
    <row r="18" spans="1:10" x14ac:dyDescent="0.25">
      <c r="A18" t="s">
        <v>46</v>
      </c>
      <c r="B18" t="s">
        <v>909</v>
      </c>
      <c r="C18" s="1">
        <v>329.67</v>
      </c>
      <c r="D18" s="1">
        <v>352.86900000000003</v>
      </c>
      <c r="E18" s="1">
        <v>374.94600000000003</v>
      </c>
      <c r="F18" s="1">
        <v>403.78800000000001</v>
      </c>
      <c r="G18" s="1">
        <v>527.47199999999998</v>
      </c>
      <c r="H18" s="1">
        <v>582.41700000000003</v>
      </c>
      <c r="I18" s="1">
        <v>637.36199999999997</v>
      </c>
      <c r="J18" s="1">
        <v>827.83800000000008</v>
      </c>
    </row>
    <row r="19" spans="1:10" x14ac:dyDescent="0.25">
      <c r="A19" t="s">
        <v>37</v>
      </c>
      <c r="B19" t="s">
        <v>46</v>
      </c>
      <c r="C19" s="1">
        <v>220.11</v>
      </c>
      <c r="D19" s="1">
        <v>209.99</v>
      </c>
      <c r="E19" s="1">
        <v>275.77</v>
      </c>
      <c r="F19" s="1">
        <v>299.80500000000006</v>
      </c>
      <c r="G19" s="1">
        <v>355.46500000000003</v>
      </c>
      <c r="H19" s="1">
        <v>435.13800000000003</v>
      </c>
      <c r="I19" s="1">
        <v>689.86500000000001</v>
      </c>
      <c r="J19" s="1">
        <v>764.34600000000012</v>
      </c>
    </row>
    <row r="20" spans="1:10" x14ac:dyDescent="0.25">
      <c r="A20" t="s">
        <v>37</v>
      </c>
      <c r="B20" t="s">
        <v>82</v>
      </c>
      <c r="C20" s="1">
        <v>159.20663000000002</v>
      </c>
      <c r="D20" s="1">
        <v>160.30663000000004</v>
      </c>
      <c r="E20" s="1">
        <v>205.33337</v>
      </c>
      <c r="F20" s="1">
        <v>224.03337000000002</v>
      </c>
      <c r="G20" s="1">
        <v>275.73337000000004</v>
      </c>
      <c r="H20" s="1">
        <v>289.37700000000001</v>
      </c>
      <c r="I20" s="1">
        <v>415.14</v>
      </c>
      <c r="J20" s="1">
        <v>456.654</v>
      </c>
    </row>
    <row r="21" spans="1:10" x14ac:dyDescent="0.25">
      <c r="A21" t="s">
        <v>37</v>
      </c>
      <c r="B21" t="s">
        <v>100</v>
      </c>
      <c r="C21" s="1">
        <v>290.95000000000005</v>
      </c>
      <c r="D21" s="1">
        <v>313.5</v>
      </c>
      <c r="E21" s="1">
        <v>489.06000000000006</v>
      </c>
      <c r="F21" s="1">
        <v>494.50500000000005</v>
      </c>
      <c r="G21" s="1">
        <v>576.84</v>
      </c>
      <c r="H21" s="1">
        <v>586.08000000000004</v>
      </c>
      <c r="I21" s="1">
        <v>658.35</v>
      </c>
      <c r="J21" s="1">
        <v>689.7</v>
      </c>
    </row>
    <row r="22" spans="1:10" x14ac:dyDescent="0.25">
      <c r="A22" t="s">
        <v>37</v>
      </c>
      <c r="B22" t="s">
        <v>109</v>
      </c>
      <c r="C22" s="1">
        <v>161.91999999999999</v>
      </c>
      <c r="D22" s="1">
        <v>193.11600000000001</v>
      </c>
      <c r="E22" s="1">
        <v>237.41663000000003</v>
      </c>
      <c r="F22" s="1">
        <v>269.61</v>
      </c>
      <c r="G22" s="1">
        <v>265.65000000000003</v>
      </c>
      <c r="H22" s="1">
        <v>285.91200000000003</v>
      </c>
      <c r="I22" s="1">
        <v>443.91600000000005</v>
      </c>
      <c r="J22" s="1">
        <v>499.38900000000007</v>
      </c>
    </row>
    <row r="23" spans="1:10" x14ac:dyDescent="0.25">
      <c r="A23" t="s">
        <v>37</v>
      </c>
      <c r="B23" t="s">
        <v>118</v>
      </c>
      <c r="C23" s="1">
        <v>147.62</v>
      </c>
      <c r="D23" s="1">
        <v>154.22</v>
      </c>
      <c r="E23" s="1">
        <v>189.20000000000002</v>
      </c>
      <c r="F23" s="1">
        <v>204.60000000000002</v>
      </c>
      <c r="G23" s="1">
        <v>218.9</v>
      </c>
      <c r="H23" s="1">
        <v>233.53000000000003</v>
      </c>
      <c r="I23" s="1">
        <v>336.38000000000005</v>
      </c>
      <c r="J23" s="1">
        <v>400.488</v>
      </c>
    </row>
    <row r="24" spans="1:10" x14ac:dyDescent="0.25">
      <c r="A24" t="s">
        <v>37</v>
      </c>
      <c r="B24" t="s">
        <v>127</v>
      </c>
      <c r="C24" s="1">
        <v>175.41337000000001</v>
      </c>
      <c r="D24" s="1">
        <v>188.61337000000003</v>
      </c>
      <c r="E24" s="1">
        <v>236.31663000000003</v>
      </c>
      <c r="F24" s="1">
        <v>244.01663000000002</v>
      </c>
      <c r="G24" s="1">
        <v>266.01663000000002</v>
      </c>
      <c r="H24" s="1">
        <v>275.88000000000005</v>
      </c>
      <c r="I24" s="1">
        <v>426.12900000000002</v>
      </c>
      <c r="J24" s="1">
        <v>499.12500000000006</v>
      </c>
    </row>
    <row r="25" spans="1:10" x14ac:dyDescent="0.25">
      <c r="A25" t="s">
        <v>37</v>
      </c>
      <c r="B25" t="s">
        <v>136</v>
      </c>
      <c r="C25" s="1">
        <v>173.30500000000004</v>
      </c>
      <c r="D25" s="1">
        <v>187.80663000000004</v>
      </c>
      <c r="E25" s="1">
        <v>227.70000000000002</v>
      </c>
      <c r="F25" s="1">
        <v>241.08337</v>
      </c>
      <c r="G25" s="1">
        <v>278.3</v>
      </c>
      <c r="H25" s="1">
        <v>317.51499999999999</v>
      </c>
      <c r="I25" s="1">
        <v>446.42400000000004</v>
      </c>
      <c r="J25" s="1">
        <v>504.108</v>
      </c>
    </row>
    <row r="26" spans="1:10" x14ac:dyDescent="0.25">
      <c r="A26" t="s">
        <v>37</v>
      </c>
      <c r="B26" t="s">
        <v>190</v>
      </c>
      <c r="C26" s="1">
        <v>180.69336999999999</v>
      </c>
      <c r="D26" s="1">
        <v>203.79337000000001</v>
      </c>
      <c r="E26" s="1">
        <v>223.11663000000001</v>
      </c>
      <c r="F26" s="1">
        <v>242.91663000000003</v>
      </c>
      <c r="G26" s="1">
        <v>254.56200000000001</v>
      </c>
      <c r="H26" s="1">
        <v>289.37700000000001</v>
      </c>
      <c r="I26" s="1">
        <v>405.24</v>
      </c>
      <c r="J26" s="1">
        <v>466.12500000000006</v>
      </c>
    </row>
    <row r="27" spans="1:10" x14ac:dyDescent="0.25">
      <c r="A27" t="s">
        <v>37</v>
      </c>
      <c r="B27" t="s">
        <v>199</v>
      </c>
      <c r="C27" s="1">
        <v>357.75300000000004</v>
      </c>
      <c r="D27" s="1">
        <v>369.96300000000002</v>
      </c>
      <c r="E27" s="1">
        <v>388.74</v>
      </c>
      <c r="F27" s="1">
        <v>469.88337000000001</v>
      </c>
      <c r="G27" s="1">
        <v>482.79</v>
      </c>
      <c r="H27" s="1">
        <v>506.71500000000003</v>
      </c>
      <c r="I27" s="1">
        <v>650.79300000000001</v>
      </c>
      <c r="J27" s="1">
        <v>804.63900000000012</v>
      </c>
    </row>
    <row r="28" spans="1:10" x14ac:dyDescent="0.25">
      <c r="A28" t="s">
        <v>37</v>
      </c>
      <c r="B28" t="s">
        <v>208</v>
      </c>
      <c r="C28" s="1">
        <v>100.39337</v>
      </c>
      <c r="D28" s="1">
        <v>104.79337000000001</v>
      </c>
      <c r="E28" s="1">
        <v>140.61663000000001</v>
      </c>
      <c r="F28" s="1">
        <v>147.21663000000001</v>
      </c>
      <c r="G28" s="1">
        <v>182.41663000000003</v>
      </c>
      <c r="H28" s="1">
        <v>187.44000000000003</v>
      </c>
      <c r="I28" s="1">
        <v>260.04000000000002</v>
      </c>
      <c r="J28" s="1">
        <v>300.57500000000005</v>
      </c>
    </row>
    <row r="29" spans="1:10" x14ac:dyDescent="0.25">
      <c r="A29" t="s">
        <v>37</v>
      </c>
      <c r="B29" t="s">
        <v>217</v>
      </c>
      <c r="C29" s="1">
        <v>100.122</v>
      </c>
      <c r="D29" s="1">
        <v>115.99500000000002</v>
      </c>
      <c r="E29" s="1">
        <v>153.63337000000001</v>
      </c>
      <c r="F29" s="1">
        <v>169.03336999999999</v>
      </c>
      <c r="G29" s="1">
        <v>180.03337000000002</v>
      </c>
      <c r="H29" s="1">
        <v>198.66</v>
      </c>
      <c r="I29" s="1">
        <v>236.06</v>
      </c>
      <c r="J29" s="1">
        <v>267.399</v>
      </c>
    </row>
    <row r="30" spans="1:10" x14ac:dyDescent="0.25">
      <c r="A30" t="s">
        <v>37</v>
      </c>
      <c r="B30" t="s">
        <v>235</v>
      </c>
      <c r="C30" s="1">
        <v>376.20000000000005</v>
      </c>
      <c r="D30" s="1">
        <v>426.36000000000007</v>
      </c>
      <c r="E30" s="1">
        <v>485.1</v>
      </c>
      <c r="F30" s="1">
        <v>501.6</v>
      </c>
      <c r="G30" s="1">
        <v>564.30000000000007</v>
      </c>
      <c r="H30" s="1">
        <v>619.476</v>
      </c>
      <c r="I30" s="1">
        <v>767.44799999999998</v>
      </c>
      <c r="J30" s="1">
        <v>792.52800000000013</v>
      </c>
    </row>
    <row r="31" spans="1:10" x14ac:dyDescent="0.25">
      <c r="A31" t="s">
        <v>37</v>
      </c>
      <c r="B31" t="s">
        <v>244</v>
      </c>
      <c r="C31" s="1">
        <v>112.42000000000002</v>
      </c>
      <c r="D31" s="1">
        <v>115.72000000000001</v>
      </c>
      <c r="E31" s="1">
        <v>155.65</v>
      </c>
      <c r="F31" s="1">
        <v>175.45000000000002</v>
      </c>
      <c r="G31" s="1">
        <v>189.75000000000003</v>
      </c>
      <c r="H31" s="1">
        <v>216.48000000000002</v>
      </c>
      <c r="I31" s="1">
        <v>276.98</v>
      </c>
      <c r="J31" s="1">
        <v>313.22500000000002</v>
      </c>
    </row>
    <row r="32" spans="1:10" x14ac:dyDescent="0.25">
      <c r="A32" t="s">
        <v>37</v>
      </c>
      <c r="B32" t="s">
        <v>253</v>
      </c>
      <c r="C32" s="1">
        <v>130.64700000000002</v>
      </c>
      <c r="D32" s="1">
        <v>131.04663000000002</v>
      </c>
      <c r="E32" s="1">
        <v>143.18337</v>
      </c>
      <c r="F32" s="1">
        <v>157.48337000000001</v>
      </c>
      <c r="G32" s="1">
        <v>197.80200000000002</v>
      </c>
      <c r="H32" s="1">
        <v>249.08400000000003</v>
      </c>
      <c r="I32" s="1">
        <v>367.52100000000007</v>
      </c>
      <c r="J32" s="1">
        <v>399.26700000000005</v>
      </c>
    </row>
    <row r="33" spans="1:10" x14ac:dyDescent="0.25">
      <c r="A33" t="s">
        <v>37</v>
      </c>
      <c r="B33" t="s">
        <v>37</v>
      </c>
      <c r="C33" s="1">
        <v>63.580000000000005</v>
      </c>
      <c r="D33" s="1">
        <v>63.580000000000005</v>
      </c>
      <c r="E33" s="1">
        <v>73.150000000000006</v>
      </c>
      <c r="F33" s="1">
        <v>81.95</v>
      </c>
      <c r="G33" s="1">
        <v>91.850000000000009</v>
      </c>
      <c r="H33" s="1">
        <v>99.220000000000013</v>
      </c>
      <c r="I33" s="1">
        <v>134.42000000000002</v>
      </c>
      <c r="J33" s="1">
        <v>144.375</v>
      </c>
    </row>
    <row r="34" spans="1:10" x14ac:dyDescent="0.25">
      <c r="A34" t="s">
        <v>37</v>
      </c>
      <c r="B34" t="s">
        <v>279</v>
      </c>
      <c r="C34" s="1">
        <v>146.52000000000001</v>
      </c>
      <c r="D34" s="1">
        <v>153.85337000000001</v>
      </c>
      <c r="E34" s="1">
        <v>197.81663000000003</v>
      </c>
      <c r="F34" s="1">
        <v>208.81663000000003</v>
      </c>
      <c r="G34" s="1">
        <v>260.51663000000002</v>
      </c>
      <c r="H34" s="1">
        <v>290.59800000000001</v>
      </c>
      <c r="I34" s="1">
        <v>379.28000000000003</v>
      </c>
      <c r="J34" s="1">
        <v>460.07500000000005</v>
      </c>
    </row>
    <row r="35" spans="1:10" x14ac:dyDescent="0.25">
      <c r="A35" t="s">
        <v>37</v>
      </c>
      <c r="B35" t="s">
        <v>306</v>
      </c>
      <c r="C35" s="1">
        <v>171.79800000000003</v>
      </c>
      <c r="D35" s="1">
        <v>176.81400000000002</v>
      </c>
      <c r="E35" s="1">
        <v>223.21200000000002</v>
      </c>
      <c r="F35" s="1">
        <v>243.27600000000001</v>
      </c>
      <c r="G35" s="1">
        <v>294.69</v>
      </c>
      <c r="H35" s="1">
        <v>319.90200000000004</v>
      </c>
      <c r="I35" s="1">
        <v>413.91900000000004</v>
      </c>
      <c r="J35" s="1">
        <v>448.10700000000003</v>
      </c>
    </row>
    <row r="36" spans="1:10" x14ac:dyDescent="0.25">
      <c r="A36" t="s">
        <v>37</v>
      </c>
      <c r="B36" t="s">
        <v>315</v>
      </c>
      <c r="C36" s="1">
        <v>810.55337000000009</v>
      </c>
      <c r="D36" s="1">
        <v>821.55337000000009</v>
      </c>
      <c r="E36" s="1">
        <v>1020.6166300000001</v>
      </c>
      <c r="F36" s="1">
        <v>1221</v>
      </c>
      <c r="G36" s="1">
        <v>1234.0166300000001</v>
      </c>
      <c r="H36" s="1">
        <v>1343.1000000000001</v>
      </c>
      <c r="I36" s="1">
        <v>1693.7800000000002</v>
      </c>
      <c r="J36" s="1">
        <v>1978.0200000000002</v>
      </c>
    </row>
    <row r="37" spans="1:10" x14ac:dyDescent="0.25">
      <c r="A37" t="s">
        <v>37</v>
      </c>
      <c r="B37" t="s">
        <v>333</v>
      </c>
      <c r="C37" s="1">
        <v>100.54000000000002</v>
      </c>
      <c r="D37" s="1">
        <v>103.84000000000002</v>
      </c>
      <c r="E37" s="1">
        <v>143</v>
      </c>
      <c r="F37" s="1">
        <v>157.30000000000001</v>
      </c>
      <c r="G37" s="1">
        <v>171.60000000000002</v>
      </c>
      <c r="H37" s="1">
        <v>195.36</v>
      </c>
      <c r="I37" s="1">
        <v>227.26000000000002</v>
      </c>
      <c r="J37" s="1">
        <v>272.25</v>
      </c>
    </row>
    <row r="38" spans="1:10" x14ac:dyDescent="0.25">
      <c r="A38" t="s">
        <v>37</v>
      </c>
      <c r="B38" t="s">
        <v>351</v>
      </c>
      <c r="C38" s="1">
        <v>217.8</v>
      </c>
      <c r="D38" s="1">
        <v>233.20000000000002</v>
      </c>
      <c r="E38" s="1">
        <v>276.10000000000002</v>
      </c>
      <c r="F38" s="1">
        <v>312.40000000000003</v>
      </c>
      <c r="G38" s="1">
        <v>332.69499999999999</v>
      </c>
      <c r="H38" s="1">
        <v>364.32</v>
      </c>
      <c r="I38" s="1">
        <v>563.04600000000005</v>
      </c>
      <c r="J38" s="1">
        <v>679.66800000000001</v>
      </c>
    </row>
    <row r="39" spans="1:10" x14ac:dyDescent="0.25">
      <c r="A39" t="s">
        <v>37</v>
      </c>
      <c r="B39" t="s">
        <v>360</v>
      </c>
      <c r="C39" s="1">
        <v>209.99</v>
      </c>
      <c r="D39" s="1">
        <v>232.46663000000004</v>
      </c>
      <c r="E39" s="1">
        <v>275.18337000000002</v>
      </c>
      <c r="F39" s="1">
        <v>278.48337000000004</v>
      </c>
      <c r="G39" s="1">
        <v>309.92500000000001</v>
      </c>
      <c r="H39" s="1">
        <v>320.04500000000002</v>
      </c>
      <c r="I39" s="1">
        <v>563.04600000000005</v>
      </c>
      <c r="J39" s="1">
        <v>688.64400000000001</v>
      </c>
    </row>
    <row r="40" spans="1:10" x14ac:dyDescent="0.25">
      <c r="A40" t="s">
        <v>37</v>
      </c>
      <c r="B40" t="s">
        <v>369</v>
      </c>
      <c r="C40" s="1">
        <v>270.71000000000004</v>
      </c>
      <c r="D40" s="1">
        <v>297.29337000000004</v>
      </c>
      <c r="E40" s="1">
        <v>382.06663000000003</v>
      </c>
      <c r="F40" s="1">
        <v>448.93200000000002</v>
      </c>
      <c r="G40" s="1">
        <v>474.01200000000006</v>
      </c>
      <c r="H40" s="1">
        <v>522.91800000000001</v>
      </c>
      <c r="I40" s="1">
        <v>620.73</v>
      </c>
      <c r="J40" s="1">
        <v>743.62200000000007</v>
      </c>
    </row>
    <row r="41" spans="1:10" x14ac:dyDescent="0.25">
      <c r="A41" t="s">
        <v>37</v>
      </c>
      <c r="B41" t="s">
        <v>387</v>
      </c>
      <c r="C41" s="1">
        <v>115.99500000000002</v>
      </c>
      <c r="D41" s="1">
        <v>133.02663000000001</v>
      </c>
      <c r="E41" s="1">
        <v>147.03336999999999</v>
      </c>
      <c r="F41" s="1">
        <v>159.13337000000001</v>
      </c>
      <c r="G41" s="1">
        <v>206.34900000000002</v>
      </c>
      <c r="H41" s="1">
        <v>219.78000000000003</v>
      </c>
      <c r="I41" s="1">
        <v>324.786</v>
      </c>
      <c r="J41" s="1">
        <v>354.09000000000003</v>
      </c>
    </row>
    <row r="42" spans="1:10" x14ac:dyDescent="0.25">
      <c r="A42" t="s">
        <v>37</v>
      </c>
      <c r="B42" t="s">
        <v>405</v>
      </c>
      <c r="C42" s="1">
        <v>68.053370000000001</v>
      </c>
      <c r="D42" s="1">
        <v>70.253370000000004</v>
      </c>
      <c r="E42" s="1">
        <v>84.516630000000006</v>
      </c>
      <c r="F42" s="1">
        <v>94.416629999999998</v>
      </c>
      <c r="G42" s="1">
        <v>103.21662999999999</v>
      </c>
      <c r="H42" s="1">
        <v>114.18</v>
      </c>
      <c r="I42" s="1">
        <v>142.78000000000003</v>
      </c>
      <c r="J42" s="1">
        <v>156.47500000000002</v>
      </c>
    </row>
    <row r="43" spans="1:10" x14ac:dyDescent="0.25">
      <c r="A43" t="s">
        <v>37</v>
      </c>
      <c r="B43" t="s">
        <v>432</v>
      </c>
      <c r="C43" s="1">
        <v>110.44000000000001</v>
      </c>
      <c r="D43" s="1">
        <v>115.94000000000001</v>
      </c>
      <c r="E43" s="1">
        <v>156.28800000000004</v>
      </c>
      <c r="F43" s="1">
        <v>166.10000000000002</v>
      </c>
      <c r="G43" s="1">
        <v>185.59200000000001</v>
      </c>
      <c r="H43" s="1">
        <v>208.79100000000003</v>
      </c>
      <c r="I43" s="1">
        <v>249.08400000000003</v>
      </c>
      <c r="J43" s="1">
        <v>294.26100000000002</v>
      </c>
    </row>
    <row r="44" spans="1:10" x14ac:dyDescent="0.25">
      <c r="A44" t="s">
        <v>37</v>
      </c>
      <c r="B44" t="s">
        <v>441</v>
      </c>
      <c r="C44" s="1">
        <v>181.79337000000001</v>
      </c>
      <c r="D44" s="1">
        <v>184.33800000000002</v>
      </c>
      <c r="E44" s="1">
        <v>244.20000000000002</v>
      </c>
      <c r="F44" s="1">
        <v>250.30500000000004</v>
      </c>
      <c r="G44" s="1">
        <v>310.13400000000001</v>
      </c>
      <c r="H44" s="1">
        <v>329.67</v>
      </c>
      <c r="I44" s="1">
        <v>446.88600000000002</v>
      </c>
      <c r="J44" s="1">
        <v>578.75400000000002</v>
      </c>
    </row>
    <row r="45" spans="1:10" x14ac:dyDescent="0.25">
      <c r="A45" t="s">
        <v>37</v>
      </c>
      <c r="B45" t="s">
        <v>450</v>
      </c>
      <c r="C45" s="1">
        <v>188.02663000000001</v>
      </c>
      <c r="D45" s="1">
        <v>195.72663000000003</v>
      </c>
      <c r="E45" s="1">
        <v>248.23337000000001</v>
      </c>
      <c r="F45" s="1">
        <v>257.03336999999999</v>
      </c>
      <c r="G45" s="1">
        <v>283.43337000000002</v>
      </c>
      <c r="H45" s="1">
        <v>315.04000000000002</v>
      </c>
      <c r="I45" s="1">
        <v>428.34000000000003</v>
      </c>
      <c r="J45" s="1">
        <v>498.30000000000007</v>
      </c>
    </row>
    <row r="46" spans="1:10" x14ac:dyDescent="0.25">
      <c r="A46" t="s">
        <v>37</v>
      </c>
      <c r="B46" t="s">
        <v>468</v>
      </c>
      <c r="C46" s="1">
        <v>246.67500000000001</v>
      </c>
      <c r="D46" s="1">
        <v>250.47</v>
      </c>
      <c r="E46" s="1">
        <v>326.04000000000002</v>
      </c>
      <c r="F46" s="1">
        <v>331.05599999999998</v>
      </c>
      <c r="G46" s="1">
        <v>376.97</v>
      </c>
      <c r="H46" s="1">
        <v>393.75600000000003</v>
      </c>
      <c r="I46" s="1">
        <v>550.50599999999997</v>
      </c>
      <c r="J46" s="1">
        <v>649.572</v>
      </c>
    </row>
    <row r="47" spans="1:10" x14ac:dyDescent="0.25">
      <c r="A47" t="s">
        <v>37</v>
      </c>
      <c r="B47" t="s">
        <v>522</v>
      </c>
      <c r="C47" s="1">
        <v>123.71337000000001</v>
      </c>
      <c r="D47" s="1">
        <v>139.11337</v>
      </c>
      <c r="E47" s="1">
        <v>175.81663000000003</v>
      </c>
      <c r="F47" s="1">
        <v>187.91663000000003</v>
      </c>
      <c r="G47" s="1">
        <v>204.41663000000003</v>
      </c>
      <c r="H47" s="1">
        <v>233.42000000000002</v>
      </c>
      <c r="I47" s="1">
        <v>277.42</v>
      </c>
      <c r="J47" s="1">
        <v>321.47500000000002</v>
      </c>
    </row>
    <row r="48" spans="1:10" x14ac:dyDescent="0.25">
      <c r="A48" t="s">
        <v>37</v>
      </c>
      <c r="B48" t="s">
        <v>540</v>
      </c>
      <c r="C48" s="1">
        <v>166.98000000000002</v>
      </c>
      <c r="D48" s="1">
        <v>175.56</v>
      </c>
      <c r="E48" s="1">
        <v>248.29200000000003</v>
      </c>
      <c r="F48" s="1">
        <v>263.34000000000003</v>
      </c>
      <c r="G48" s="1">
        <v>293.43600000000004</v>
      </c>
      <c r="H48" s="1">
        <v>316.00799999999998</v>
      </c>
      <c r="I48" s="1">
        <v>408.80400000000003</v>
      </c>
      <c r="J48" s="1">
        <v>457.87500000000006</v>
      </c>
    </row>
    <row r="49" spans="1:10" x14ac:dyDescent="0.25">
      <c r="A49" t="s">
        <v>37</v>
      </c>
      <c r="B49" t="s">
        <v>594</v>
      </c>
      <c r="C49" s="1">
        <v>407.55</v>
      </c>
      <c r="D49" s="1">
        <v>424.23337000000004</v>
      </c>
      <c r="E49" s="1">
        <v>463.46663000000007</v>
      </c>
      <c r="F49" s="1">
        <v>507.46663000000007</v>
      </c>
      <c r="G49" s="1">
        <v>558.03000000000009</v>
      </c>
      <c r="H49" s="1">
        <v>621.98400000000015</v>
      </c>
      <c r="I49" s="1">
        <v>677.16000000000008</v>
      </c>
      <c r="J49" s="1">
        <v>778.25000000000011</v>
      </c>
    </row>
    <row r="50" spans="1:10" x14ac:dyDescent="0.25">
      <c r="A50" t="s">
        <v>37</v>
      </c>
      <c r="B50" t="s">
        <v>603</v>
      </c>
      <c r="C50" s="1">
        <v>173.38200000000001</v>
      </c>
      <c r="D50" s="1">
        <v>174.60300000000001</v>
      </c>
      <c r="E50" s="1">
        <v>219.78000000000003</v>
      </c>
      <c r="F50" s="1">
        <v>231.99000000000004</v>
      </c>
      <c r="G50" s="1">
        <v>289.37700000000001</v>
      </c>
      <c r="H50" s="1">
        <v>289.37700000000001</v>
      </c>
      <c r="I50" s="1">
        <v>384.61500000000001</v>
      </c>
      <c r="J50" s="1">
        <v>462.75900000000001</v>
      </c>
    </row>
    <row r="51" spans="1:10" x14ac:dyDescent="0.25">
      <c r="A51" t="s">
        <v>37</v>
      </c>
      <c r="B51" t="s">
        <v>630</v>
      </c>
      <c r="C51" s="1">
        <v>173.38200000000001</v>
      </c>
      <c r="D51" s="1">
        <v>199.02300000000002</v>
      </c>
      <c r="E51" s="1">
        <v>225.88500000000002</v>
      </c>
      <c r="F51" s="1">
        <v>239.31600000000003</v>
      </c>
      <c r="G51" s="1">
        <v>264.95700000000005</v>
      </c>
      <c r="H51" s="1">
        <v>319.90200000000004</v>
      </c>
      <c r="I51" s="1">
        <v>433.45500000000004</v>
      </c>
      <c r="J51" s="1">
        <v>455.43299999999999</v>
      </c>
    </row>
    <row r="52" spans="1:10" x14ac:dyDescent="0.25">
      <c r="A52" t="s">
        <v>37</v>
      </c>
      <c r="B52" t="s">
        <v>639</v>
      </c>
      <c r="C52" s="1">
        <v>187.22</v>
      </c>
      <c r="D52" s="1">
        <v>196.46</v>
      </c>
      <c r="E52" s="1">
        <v>224.95000000000002</v>
      </c>
      <c r="F52" s="1">
        <v>241.45000000000002</v>
      </c>
      <c r="G52" s="1">
        <v>283.25</v>
      </c>
      <c r="H52" s="1">
        <v>317.24</v>
      </c>
      <c r="I52" s="1">
        <v>495.44</v>
      </c>
      <c r="J52" s="1">
        <v>568.97500000000002</v>
      </c>
    </row>
    <row r="53" spans="1:10" x14ac:dyDescent="0.25">
      <c r="A53" t="s">
        <v>37</v>
      </c>
      <c r="B53" t="s">
        <v>648</v>
      </c>
      <c r="C53" s="1">
        <v>261.65337000000005</v>
      </c>
      <c r="D53" s="1">
        <v>272.65337000000005</v>
      </c>
      <c r="E53" s="1">
        <v>335.31663000000003</v>
      </c>
      <c r="F53" s="1">
        <v>351.81663000000003</v>
      </c>
      <c r="G53" s="1">
        <v>409.03500000000008</v>
      </c>
      <c r="H53" s="1">
        <v>427.35</v>
      </c>
      <c r="I53" s="1">
        <v>488.40000000000003</v>
      </c>
      <c r="J53" s="1">
        <v>512.82000000000005</v>
      </c>
    </row>
    <row r="54" spans="1:10" x14ac:dyDescent="0.25">
      <c r="A54" t="s">
        <v>37</v>
      </c>
      <c r="B54" t="s">
        <v>657</v>
      </c>
      <c r="C54" s="1">
        <v>199.02300000000002</v>
      </c>
      <c r="D54" s="1">
        <v>208.79100000000003</v>
      </c>
      <c r="E54" s="1">
        <v>250.30500000000004</v>
      </c>
      <c r="F54" s="1">
        <v>264.95700000000005</v>
      </c>
      <c r="G54" s="1">
        <v>291.81900000000007</v>
      </c>
      <c r="H54" s="1">
        <v>328.44900000000001</v>
      </c>
      <c r="I54" s="1">
        <v>434.67600000000004</v>
      </c>
      <c r="J54" s="1">
        <v>527.47199999999998</v>
      </c>
    </row>
    <row r="55" spans="1:10" x14ac:dyDescent="0.25">
      <c r="A55" t="s">
        <v>37</v>
      </c>
      <c r="B55" t="s">
        <v>675</v>
      </c>
      <c r="C55" s="1">
        <v>118.91</v>
      </c>
      <c r="D55" s="1">
        <v>123.56663</v>
      </c>
      <c r="E55" s="1">
        <v>164.63337000000001</v>
      </c>
      <c r="F55" s="1">
        <v>166.83337</v>
      </c>
      <c r="G55" s="1">
        <v>207.53337000000002</v>
      </c>
      <c r="H55" s="1">
        <v>232.10000000000002</v>
      </c>
      <c r="I55" s="1">
        <v>277.20000000000005</v>
      </c>
      <c r="J55" s="1">
        <v>316.25</v>
      </c>
    </row>
    <row r="56" spans="1:10" x14ac:dyDescent="0.25">
      <c r="A56" t="s">
        <v>37</v>
      </c>
      <c r="B56" t="s">
        <v>684</v>
      </c>
      <c r="C56" s="1">
        <v>197.34000000000003</v>
      </c>
      <c r="D56" s="1">
        <v>213.78500000000003</v>
      </c>
      <c r="E56" s="1">
        <v>274.50500000000005</v>
      </c>
      <c r="F56" s="1">
        <v>260.59000000000003</v>
      </c>
      <c r="G56" s="1">
        <v>326.37</v>
      </c>
      <c r="H56" s="1">
        <v>344.08000000000004</v>
      </c>
      <c r="I56" s="1">
        <v>479.02800000000008</v>
      </c>
      <c r="J56" s="1">
        <v>579.34799999999996</v>
      </c>
    </row>
    <row r="57" spans="1:10" x14ac:dyDescent="0.25">
      <c r="A57" t="s">
        <v>37</v>
      </c>
      <c r="B57" t="s">
        <v>702</v>
      </c>
      <c r="C57" s="1">
        <v>197.34000000000003</v>
      </c>
      <c r="D57" s="1">
        <v>218.02</v>
      </c>
      <c r="E57" s="1">
        <v>276.65000000000003</v>
      </c>
      <c r="F57" s="1">
        <v>282.15000000000003</v>
      </c>
      <c r="G57" s="1">
        <v>304.15000000000003</v>
      </c>
      <c r="H57" s="1">
        <v>323.18000000000006</v>
      </c>
      <c r="I57" s="1">
        <v>489.28000000000003</v>
      </c>
      <c r="J57" s="1">
        <v>590.42500000000007</v>
      </c>
    </row>
    <row r="58" spans="1:10" x14ac:dyDescent="0.25">
      <c r="A58" t="s">
        <v>37</v>
      </c>
      <c r="B58" t="s">
        <v>729</v>
      </c>
      <c r="C58" s="1">
        <v>159.94000000000003</v>
      </c>
      <c r="D58" s="1">
        <v>183.04000000000002</v>
      </c>
      <c r="E58" s="1">
        <v>228.25000000000003</v>
      </c>
      <c r="F58" s="1">
        <v>231.55</v>
      </c>
      <c r="G58" s="1">
        <v>267.85000000000002</v>
      </c>
      <c r="H58" s="1">
        <v>304.26000000000005</v>
      </c>
      <c r="I58" s="1">
        <v>392.26000000000005</v>
      </c>
      <c r="J58" s="1">
        <v>459.52500000000003</v>
      </c>
    </row>
    <row r="59" spans="1:10" x14ac:dyDescent="0.25">
      <c r="A59" t="s">
        <v>37</v>
      </c>
      <c r="B59" t="s">
        <v>738</v>
      </c>
      <c r="C59" s="1">
        <v>160.38000000000002</v>
      </c>
      <c r="D59" s="1">
        <v>165.88000000000002</v>
      </c>
      <c r="E59" s="1">
        <v>218.35000000000002</v>
      </c>
      <c r="F59" s="1">
        <v>246.95000000000002</v>
      </c>
      <c r="G59" s="1">
        <v>276.65000000000003</v>
      </c>
      <c r="H59" s="1">
        <v>299.42</v>
      </c>
      <c r="I59" s="1">
        <v>399.52000000000004</v>
      </c>
      <c r="J59" s="1">
        <v>426.52500000000003</v>
      </c>
    </row>
    <row r="60" spans="1:10" x14ac:dyDescent="0.25">
      <c r="A60" t="s">
        <v>37</v>
      </c>
      <c r="B60" t="s">
        <v>747</v>
      </c>
      <c r="C60" s="1">
        <v>191.69336999999999</v>
      </c>
      <c r="D60" s="1">
        <v>188.03400000000002</v>
      </c>
      <c r="E60" s="1">
        <v>235.75200000000001</v>
      </c>
      <c r="F60" s="1">
        <v>275.94600000000003</v>
      </c>
      <c r="G60" s="1">
        <v>291.81900000000007</v>
      </c>
      <c r="H60" s="1">
        <v>334.55400000000003</v>
      </c>
      <c r="I60" s="1">
        <v>463.98000000000008</v>
      </c>
      <c r="J60" s="1">
        <v>553.11300000000006</v>
      </c>
    </row>
    <row r="61" spans="1:10" x14ac:dyDescent="0.25">
      <c r="A61" t="s">
        <v>37</v>
      </c>
      <c r="B61" t="s">
        <v>756</v>
      </c>
      <c r="C61" s="1">
        <v>307.69200000000006</v>
      </c>
      <c r="D61" s="1">
        <v>317.46000000000004</v>
      </c>
      <c r="E61" s="1">
        <v>384.61500000000001</v>
      </c>
      <c r="F61" s="1">
        <v>433.45500000000004</v>
      </c>
      <c r="G61" s="1">
        <v>483.51600000000002</v>
      </c>
      <c r="H61" s="1">
        <v>525.03000000000009</v>
      </c>
      <c r="I61" s="1">
        <v>660.56100000000004</v>
      </c>
      <c r="J61" s="1">
        <v>807.08100000000013</v>
      </c>
    </row>
    <row r="62" spans="1:10" x14ac:dyDescent="0.25">
      <c r="A62" t="s">
        <v>37</v>
      </c>
      <c r="B62" t="s">
        <v>765</v>
      </c>
      <c r="C62" s="1">
        <v>706.95900000000017</v>
      </c>
      <c r="D62" s="1">
        <v>749.98</v>
      </c>
      <c r="E62" s="1">
        <v>827.64</v>
      </c>
      <c r="F62" s="1">
        <v>854.7</v>
      </c>
      <c r="G62" s="1">
        <v>891.59400000000005</v>
      </c>
      <c r="H62" s="1">
        <v>989.40600000000018</v>
      </c>
      <c r="I62" s="1">
        <v>1121.076</v>
      </c>
      <c r="J62" s="1">
        <v>1164.9660000000001</v>
      </c>
    </row>
    <row r="63" spans="1:10" x14ac:dyDescent="0.25">
      <c r="A63" t="s">
        <v>37</v>
      </c>
      <c r="B63" t="s">
        <v>783</v>
      </c>
      <c r="C63" s="1">
        <v>189.12663000000001</v>
      </c>
      <c r="D63" s="1">
        <v>199.02300000000002</v>
      </c>
      <c r="E63" s="1">
        <v>250.30500000000004</v>
      </c>
      <c r="F63" s="1">
        <v>269.84100000000001</v>
      </c>
      <c r="G63" s="1">
        <v>289.67399999999998</v>
      </c>
      <c r="H63" s="1">
        <v>332.11200000000002</v>
      </c>
      <c r="I63" s="1">
        <v>444.44400000000007</v>
      </c>
      <c r="J63" s="1">
        <v>477.411</v>
      </c>
    </row>
    <row r="64" spans="1:10" x14ac:dyDescent="0.25">
      <c r="A64" t="s">
        <v>37</v>
      </c>
      <c r="B64" t="s">
        <v>792</v>
      </c>
      <c r="C64" s="1">
        <v>259.32500000000005</v>
      </c>
      <c r="D64" s="1">
        <v>284.38663000000003</v>
      </c>
      <c r="E64" s="1">
        <v>354.88200000000006</v>
      </c>
      <c r="F64" s="1">
        <v>408.80400000000003</v>
      </c>
      <c r="G64" s="1">
        <v>442.66200000000003</v>
      </c>
      <c r="H64" s="1">
        <v>474.01200000000006</v>
      </c>
      <c r="I64" s="1">
        <v>611.95200000000011</v>
      </c>
      <c r="J64" s="1">
        <v>706.2</v>
      </c>
    </row>
    <row r="65" spans="1:10" x14ac:dyDescent="0.25">
      <c r="A65" t="s">
        <v>37</v>
      </c>
      <c r="B65" t="s">
        <v>819</v>
      </c>
      <c r="C65" s="1">
        <v>210.17337000000001</v>
      </c>
      <c r="D65" s="1">
        <v>225.57337000000001</v>
      </c>
      <c r="E65" s="1">
        <v>266.56663000000003</v>
      </c>
      <c r="F65" s="1">
        <v>292.96663000000001</v>
      </c>
      <c r="G65" s="1">
        <v>318.26663000000002</v>
      </c>
      <c r="H65" s="1">
        <v>340.56000000000006</v>
      </c>
      <c r="I65" s="1">
        <v>461.56000000000006</v>
      </c>
      <c r="J65" s="1">
        <v>581.90000000000009</v>
      </c>
    </row>
    <row r="66" spans="1:10" x14ac:dyDescent="0.25">
      <c r="A66" t="s">
        <v>37</v>
      </c>
      <c r="B66" t="s">
        <v>828</v>
      </c>
      <c r="C66" s="1">
        <v>164.45000000000002</v>
      </c>
      <c r="D66" s="1">
        <v>157.08000000000001</v>
      </c>
      <c r="E66" s="1">
        <v>215.60000000000002</v>
      </c>
      <c r="F66" s="1">
        <v>258.32400000000001</v>
      </c>
      <c r="G66" s="1">
        <v>274.50500000000005</v>
      </c>
      <c r="H66" s="1">
        <v>316.00799999999998</v>
      </c>
      <c r="I66" s="1">
        <v>528.69299999999998</v>
      </c>
      <c r="J66" s="1">
        <v>630.03600000000006</v>
      </c>
    </row>
    <row r="67" spans="1:10" x14ac:dyDescent="0.25">
      <c r="A67" t="s">
        <v>37</v>
      </c>
      <c r="B67" t="s">
        <v>846</v>
      </c>
      <c r="C67" s="1">
        <v>113.30000000000001</v>
      </c>
      <c r="D67" s="1">
        <v>113.30000000000001</v>
      </c>
      <c r="E67" s="1">
        <v>121.00000000000001</v>
      </c>
      <c r="F67" s="1">
        <v>126.50000000000001</v>
      </c>
      <c r="G67" s="1">
        <v>154</v>
      </c>
      <c r="H67" s="1">
        <v>166.10000000000002</v>
      </c>
      <c r="I67" s="1">
        <v>326.70000000000005</v>
      </c>
      <c r="J67" s="1">
        <v>388.85</v>
      </c>
    </row>
    <row r="68" spans="1:10" x14ac:dyDescent="0.25">
      <c r="A68" t="s">
        <v>37</v>
      </c>
      <c r="B68" t="s">
        <v>855</v>
      </c>
      <c r="C68" s="1">
        <v>189.05337000000003</v>
      </c>
      <c r="D68" s="1">
        <v>195.65337000000002</v>
      </c>
      <c r="E68" s="1">
        <v>231.91663000000003</v>
      </c>
      <c r="F68" s="1">
        <v>266.01663000000002</v>
      </c>
      <c r="G68" s="1">
        <v>287.16600000000005</v>
      </c>
      <c r="H68" s="1">
        <v>306.68000000000006</v>
      </c>
      <c r="I68" s="1">
        <v>422.59800000000007</v>
      </c>
      <c r="J68" s="1">
        <v>477.411</v>
      </c>
    </row>
    <row r="69" spans="1:10" x14ac:dyDescent="0.25">
      <c r="A69" t="s">
        <v>37</v>
      </c>
      <c r="B69" t="s">
        <v>864</v>
      </c>
      <c r="C69" s="1">
        <v>174.46</v>
      </c>
      <c r="D69" s="1">
        <v>181.06</v>
      </c>
      <c r="E69" s="1">
        <v>200.20000000000002</v>
      </c>
      <c r="F69" s="1">
        <v>209.00000000000003</v>
      </c>
      <c r="G69" s="1">
        <v>233.20000000000002</v>
      </c>
      <c r="H69" s="1">
        <v>244.20000000000002</v>
      </c>
      <c r="I69" s="1">
        <v>363.858</v>
      </c>
      <c r="J69" s="1">
        <v>418.80300000000005</v>
      </c>
    </row>
    <row r="70" spans="1:10" x14ac:dyDescent="0.25">
      <c r="A70" t="s">
        <v>37</v>
      </c>
      <c r="B70" t="s">
        <v>882</v>
      </c>
      <c r="C70" s="1">
        <v>334.55400000000003</v>
      </c>
      <c r="D70" s="1">
        <v>356.84000000000003</v>
      </c>
      <c r="E70" s="1">
        <v>395.45000000000005</v>
      </c>
      <c r="F70" s="1">
        <v>449.32800000000003</v>
      </c>
      <c r="G70" s="1">
        <v>483.51600000000002</v>
      </c>
      <c r="H70" s="1">
        <v>549.45000000000005</v>
      </c>
      <c r="I70" s="1">
        <v>622.71</v>
      </c>
      <c r="J70" s="1">
        <v>655.67700000000013</v>
      </c>
    </row>
    <row r="71" spans="1:10" x14ac:dyDescent="0.25">
      <c r="A71" t="s">
        <v>37</v>
      </c>
      <c r="B71" t="s">
        <v>909</v>
      </c>
      <c r="C71" s="1">
        <v>83.526630000000011</v>
      </c>
      <c r="D71" s="1">
        <v>83.526630000000011</v>
      </c>
      <c r="E71" s="1">
        <v>97.533370000000019</v>
      </c>
      <c r="F71" s="1">
        <v>101.93337000000001</v>
      </c>
      <c r="G71" s="1">
        <v>114.03337000000002</v>
      </c>
      <c r="H71" s="1">
        <v>134.31</v>
      </c>
      <c r="I71" s="1">
        <v>223.44300000000001</v>
      </c>
      <c r="J71" s="1">
        <v>290.59800000000001</v>
      </c>
    </row>
    <row r="72" spans="1:10" x14ac:dyDescent="0.25">
      <c r="A72" t="s">
        <v>333</v>
      </c>
      <c r="B72" t="s">
        <v>46</v>
      </c>
      <c r="C72" s="1">
        <v>333.33299999999997</v>
      </c>
      <c r="D72" s="1">
        <v>347.98500000000007</v>
      </c>
      <c r="E72" s="1">
        <v>402.93000000000006</v>
      </c>
      <c r="F72" s="1">
        <v>439.56000000000006</v>
      </c>
      <c r="G72" s="1">
        <v>488.40000000000003</v>
      </c>
      <c r="H72" s="1">
        <v>518.92500000000007</v>
      </c>
      <c r="I72" s="1">
        <v>680.09699999999998</v>
      </c>
      <c r="J72" s="1">
        <v>721.6110000000001</v>
      </c>
    </row>
    <row r="73" spans="1:10" x14ac:dyDescent="0.25">
      <c r="A73" t="s">
        <v>333</v>
      </c>
      <c r="B73" t="s">
        <v>82</v>
      </c>
      <c r="C73" s="1">
        <v>152.625</v>
      </c>
      <c r="D73" s="1">
        <v>158.73000000000002</v>
      </c>
      <c r="E73" s="1">
        <v>244.20000000000002</v>
      </c>
      <c r="F73" s="1">
        <v>262.51500000000004</v>
      </c>
      <c r="G73" s="1">
        <v>305.25</v>
      </c>
      <c r="H73" s="1">
        <v>323.565</v>
      </c>
      <c r="I73" s="1">
        <v>384.61500000000001</v>
      </c>
      <c r="J73" s="1">
        <v>415.14</v>
      </c>
    </row>
    <row r="74" spans="1:10" x14ac:dyDescent="0.25">
      <c r="A74" t="s">
        <v>333</v>
      </c>
      <c r="B74" t="s">
        <v>100</v>
      </c>
      <c r="C74" s="1">
        <v>332.31000000000006</v>
      </c>
      <c r="D74" s="1">
        <v>344.85</v>
      </c>
      <c r="E74" s="1">
        <v>457.71000000000004</v>
      </c>
      <c r="F74" s="1">
        <v>470.25000000000006</v>
      </c>
      <c r="G74" s="1">
        <v>507.87</v>
      </c>
      <c r="H74" s="1">
        <v>526.68000000000006</v>
      </c>
      <c r="I74" s="1">
        <v>677.16000000000008</v>
      </c>
      <c r="J74" s="1">
        <v>683.43</v>
      </c>
    </row>
    <row r="75" spans="1:10" x14ac:dyDescent="0.25">
      <c r="A75" t="s">
        <v>333</v>
      </c>
      <c r="B75" t="s">
        <v>109</v>
      </c>
      <c r="C75" s="1">
        <v>213.18000000000004</v>
      </c>
      <c r="D75" s="1">
        <v>225.72</v>
      </c>
      <c r="E75" s="1">
        <v>263.34000000000003</v>
      </c>
      <c r="F75" s="1">
        <v>282.15000000000003</v>
      </c>
      <c r="G75" s="1">
        <v>313.5</v>
      </c>
      <c r="H75" s="1">
        <v>332.31000000000006</v>
      </c>
      <c r="I75" s="1">
        <v>488.40000000000003</v>
      </c>
      <c r="J75" s="1">
        <v>500.61000000000007</v>
      </c>
    </row>
    <row r="76" spans="1:10" x14ac:dyDescent="0.25">
      <c r="A76" t="s">
        <v>333</v>
      </c>
      <c r="B76" t="s">
        <v>118</v>
      </c>
      <c r="C76" s="1">
        <v>256.41000000000003</v>
      </c>
      <c r="D76" s="1">
        <v>268.62</v>
      </c>
      <c r="E76" s="1">
        <v>318.63337000000001</v>
      </c>
      <c r="F76" s="1">
        <v>329.63337000000001</v>
      </c>
      <c r="G76" s="1">
        <v>383.39400000000006</v>
      </c>
      <c r="H76" s="1">
        <v>404.15100000000007</v>
      </c>
      <c r="I76" s="1">
        <v>441.76000000000005</v>
      </c>
      <c r="J76" s="1">
        <v>472.52700000000004</v>
      </c>
    </row>
    <row r="77" spans="1:10" x14ac:dyDescent="0.25">
      <c r="A77" t="s">
        <v>333</v>
      </c>
      <c r="B77" t="s">
        <v>127</v>
      </c>
      <c r="C77" s="1">
        <v>268.62</v>
      </c>
      <c r="D77" s="1">
        <v>280.83000000000004</v>
      </c>
      <c r="E77" s="1">
        <v>317.46000000000004</v>
      </c>
      <c r="F77" s="1">
        <v>335.77500000000003</v>
      </c>
      <c r="G77" s="1">
        <v>366.3</v>
      </c>
      <c r="H77" s="1">
        <v>378.51000000000005</v>
      </c>
      <c r="I77" s="1">
        <v>633.69900000000007</v>
      </c>
      <c r="J77" s="1">
        <v>666.66599999999994</v>
      </c>
    </row>
    <row r="78" spans="1:10" x14ac:dyDescent="0.25">
      <c r="A78" t="s">
        <v>333</v>
      </c>
      <c r="B78" t="s">
        <v>136</v>
      </c>
      <c r="C78" s="1">
        <v>205.92000000000002</v>
      </c>
      <c r="D78" s="1">
        <v>218.79000000000002</v>
      </c>
      <c r="E78" s="1">
        <v>270.27</v>
      </c>
      <c r="F78" s="1">
        <v>283.14</v>
      </c>
      <c r="G78" s="1">
        <v>321.75</v>
      </c>
      <c r="H78" s="1">
        <v>341.05500000000006</v>
      </c>
      <c r="I78" s="1">
        <v>568.98599999999999</v>
      </c>
      <c r="J78" s="1">
        <v>583.63800000000015</v>
      </c>
    </row>
    <row r="79" spans="1:10" x14ac:dyDescent="0.25">
      <c r="A79" t="s">
        <v>333</v>
      </c>
      <c r="B79" t="s">
        <v>190</v>
      </c>
      <c r="C79" s="1">
        <v>150.48000000000002</v>
      </c>
      <c r="D79" s="1">
        <v>163.02000000000001</v>
      </c>
      <c r="E79" s="1">
        <v>188.10000000000002</v>
      </c>
      <c r="F79" s="1">
        <v>200.64000000000001</v>
      </c>
      <c r="G79" s="1">
        <v>250.8</v>
      </c>
      <c r="H79" s="1">
        <v>256.41000000000003</v>
      </c>
      <c r="I79" s="1">
        <v>312.83999999999997</v>
      </c>
      <c r="J79" s="1">
        <v>334.67500000000001</v>
      </c>
    </row>
    <row r="80" spans="1:10" x14ac:dyDescent="0.25">
      <c r="A80" t="s">
        <v>333</v>
      </c>
      <c r="B80" t="s">
        <v>199</v>
      </c>
      <c r="C80" s="1">
        <v>128.70000000000002</v>
      </c>
      <c r="D80" s="1">
        <v>135.13499999999999</v>
      </c>
      <c r="E80" s="1">
        <v>220.077</v>
      </c>
      <c r="F80" s="1">
        <v>234.23400000000001</v>
      </c>
      <c r="G80" s="1">
        <v>270.27</v>
      </c>
      <c r="H80" s="1">
        <v>292.149</v>
      </c>
      <c r="I80" s="1">
        <v>424.71000000000004</v>
      </c>
      <c r="J80" s="1">
        <v>454.31100000000004</v>
      </c>
    </row>
    <row r="81" spans="1:10" x14ac:dyDescent="0.25">
      <c r="A81" t="s">
        <v>333</v>
      </c>
      <c r="B81" t="s">
        <v>208</v>
      </c>
      <c r="C81" s="1">
        <v>119.65800000000002</v>
      </c>
      <c r="D81" s="1">
        <v>124.54200000000002</v>
      </c>
      <c r="E81" s="1">
        <v>158.73000000000002</v>
      </c>
      <c r="F81" s="1">
        <v>158.73000000000002</v>
      </c>
      <c r="G81" s="1">
        <v>189.25500000000002</v>
      </c>
      <c r="H81" s="1">
        <v>189.25500000000002</v>
      </c>
      <c r="I81" s="1">
        <v>625.15200000000016</v>
      </c>
      <c r="J81" s="1">
        <v>625.07500000000005</v>
      </c>
    </row>
    <row r="82" spans="1:10" x14ac:dyDescent="0.25">
      <c r="A82" t="s">
        <v>333</v>
      </c>
      <c r="B82" t="s">
        <v>217</v>
      </c>
      <c r="C82" s="1">
        <v>134.31</v>
      </c>
      <c r="D82" s="1">
        <v>146.52000000000001</v>
      </c>
      <c r="E82" s="1">
        <v>180.03337000000002</v>
      </c>
      <c r="F82" s="1">
        <v>183.15</v>
      </c>
      <c r="G82" s="1">
        <v>219.78000000000003</v>
      </c>
      <c r="H82" s="1">
        <v>231.99000000000004</v>
      </c>
      <c r="I82" s="1">
        <v>286.93500000000006</v>
      </c>
      <c r="J82" s="1">
        <v>305.25</v>
      </c>
    </row>
    <row r="83" spans="1:10" x14ac:dyDescent="0.25">
      <c r="A83" t="s">
        <v>333</v>
      </c>
      <c r="B83" t="s">
        <v>235</v>
      </c>
      <c r="C83" s="1">
        <v>250.96500000000003</v>
      </c>
      <c r="D83" s="1">
        <v>263.83500000000004</v>
      </c>
      <c r="E83" s="1">
        <v>315.315</v>
      </c>
      <c r="F83" s="1">
        <v>328.18500000000006</v>
      </c>
      <c r="G83" s="1">
        <v>398.97</v>
      </c>
      <c r="H83" s="1">
        <v>418.27500000000003</v>
      </c>
      <c r="I83" s="1">
        <v>501.93000000000006</v>
      </c>
      <c r="J83" s="1">
        <v>521.23500000000001</v>
      </c>
    </row>
    <row r="84" spans="1:10" x14ac:dyDescent="0.25">
      <c r="A84" t="s">
        <v>333</v>
      </c>
      <c r="B84" t="s">
        <v>244</v>
      </c>
      <c r="C84" s="1">
        <v>537.24</v>
      </c>
      <c r="D84" s="1">
        <v>500.57337000000007</v>
      </c>
      <c r="E84" s="1">
        <v>606.46663000000001</v>
      </c>
      <c r="F84" s="1">
        <v>622.96663000000001</v>
      </c>
      <c r="G84" s="1">
        <v>666.96663000000001</v>
      </c>
      <c r="H84" s="1">
        <v>744.81000000000006</v>
      </c>
      <c r="I84" s="1">
        <v>811.36000000000013</v>
      </c>
      <c r="J84" s="1">
        <v>829.95</v>
      </c>
    </row>
    <row r="85" spans="1:10" x14ac:dyDescent="0.25">
      <c r="A85" t="s">
        <v>333</v>
      </c>
      <c r="B85" t="s">
        <v>253</v>
      </c>
      <c r="C85" s="1">
        <v>158.73000000000002</v>
      </c>
      <c r="D85" s="1">
        <v>170.94000000000003</v>
      </c>
      <c r="E85" s="1">
        <v>195.36</v>
      </c>
      <c r="F85" s="1">
        <v>207.57</v>
      </c>
      <c r="G85" s="1">
        <v>256.41000000000003</v>
      </c>
      <c r="H85" s="1">
        <v>268.62</v>
      </c>
      <c r="I85" s="1">
        <v>335.77500000000003</v>
      </c>
      <c r="J85" s="1">
        <v>354.09000000000003</v>
      </c>
    </row>
    <row r="86" spans="1:10" x14ac:dyDescent="0.25">
      <c r="A86" t="s">
        <v>333</v>
      </c>
      <c r="B86" t="s">
        <v>37</v>
      </c>
      <c r="C86" s="1">
        <v>109.89000000000001</v>
      </c>
      <c r="D86" s="1">
        <v>122.10000000000001</v>
      </c>
      <c r="E86" s="1">
        <v>173.98337000000001</v>
      </c>
      <c r="F86" s="1">
        <v>146.52000000000001</v>
      </c>
      <c r="G86" s="1">
        <v>168.48337000000001</v>
      </c>
      <c r="H86" s="1">
        <v>187.88000000000002</v>
      </c>
      <c r="I86" s="1">
        <v>270.38000000000005</v>
      </c>
      <c r="J86" s="1">
        <v>269.22500000000002</v>
      </c>
    </row>
    <row r="87" spans="1:10" x14ac:dyDescent="0.25">
      <c r="A87" t="s">
        <v>333</v>
      </c>
      <c r="B87" t="s">
        <v>279</v>
      </c>
      <c r="C87" s="1">
        <v>146.52000000000001</v>
      </c>
      <c r="D87" s="1">
        <v>158.73000000000002</v>
      </c>
      <c r="E87" s="1">
        <v>195.36</v>
      </c>
      <c r="F87" s="1">
        <v>213.4</v>
      </c>
      <c r="G87" s="1">
        <v>274.72500000000002</v>
      </c>
      <c r="H87" s="1">
        <v>282.48</v>
      </c>
      <c r="I87" s="1">
        <v>348.48</v>
      </c>
      <c r="J87" s="1">
        <v>364.1</v>
      </c>
    </row>
    <row r="88" spans="1:10" x14ac:dyDescent="0.25">
      <c r="A88" t="s">
        <v>333</v>
      </c>
      <c r="B88" t="s">
        <v>306</v>
      </c>
      <c r="C88" s="1">
        <v>207.57</v>
      </c>
      <c r="D88" s="1">
        <v>219.78000000000003</v>
      </c>
      <c r="E88" s="1">
        <v>250.8</v>
      </c>
      <c r="F88" s="1">
        <v>262.51500000000004</v>
      </c>
      <c r="G88" s="1">
        <v>305.25</v>
      </c>
      <c r="H88" s="1">
        <v>323.565</v>
      </c>
      <c r="I88" s="1">
        <v>384.61500000000001</v>
      </c>
      <c r="J88" s="1">
        <v>415.14</v>
      </c>
    </row>
    <row r="89" spans="1:10" x14ac:dyDescent="0.25">
      <c r="A89" t="s">
        <v>333</v>
      </c>
      <c r="B89" t="s">
        <v>315</v>
      </c>
      <c r="C89" s="1">
        <v>166.02300000000002</v>
      </c>
      <c r="D89" s="1">
        <v>173.745</v>
      </c>
      <c r="E89" s="1">
        <v>208.494</v>
      </c>
      <c r="F89" s="1">
        <v>227.79900000000004</v>
      </c>
      <c r="G89" s="1">
        <v>261.26100000000002</v>
      </c>
      <c r="H89" s="1">
        <v>285.71400000000006</v>
      </c>
      <c r="I89" s="1">
        <v>416.988</v>
      </c>
      <c r="J89" s="1">
        <v>446.58900000000006</v>
      </c>
    </row>
    <row r="90" spans="1:10" x14ac:dyDescent="0.25">
      <c r="A90" t="s">
        <v>333</v>
      </c>
      <c r="B90" t="s">
        <v>333</v>
      </c>
      <c r="C90" s="1">
        <v>439.56000000000006</v>
      </c>
      <c r="D90" s="1">
        <v>451.77000000000004</v>
      </c>
      <c r="E90" s="1">
        <v>505.63337000000001</v>
      </c>
      <c r="F90" s="1">
        <v>573.87000000000012</v>
      </c>
      <c r="G90" s="1">
        <v>622.71</v>
      </c>
      <c r="H90" s="1">
        <v>634.92000000000007</v>
      </c>
      <c r="I90" s="1">
        <v>715.66000000000008</v>
      </c>
      <c r="J90" s="1">
        <v>728.2</v>
      </c>
    </row>
    <row r="91" spans="1:10" x14ac:dyDescent="0.25">
      <c r="A91" t="s">
        <v>333</v>
      </c>
      <c r="B91" t="s">
        <v>351</v>
      </c>
      <c r="C91" s="1">
        <v>162.16200000000001</v>
      </c>
      <c r="D91" s="1">
        <v>173.745</v>
      </c>
      <c r="E91" s="1">
        <v>180.18000000000004</v>
      </c>
      <c r="F91" s="1">
        <v>190.476</v>
      </c>
      <c r="G91" s="1">
        <v>218.79000000000002</v>
      </c>
      <c r="H91" s="1">
        <v>271.55700000000002</v>
      </c>
      <c r="I91" s="1">
        <v>348.77700000000004</v>
      </c>
      <c r="J91" s="1">
        <v>359.07300000000004</v>
      </c>
    </row>
    <row r="92" spans="1:10" x14ac:dyDescent="0.25">
      <c r="A92" t="s">
        <v>333</v>
      </c>
      <c r="B92" t="s">
        <v>360</v>
      </c>
      <c r="C92" s="1">
        <v>313.5</v>
      </c>
      <c r="D92" s="1">
        <v>326.04000000000002</v>
      </c>
      <c r="E92" s="1">
        <v>376.20000000000005</v>
      </c>
      <c r="F92" s="1">
        <v>395.01000000000005</v>
      </c>
      <c r="G92" s="1">
        <v>451.44</v>
      </c>
      <c r="H92" s="1">
        <v>470.25000000000006</v>
      </c>
      <c r="I92" s="1">
        <v>683.7600000000001</v>
      </c>
      <c r="J92" s="1">
        <v>708.18000000000006</v>
      </c>
    </row>
    <row r="93" spans="1:10" x14ac:dyDescent="0.25">
      <c r="A93" t="s">
        <v>333</v>
      </c>
      <c r="B93" t="s">
        <v>369</v>
      </c>
      <c r="C93" s="1">
        <v>313.5</v>
      </c>
      <c r="D93" s="1">
        <v>326.04000000000002</v>
      </c>
      <c r="E93" s="1">
        <v>376.20000000000005</v>
      </c>
      <c r="F93" s="1">
        <v>395.01000000000005</v>
      </c>
      <c r="G93" s="1">
        <v>451.44</v>
      </c>
      <c r="H93" s="1">
        <v>470.25000000000006</v>
      </c>
      <c r="I93" s="1">
        <v>702.24</v>
      </c>
      <c r="J93" s="1">
        <v>727.32000000000016</v>
      </c>
    </row>
    <row r="94" spans="1:10" x14ac:dyDescent="0.25">
      <c r="A94" t="s">
        <v>333</v>
      </c>
      <c r="B94" t="s">
        <v>387</v>
      </c>
      <c r="C94" s="1">
        <v>177.04500000000002</v>
      </c>
      <c r="D94" s="1">
        <v>189.25500000000002</v>
      </c>
      <c r="E94" s="1">
        <v>274.72500000000002</v>
      </c>
      <c r="F94" s="1">
        <v>286.93500000000006</v>
      </c>
      <c r="G94" s="1">
        <v>323.565</v>
      </c>
      <c r="H94" s="1">
        <v>335.77500000000003</v>
      </c>
      <c r="I94" s="1">
        <v>482.29500000000002</v>
      </c>
      <c r="J94" s="1">
        <v>488.40000000000003</v>
      </c>
    </row>
    <row r="95" spans="1:10" x14ac:dyDescent="0.25">
      <c r="A95" t="s">
        <v>333</v>
      </c>
      <c r="B95" t="s">
        <v>405</v>
      </c>
      <c r="C95" s="1">
        <v>327.22800000000007</v>
      </c>
      <c r="D95" s="1">
        <v>340.65900000000005</v>
      </c>
      <c r="E95" s="1">
        <v>382.17300000000006</v>
      </c>
      <c r="F95" s="1">
        <v>416.36100000000005</v>
      </c>
      <c r="G95" s="1">
        <v>467.64300000000003</v>
      </c>
      <c r="H95" s="1">
        <v>500.61000000000007</v>
      </c>
      <c r="I95" s="1">
        <v>617.82600000000002</v>
      </c>
      <c r="J95" s="1">
        <v>659.34</v>
      </c>
    </row>
    <row r="96" spans="1:10" x14ac:dyDescent="0.25">
      <c r="A96" t="s">
        <v>333</v>
      </c>
      <c r="B96" t="s">
        <v>432</v>
      </c>
      <c r="C96" s="1">
        <v>305.25</v>
      </c>
      <c r="D96" s="1">
        <v>136.75200000000001</v>
      </c>
      <c r="E96" s="1">
        <v>366.3</v>
      </c>
      <c r="F96" s="1">
        <v>353.28337000000005</v>
      </c>
      <c r="G96" s="1">
        <v>439.56000000000006</v>
      </c>
      <c r="H96" s="1">
        <v>457.87500000000006</v>
      </c>
      <c r="I96" s="1">
        <v>752.13600000000008</v>
      </c>
      <c r="J96" s="1">
        <v>791.20800000000008</v>
      </c>
    </row>
    <row r="97" spans="1:10" x14ac:dyDescent="0.25">
      <c r="A97" t="s">
        <v>333</v>
      </c>
      <c r="B97" t="s">
        <v>441</v>
      </c>
      <c r="C97" s="1">
        <v>132.80663000000001</v>
      </c>
      <c r="D97" s="1">
        <v>137.94000000000003</v>
      </c>
      <c r="E97" s="1">
        <v>162.16200000000001</v>
      </c>
      <c r="F97" s="1">
        <v>173.745</v>
      </c>
      <c r="G97" s="1">
        <v>194.33699999999999</v>
      </c>
      <c r="H97" s="1">
        <v>209.41800000000001</v>
      </c>
      <c r="I97" s="1">
        <v>244.53000000000003</v>
      </c>
      <c r="J97" s="1">
        <v>253.53900000000004</v>
      </c>
    </row>
    <row r="98" spans="1:10" x14ac:dyDescent="0.25">
      <c r="A98" t="s">
        <v>333</v>
      </c>
      <c r="B98" t="s">
        <v>450</v>
      </c>
      <c r="C98" s="1">
        <v>180.18000000000004</v>
      </c>
      <c r="D98" s="1">
        <v>186.84600000000003</v>
      </c>
      <c r="E98" s="1">
        <v>250.8</v>
      </c>
      <c r="F98" s="1">
        <v>288.42</v>
      </c>
      <c r="G98" s="1">
        <v>313.5</v>
      </c>
      <c r="H98" s="1">
        <v>390.72</v>
      </c>
      <c r="I98" s="1">
        <v>451.44</v>
      </c>
      <c r="J98" s="1">
        <v>457.71000000000004</v>
      </c>
    </row>
    <row r="99" spans="1:10" x14ac:dyDescent="0.25">
      <c r="A99" t="s">
        <v>333</v>
      </c>
      <c r="B99" t="s">
        <v>468</v>
      </c>
      <c r="C99" s="1">
        <v>206.06663000000003</v>
      </c>
      <c r="D99" s="1">
        <v>213.64200000000002</v>
      </c>
      <c r="E99" s="1">
        <v>245.81700000000001</v>
      </c>
      <c r="F99" s="1">
        <v>261.26100000000002</v>
      </c>
      <c r="G99" s="1">
        <v>284.42700000000002</v>
      </c>
      <c r="H99" s="1">
        <v>332.04600000000005</v>
      </c>
      <c r="I99" s="1">
        <v>476.19</v>
      </c>
      <c r="J99" s="1">
        <v>485.29800000000006</v>
      </c>
    </row>
    <row r="100" spans="1:10" x14ac:dyDescent="0.25">
      <c r="A100" t="s">
        <v>333</v>
      </c>
      <c r="B100" t="s">
        <v>522</v>
      </c>
      <c r="C100" s="1">
        <v>657.28663000000006</v>
      </c>
      <c r="D100" s="1">
        <v>736.26300000000015</v>
      </c>
      <c r="E100" s="1">
        <v>742.68337000000008</v>
      </c>
      <c r="F100" s="1">
        <v>832.72200000000009</v>
      </c>
      <c r="G100" s="1">
        <v>860.80500000000006</v>
      </c>
      <c r="H100" s="1">
        <v>855.58</v>
      </c>
      <c r="I100" s="1">
        <v>1031.58</v>
      </c>
      <c r="J100" s="1">
        <v>1082.125</v>
      </c>
    </row>
    <row r="101" spans="1:10" x14ac:dyDescent="0.25">
      <c r="A101" t="s">
        <v>333</v>
      </c>
      <c r="B101" t="s">
        <v>540</v>
      </c>
      <c r="C101" s="1">
        <v>128.70000000000002</v>
      </c>
      <c r="D101" s="1">
        <v>141.57</v>
      </c>
      <c r="E101" s="1">
        <v>160.875</v>
      </c>
      <c r="F101" s="1">
        <v>173.745</v>
      </c>
      <c r="G101" s="1">
        <v>205.92000000000002</v>
      </c>
      <c r="H101" s="1">
        <v>225.22500000000002</v>
      </c>
      <c r="I101" s="1">
        <v>308.88000000000005</v>
      </c>
      <c r="J101" s="1">
        <v>319.77000000000004</v>
      </c>
    </row>
    <row r="102" spans="1:10" x14ac:dyDescent="0.25">
      <c r="A102" t="s">
        <v>333</v>
      </c>
      <c r="B102" t="s">
        <v>594</v>
      </c>
      <c r="C102" s="1">
        <v>309.61337000000003</v>
      </c>
      <c r="D102" s="1">
        <v>308.88000000000005</v>
      </c>
      <c r="E102" s="1">
        <v>341.05500000000006</v>
      </c>
      <c r="F102" s="1">
        <v>353.92500000000001</v>
      </c>
      <c r="G102" s="1">
        <v>373.23</v>
      </c>
      <c r="H102" s="1">
        <v>392.53500000000008</v>
      </c>
      <c r="I102" s="1">
        <v>553.41000000000008</v>
      </c>
      <c r="J102" s="1">
        <v>572.71500000000003</v>
      </c>
    </row>
    <row r="103" spans="1:10" x14ac:dyDescent="0.25">
      <c r="A103" t="s">
        <v>333</v>
      </c>
      <c r="B103" t="s">
        <v>603</v>
      </c>
      <c r="C103" s="1">
        <v>520.14600000000007</v>
      </c>
      <c r="D103" s="1">
        <v>542.12400000000002</v>
      </c>
      <c r="E103" s="1">
        <v>561.66000000000008</v>
      </c>
      <c r="F103" s="1">
        <v>583.63800000000015</v>
      </c>
      <c r="G103" s="1">
        <v>632.47800000000007</v>
      </c>
      <c r="H103" s="1">
        <v>711.84300000000007</v>
      </c>
      <c r="I103" s="1">
        <v>902.31900000000007</v>
      </c>
      <c r="J103" s="1">
        <v>943.83300000000008</v>
      </c>
    </row>
    <row r="104" spans="1:10" x14ac:dyDescent="0.25">
      <c r="A104" t="s">
        <v>333</v>
      </c>
      <c r="B104" t="s">
        <v>630</v>
      </c>
      <c r="C104" s="1">
        <v>213.67500000000001</v>
      </c>
      <c r="D104" s="1">
        <v>225.88500000000002</v>
      </c>
      <c r="E104" s="1">
        <v>323.565</v>
      </c>
      <c r="F104" s="1">
        <v>335.77500000000003</v>
      </c>
      <c r="G104" s="1">
        <v>372.40500000000003</v>
      </c>
      <c r="H104" s="1">
        <v>390.72</v>
      </c>
      <c r="I104" s="1">
        <v>537.24</v>
      </c>
      <c r="J104" s="1">
        <v>549.45000000000005</v>
      </c>
    </row>
    <row r="105" spans="1:10" x14ac:dyDescent="0.25">
      <c r="A105" t="s">
        <v>333</v>
      </c>
      <c r="B105" t="s">
        <v>639</v>
      </c>
      <c r="C105" s="1">
        <v>213.18000000000004</v>
      </c>
      <c r="D105" s="1">
        <v>225.72</v>
      </c>
      <c r="E105" s="1">
        <v>263.08337</v>
      </c>
      <c r="F105" s="1">
        <v>269.61</v>
      </c>
      <c r="G105" s="1">
        <v>313.5</v>
      </c>
      <c r="H105" s="1">
        <v>332.31000000000006</v>
      </c>
      <c r="I105" s="1">
        <v>395.01000000000005</v>
      </c>
      <c r="J105" s="1">
        <v>426.36000000000007</v>
      </c>
    </row>
    <row r="106" spans="1:10" x14ac:dyDescent="0.25">
      <c r="A106" t="s">
        <v>333</v>
      </c>
      <c r="B106" t="s">
        <v>648</v>
      </c>
      <c r="C106" s="1">
        <v>293.04000000000002</v>
      </c>
      <c r="D106" s="1">
        <v>305.25</v>
      </c>
      <c r="E106" s="1">
        <v>341.88000000000005</v>
      </c>
      <c r="F106" s="1">
        <v>360.19499999999999</v>
      </c>
      <c r="G106" s="1">
        <v>384.61500000000001</v>
      </c>
      <c r="H106" s="1">
        <v>402.93000000000006</v>
      </c>
      <c r="I106" s="1">
        <v>549.45000000000005</v>
      </c>
      <c r="J106" s="1">
        <v>598.29000000000008</v>
      </c>
    </row>
    <row r="107" spans="1:10" x14ac:dyDescent="0.25">
      <c r="A107" t="s">
        <v>333</v>
      </c>
      <c r="B107" t="s">
        <v>657</v>
      </c>
      <c r="C107" s="1">
        <v>183.15</v>
      </c>
      <c r="D107" s="1">
        <v>195.36</v>
      </c>
      <c r="E107" s="1">
        <v>280.83000000000004</v>
      </c>
      <c r="F107" s="1">
        <v>293.04000000000002</v>
      </c>
      <c r="G107" s="1">
        <v>329.67</v>
      </c>
      <c r="H107" s="1">
        <v>347.98500000000007</v>
      </c>
      <c r="I107" s="1">
        <v>494.50500000000005</v>
      </c>
      <c r="J107" s="1">
        <v>506.71500000000003</v>
      </c>
    </row>
    <row r="108" spans="1:10" x14ac:dyDescent="0.25">
      <c r="A108" t="s">
        <v>333</v>
      </c>
      <c r="B108" t="s">
        <v>675</v>
      </c>
      <c r="C108" s="1">
        <v>326.04000000000002</v>
      </c>
      <c r="D108" s="1">
        <v>338.58000000000004</v>
      </c>
      <c r="E108" s="1">
        <v>352.73337000000004</v>
      </c>
      <c r="F108" s="1">
        <v>401.28000000000003</v>
      </c>
      <c r="G108" s="1">
        <v>482.79</v>
      </c>
      <c r="H108" s="1">
        <v>460.68000000000006</v>
      </c>
      <c r="I108" s="1">
        <v>669.68</v>
      </c>
      <c r="J108" s="1">
        <v>689.15000000000009</v>
      </c>
    </row>
    <row r="109" spans="1:10" x14ac:dyDescent="0.25">
      <c r="A109" t="s">
        <v>333</v>
      </c>
      <c r="B109" t="s">
        <v>684</v>
      </c>
      <c r="C109" s="1">
        <v>180.18000000000004</v>
      </c>
      <c r="D109" s="1">
        <v>193.05</v>
      </c>
      <c r="E109" s="1">
        <v>231.66000000000003</v>
      </c>
      <c r="F109" s="1">
        <v>257.40000000000003</v>
      </c>
      <c r="G109" s="1">
        <v>357.786</v>
      </c>
      <c r="H109" s="1">
        <v>367.42200000000003</v>
      </c>
      <c r="I109" s="1">
        <v>416.988</v>
      </c>
      <c r="J109" s="1">
        <v>438.86700000000008</v>
      </c>
    </row>
    <row r="110" spans="1:10" x14ac:dyDescent="0.25">
      <c r="A110" t="s">
        <v>333</v>
      </c>
      <c r="B110" t="s">
        <v>702</v>
      </c>
      <c r="C110" s="1">
        <v>205.92000000000002</v>
      </c>
      <c r="D110" s="1">
        <v>218.79000000000002</v>
      </c>
      <c r="E110" s="1">
        <v>300.96000000000004</v>
      </c>
      <c r="F110" s="1">
        <v>313.5</v>
      </c>
      <c r="G110" s="1">
        <v>351.12</v>
      </c>
      <c r="H110" s="1">
        <v>369.93000000000006</v>
      </c>
      <c r="I110" s="1">
        <v>520.41000000000008</v>
      </c>
      <c r="J110" s="1">
        <v>532.95000000000005</v>
      </c>
    </row>
    <row r="111" spans="1:10" x14ac:dyDescent="0.25">
      <c r="A111" t="s">
        <v>333</v>
      </c>
      <c r="B111" t="s">
        <v>729</v>
      </c>
      <c r="C111" s="1">
        <v>186.26663000000002</v>
      </c>
      <c r="D111" s="1">
        <v>197.26663000000002</v>
      </c>
      <c r="E111" s="1">
        <v>210.83337</v>
      </c>
      <c r="F111" s="1">
        <v>216.11337000000003</v>
      </c>
      <c r="G111" s="1">
        <v>370.33337</v>
      </c>
      <c r="H111" s="1">
        <v>230.76900000000001</v>
      </c>
      <c r="I111" s="1">
        <v>394.90000000000003</v>
      </c>
      <c r="J111" s="1">
        <v>406.45000000000005</v>
      </c>
    </row>
    <row r="112" spans="1:10" x14ac:dyDescent="0.25">
      <c r="A112" t="s">
        <v>333</v>
      </c>
      <c r="B112" t="s">
        <v>738</v>
      </c>
      <c r="C112" s="1">
        <v>159.95100000000002</v>
      </c>
      <c r="D112" s="1">
        <v>156.71337000000003</v>
      </c>
      <c r="E112" s="1">
        <v>208.79100000000003</v>
      </c>
      <c r="F112" s="1">
        <v>242.97900000000001</v>
      </c>
      <c r="G112" s="1">
        <v>261.29400000000004</v>
      </c>
      <c r="H112" s="1">
        <v>315.01800000000003</v>
      </c>
      <c r="I112" s="1">
        <v>389.49900000000002</v>
      </c>
      <c r="J112" s="1">
        <v>374.27500000000003</v>
      </c>
    </row>
    <row r="113" spans="1:10" x14ac:dyDescent="0.25">
      <c r="A113" t="s">
        <v>333</v>
      </c>
      <c r="B113" t="s">
        <v>747</v>
      </c>
      <c r="C113" s="1">
        <v>174.53336999999999</v>
      </c>
      <c r="D113" s="1">
        <v>189.25500000000002</v>
      </c>
      <c r="E113" s="1">
        <v>204.40200000000002</v>
      </c>
      <c r="F113" s="1">
        <v>219.45000000000002</v>
      </c>
      <c r="G113" s="1">
        <v>247.03800000000004</v>
      </c>
      <c r="H113" s="1">
        <v>271.06200000000001</v>
      </c>
      <c r="I113" s="1">
        <v>328.54800000000006</v>
      </c>
      <c r="J113" s="1">
        <v>342.34200000000004</v>
      </c>
    </row>
    <row r="114" spans="1:10" x14ac:dyDescent="0.25">
      <c r="A114" t="s">
        <v>333</v>
      </c>
      <c r="B114" t="s">
        <v>756</v>
      </c>
      <c r="C114" s="1">
        <v>168.036</v>
      </c>
      <c r="D114" s="1">
        <v>174.30600000000001</v>
      </c>
      <c r="E114" s="1">
        <v>209.41800000000001</v>
      </c>
      <c r="F114" s="1">
        <v>221.95800000000003</v>
      </c>
      <c r="G114" s="1">
        <v>260.83200000000005</v>
      </c>
      <c r="H114" s="1">
        <v>307.23</v>
      </c>
      <c r="I114" s="1">
        <v>406.59300000000002</v>
      </c>
      <c r="J114" s="1">
        <v>444.44400000000007</v>
      </c>
    </row>
    <row r="115" spans="1:10" x14ac:dyDescent="0.25">
      <c r="A115" t="s">
        <v>333</v>
      </c>
      <c r="B115" t="s">
        <v>765</v>
      </c>
      <c r="C115" s="1">
        <v>720.39</v>
      </c>
      <c r="D115" s="1">
        <v>749.69400000000007</v>
      </c>
      <c r="E115" s="1">
        <v>819.29100000000005</v>
      </c>
      <c r="F115" s="1">
        <v>868.13100000000009</v>
      </c>
      <c r="G115" s="1">
        <v>905.38800000000015</v>
      </c>
      <c r="H115" s="1">
        <v>976.80000000000007</v>
      </c>
      <c r="I115" s="1">
        <v>1134.8700000000001</v>
      </c>
      <c r="J115" s="1">
        <v>1178.76</v>
      </c>
    </row>
    <row r="116" spans="1:10" x14ac:dyDescent="0.25">
      <c r="A116" t="s">
        <v>333</v>
      </c>
      <c r="B116" t="s">
        <v>783</v>
      </c>
      <c r="C116" s="1">
        <v>196.97337000000002</v>
      </c>
      <c r="D116" s="1">
        <v>219.78000000000003</v>
      </c>
      <c r="E116" s="1">
        <v>317.46000000000004</v>
      </c>
      <c r="F116" s="1">
        <v>329.67</v>
      </c>
      <c r="G116" s="1">
        <v>366.3</v>
      </c>
      <c r="H116" s="1">
        <v>384.61500000000001</v>
      </c>
      <c r="I116" s="1">
        <v>531.1350000000001</v>
      </c>
      <c r="J116" s="1">
        <v>543.34500000000003</v>
      </c>
    </row>
    <row r="117" spans="1:10" x14ac:dyDescent="0.25">
      <c r="A117" t="s">
        <v>333</v>
      </c>
      <c r="B117" t="s">
        <v>792</v>
      </c>
      <c r="C117" s="1">
        <v>172.45800000000003</v>
      </c>
      <c r="D117" s="1">
        <v>178.893</v>
      </c>
      <c r="E117" s="1">
        <v>218.79000000000002</v>
      </c>
      <c r="F117" s="1">
        <v>236.80800000000002</v>
      </c>
      <c r="G117" s="1">
        <v>267.69600000000003</v>
      </c>
      <c r="H117" s="1">
        <v>294.72300000000001</v>
      </c>
      <c r="I117" s="1">
        <v>427.28400000000005</v>
      </c>
      <c r="J117" s="1">
        <v>468.46800000000002</v>
      </c>
    </row>
    <row r="118" spans="1:10" x14ac:dyDescent="0.25">
      <c r="A118" t="s">
        <v>333</v>
      </c>
      <c r="B118" t="s">
        <v>819</v>
      </c>
      <c r="C118" s="1">
        <v>305.25</v>
      </c>
      <c r="D118" s="1">
        <v>308.91300000000001</v>
      </c>
      <c r="E118" s="1">
        <v>362.63700000000006</v>
      </c>
      <c r="F118" s="1">
        <v>396.82500000000005</v>
      </c>
      <c r="G118" s="1">
        <v>426.12900000000002</v>
      </c>
      <c r="H118" s="1">
        <v>455.43299999999999</v>
      </c>
      <c r="I118" s="1">
        <v>604.3950000000001</v>
      </c>
      <c r="J118" s="1">
        <v>741.95</v>
      </c>
    </row>
    <row r="119" spans="1:10" x14ac:dyDescent="0.25">
      <c r="A119" t="s">
        <v>333</v>
      </c>
      <c r="B119" t="s">
        <v>828</v>
      </c>
      <c r="C119" s="1">
        <v>256.41000000000003</v>
      </c>
      <c r="D119" s="1">
        <v>268.62</v>
      </c>
      <c r="E119" s="1">
        <v>300.96000000000004</v>
      </c>
      <c r="F119" s="1">
        <v>317.46000000000004</v>
      </c>
      <c r="G119" s="1">
        <v>351.12</v>
      </c>
      <c r="H119" s="1">
        <v>378.51000000000005</v>
      </c>
      <c r="I119" s="1">
        <v>537.24</v>
      </c>
      <c r="J119" s="1">
        <v>549.45000000000005</v>
      </c>
    </row>
    <row r="120" spans="1:10" x14ac:dyDescent="0.25">
      <c r="A120" t="s">
        <v>333</v>
      </c>
      <c r="B120" t="s">
        <v>846</v>
      </c>
      <c r="C120" s="1">
        <v>239.31600000000003</v>
      </c>
      <c r="D120" s="1">
        <v>247.86300000000003</v>
      </c>
      <c r="E120" s="1">
        <v>247.50000000000003</v>
      </c>
      <c r="F120" s="1">
        <v>261.29400000000004</v>
      </c>
      <c r="G120" s="1">
        <v>344.322</v>
      </c>
      <c r="H120" s="1">
        <v>293.26000000000005</v>
      </c>
      <c r="I120" s="1">
        <v>375.1</v>
      </c>
      <c r="J120" s="1">
        <v>395.45000000000005</v>
      </c>
    </row>
    <row r="121" spans="1:10" x14ac:dyDescent="0.25">
      <c r="A121" t="s">
        <v>333</v>
      </c>
      <c r="B121" t="s">
        <v>855</v>
      </c>
      <c r="C121" s="1">
        <v>280.83000000000004</v>
      </c>
      <c r="D121" s="1">
        <v>293.04000000000002</v>
      </c>
      <c r="E121" s="1">
        <v>316.23900000000003</v>
      </c>
      <c r="F121" s="1">
        <v>361.41600000000005</v>
      </c>
      <c r="G121" s="1">
        <v>389.49900000000002</v>
      </c>
      <c r="H121" s="1">
        <v>444.44400000000007</v>
      </c>
      <c r="I121" s="1">
        <v>579.97500000000002</v>
      </c>
      <c r="J121" s="1">
        <v>732.6</v>
      </c>
    </row>
    <row r="122" spans="1:10" x14ac:dyDescent="0.25">
      <c r="A122" t="s">
        <v>333</v>
      </c>
      <c r="B122" t="s">
        <v>864</v>
      </c>
      <c r="C122" s="1">
        <v>293.04000000000002</v>
      </c>
      <c r="D122" s="1">
        <v>305.25</v>
      </c>
      <c r="E122" s="1">
        <v>353.65000000000003</v>
      </c>
      <c r="F122" s="1">
        <v>364.65000000000003</v>
      </c>
      <c r="G122" s="1">
        <v>433.45500000000004</v>
      </c>
      <c r="H122" s="1">
        <v>451.77000000000004</v>
      </c>
      <c r="I122" s="1">
        <v>531.1350000000001</v>
      </c>
      <c r="J122" s="1">
        <v>549.45000000000005</v>
      </c>
    </row>
    <row r="123" spans="1:10" x14ac:dyDescent="0.25">
      <c r="A123" t="s">
        <v>333</v>
      </c>
      <c r="B123" t="s">
        <v>882</v>
      </c>
      <c r="C123" s="1">
        <v>336.99600000000004</v>
      </c>
      <c r="D123" s="1">
        <v>351.64800000000002</v>
      </c>
      <c r="E123" s="1">
        <v>395.60400000000004</v>
      </c>
      <c r="F123" s="1">
        <v>439.56000000000006</v>
      </c>
      <c r="G123" s="1">
        <v>452.99100000000004</v>
      </c>
      <c r="H123" s="1">
        <v>500.61000000000007</v>
      </c>
      <c r="I123" s="1">
        <v>589.74300000000005</v>
      </c>
      <c r="J123" s="1">
        <v>653.23500000000013</v>
      </c>
    </row>
    <row r="124" spans="1:10" x14ac:dyDescent="0.25">
      <c r="A124" t="s">
        <v>333</v>
      </c>
      <c r="B124" t="s">
        <v>909</v>
      </c>
      <c r="C124" s="1">
        <v>158.73000000000002</v>
      </c>
      <c r="D124" s="1">
        <v>156.12663000000001</v>
      </c>
      <c r="E124" s="1">
        <v>183.15</v>
      </c>
      <c r="F124" s="1">
        <v>208.79100000000003</v>
      </c>
      <c r="G124" s="1">
        <v>236.87400000000002</v>
      </c>
      <c r="H124" s="1">
        <v>266.178</v>
      </c>
      <c r="I124" s="1">
        <v>329.67</v>
      </c>
      <c r="J124" s="1">
        <v>341.88000000000005</v>
      </c>
    </row>
    <row r="125" spans="1:10" x14ac:dyDescent="0.25">
      <c r="A125" t="s">
        <v>333</v>
      </c>
      <c r="B125" t="s">
        <v>1121</v>
      </c>
      <c r="C125" s="1">
        <v>0</v>
      </c>
      <c r="D125" s="1">
        <v>0</v>
      </c>
      <c r="E125" s="1">
        <v>0</v>
      </c>
      <c r="F125" s="1">
        <v>207.9</v>
      </c>
      <c r="G125" s="1">
        <v>233.20000000000002</v>
      </c>
      <c r="H125" s="1">
        <v>288.20000000000005</v>
      </c>
      <c r="I125" s="1">
        <v>308</v>
      </c>
      <c r="J125" s="1">
        <v>379.50000000000006</v>
      </c>
    </row>
    <row r="126" spans="1:10" x14ac:dyDescent="0.25">
      <c r="A126" t="s">
        <v>37</v>
      </c>
      <c r="B126" t="s">
        <v>1121</v>
      </c>
      <c r="C126" s="1">
        <v>0</v>
      </c>
      <c r="D126" s="1">
        <v>0</v>
      </c>
      <c r="E126" s="1">
        <v>0</v>
      </c>
      <c r="F126" s="1">
        <v>289.3</v>
      </c>
      <c r="G126" s="1">
        <v>328.90000000000003</v>
      </c>
      <c r="H126" s="1">
        <v>375.1</v>
      </c>
      <c r="I126" s="1">
        <v>390.50000000000006</v>
      </c>
      <c r="J126" s="1">
        <v>412.50000000000006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9569D-ECE0-4B52-AC5A-9DDA0DB78E30}">
  <sheetPr>
    <tabColor theme="8"/>
  </sheetPr>
  <dimension ref="A1:M199"/>
  <sheetViews>
    <sheetView zoomScale="70" zoomScaleNormal="70" workbookViewId="0">
      <selection activeCell="G42" sqref="G42"/>
    </sheetView>
  </sheetViews>
  <sheetFormatPr baseColWidth="10" defaultColWidth="11.42578125" defaultRowHeight="15" x14ac:dyDescent="0.25"/>
  <cols>
    <col min="2" max="2" width="23.85546875" bestFit="1" customWidth="1"/>
    <col min="3" max="3" width="15.140625" style="1" bestFit="1" customWidth="1"/>
    <col min="4" max="5" width="13.85546875" bestFit="1" customWidth="1"/>
    <col min="6" max="6" width="14.85546875" bestFit="1" customWidth="1"/>
    <col min="7" max="9" width="15.85546875" bestFit="1" customWidth="1"/>
    <col min="10" max="10" width="16.28515625" bestFit="1" customWidth="1"/>
  </cols>
  <sheetData>
    <row r="1" spans="1:10" x14ac:dyDescent="0.25">
      <c r="A1" s="53" t="s">
        <v>1</v>
      </c>
      <c r="B1" s="54" t="s">
        <v>2</v>
      </c>
      <c r="C1" s="55" t="s">
        <v>21</v>
      </c>
      <c r="D1" s="54" t="s">
        <v>29</v>
      </c>
      <c r="E1" s="54" t="s">
        <v>31</v>
      </c>
      <c r="F1" s="54" t="s">
        <v>33</v>
      </c>
      <c r="G1" s="54" t="s">
        <v>23</v>
      </c>
      <c r="H1" s="54" t="s">
        <v>25</v>
      </c>
      <c r="I1" s="54" t="s">
        <v>27</v>
      </c>
      <c r="J1" s="56" t="s">
        <v>35</v>
      </c>
    </row>
    <row r="2" spans="1:10" hidden="1" x14ac:dyDescent="0.25">
      <c r="A2" s="57" t="s">
        <v>37</v>
      </c>
      <c r="B2" s="57" t="s">
        <v>47</v>
      </c>
      <c r="C2" s="58">
        <v>0</v>
      </c>
      <c r="D2" s="59">
        <v>143.85888</v>
      </c>
      <c r="E2" s="59">
        <v>163.81002000000001</v>
      </c>
      <c r="F2" s="59">
        <v>170.87004000000002</v>
      </c>
      <c r="G2" s="59">
        <v>209.02336400000002</v>
      </c>
      <c r="H2" s="59">
        <v>225.72</v>
      </c>
      <c r="I2" s="59">
        <v>312.67236000000003</v>
      </c>
      <c r="J2" s="60">
        <v>336.72408000000001</v>
      </c>
    </row>
    <row r="3" spans="1:10" hidden="1" x14ac:dyDescent="0.25">
      <c r="A3" s="57" t="s">
        <v>37</v>
      </c>
      <c r="B3" s="57" t="s">
        <v>56</v>
      </c>
      <c r="C3" s="58">
        <v>0</v>
      </c>
      <c r="D3" s="59">
        <v>203.41134000000002</v>
      </c>
      <c r="E3" s="59">
        <v>224.990172</v>
      </c>
      <c r="F3" s="59">
        <v>244.53000000000003</v>
      </c>
      <c r="G3" s="59">
        <v>267.20232000000004</v>
      </c>
      <c r="H3" s="59">
        <v>288.2088</v>
      </c>
      <c r="I3" s="59">
        <v>425.77955200000002</v>
      </c>
      <c r="J3" s="60">
        <v>431.19683200000003</v>
      </c>
    </row>
    <row r="4" spans="1:10" hidden="1" x14ac:dyDescent="0.25">
      <c r="A4" s="57" t="s">
        <v>37</v>
      </c>
      <c r="B4" s="57" t="s">
        <v>46</v>
      </c>
      <c r="C4" s="58">
        <v>0</v>
      </c>
      <c r="D4" s="59">
        <v>211.32408000000001</v>
      </c>
      <c r="E4" s="59">
        <v>265.44672000000003</v>
      </c>
      <c r="F4" s="59">
        <v>288.42</v>
      </c>
      <c r="G4" s="59">
        <v>336.82059400000003</v>
      </c>
      <c r="H4" s="59">
        <v>397.29800000000006</v>
      </c>
      <c r="I4" s="59">
        <v>548.17738800000006</v>
      </c>
      <c r="J4" s="60">
        <v>624.822</v>
      </c>
    </row>
    <row r="5" spans="1:10" hidden="1" x14ac:dyDescent="0.25">
      <c r="A5" s="57" t="s">
        <v>37</v>
      </c>
      <c r="B5" s="57" t="s">
        <v>73</v>
      </c>
      <c r="C5" s="58">
        <v>0</v>
      </c>
      <c r="D5" s="59">
        <v>456.98268000000007</v>
      </c>
      <c r="E5" s="59">
        <v>529.96547999999996</v>
      </c>
      <c r="F5" s="59">
        <v>548.78802000000007</v>
      </c>
      <c r="G5" s="59">
        <v>637.88472000000002</v>
      </c>
      <c r="H5" s="59">
        <v>659.85480000000007</v>
      </c>
      <c r="I5" s="59">
        <v>871.58009400000014</v>
      </c>
      <c r="J5" s="60">
        <v>889.91363999999999</v>
      </c>
    </row>
    <row r="6" spans="1:10" hidden="1" x14ac:dyDescent="0.25">
      <c r="A6" s="57" t="s">
        <v>37</v>
      </c>
      <c r="B6" s="57" t="s">
        <v>82</v>
      </c>
      <c r="C6" s="58">
        <v>0</v>
      </c>
      <c r="D6" s="59">
        <v>158.00399999999999</v>
      </c>
      <c r="E6" s="59">
        <v>203.14800000000002</v>
      </c>
      <c r="F6" s="59">
        <v>210.22056000000001</v>
      </c>
      <c r="G6" s="59">
        <v>284.98403999999999</v>
      </c>
      <c r="H6" s="59">
        <v>297.34914000000003</v>
      </c>
      <c r="I6" s="59">
        <v>418.13376000000005</v>
      </c>
      <c r="J6" s="60">
        <v>445.47095999999999</v>
      </c>
    </row>
    <row r="7" spans="1:10" hidden="1" x14ac:dyDescent="0.25">
      <c r="A7" s="57" t="s">
        <v>37</v>
      </c>
      <c r="B7" s="57" t="s">
        <v>91</v>
      </c>
      <c r="C7" s="58">
        <v>0</v>
      </c>
      <c r="D7" s="59">
        <v>195.16002</v>
      </c>
      <c r="E7" s="59">
        <v>227.22479999999999</v>
      </c>
      <c r="F7" s="59">
        <v>241.2696</v>
      </c>
      <c r="G7" s="59">
        <v>283.85543999999999</v>
      </c>
      <c r="H7" s="59">
        <v>316.19279999999998</v>
      </c>
      <c r="I7" s="59">
        <v>454.69353599999999</v>
      </c>
      <c r="J7" s="60">
        <v>480.80868000000004</v>
      </c>
    </row>
    <row r="8" spans="1:10" hidden="1" x14ac:dyDescent="0.25">
      <c r="A8" s="57" t="s">
        <v>37</v>
      </c>
      <c r="B8" s="57" t="s">
        <v>100</v>
      </c>
      <c r="C8" s="58">
        <v>0</v>
      </c>
      <c r="D8" s="59">
        <v>301.16064</v>
      </c>
      <c r="E8" s="59">
        <v>384.104446</v>
      </c>
      <c r="F8" s="59">
        <v>413.89543580000003</v>
      </c>
      <c r="G8" s="59">
        <v>441.89657600000004</v>
      </c>
      <c r="H8" s="59">
        <v>508.1667250000001</v>
      </c>
      <c r="I8" s="59">
        <v>601.47137599999996</v>
      </c>
      <c r="J8" s="60">
        <v>660.90816000000007</v>
      </c>
    </row>
    <row r="9" spans="1:10" hidden="1" x14ac:dyDescent="0.25">
      <c r="A9" s="57" t="s">
        <v>37</v>
      </c>
      <c r="B9" s="57" t="s">
        <v>109</v>
      </c>
      <c r="C9" s="58">
        <v>0</v>
      </c>
      <c r="D9" s="59">
        <v>191.05944000000002</v>
      </c>
      <c r="E9" s="59">
        <v>237.26934000000003</v>
      </c>
      <c r="F9" s="59">
        <v>247.16340000000005</v>
      </c>
      <c r="G9" s="59">
        <v>253.05720000000002</v>
      </c>
      <c r="H9" s="59">
        <v>285.91200000000003</v>
      </c>
      <c r="I9" s="59">
        <v>434.97572800000006</v>
      </c>
      <c r="J9" s="60">
        <v>480.48326700000007</v>
      </c>
    </row>
    <row r="10" spans="1:10" hidden="1" x14ac:dyDescent="0.25">
      <c r="A10" s="57" t="s">
        <v>37</v>
      </c>
      <c r="B10" s="57" t="s">
        <v>118</v>
      </c>
      <c r="C10" s="58">
        <v>0</v>
      </c>
      <c r="D10" s="59">
        <v>155.75934000000001</v>
      </c>
      <c r="E10" s="59">
        <v>170.90348</v>
      </c>
      <c r="F10" s="59">
        <v>182.74124</v>
      </c>
      <c r="G10" s="59">
        <v>208.97800000000001</v>
      </c>
      <c r="H10" s="59">
        <v>216.57900000000001</v>
      </c>
      <c r="I10" s="59">
        <v>342.49248000000006</v>
      </c>
      <c r="J10" s="60">
        <v>373.81299999999999</v>
      </c>
    </row>
    <row r="11" spans="1:10" hidden="1" x14ac:dyDescent="0.25">
      <c r="A11" s="57" t="s">
        <v>37</v>
      </c>
      <c r="B11" s="57" t="s">
        <v>127</v>
      </c>
      <c r="C11" s="58">
        <v>0</v>
      </c>
      <c r="D11" s="59">
        <v>183.30972</v>
      </c>
      <c r="E11" s="59">
        <v>226.51002</v>
      </c>
      <c r="F11" s="59">
        <v>233.30670000000003</v>
      </c>
      <c r="G11" s="59">
        <v>253.05720000000002</v>
      </c>
      <c r="H11" s="59">
        <v>265.22100000000006</v>
      </c>
      <c r="I11" s="59">
        <v>428.79861199999999</v>
      </c>
      <c r="J11" s="60">
        <v>485.36320800000004</v>
      </c>
    </row>
    <row r="12" spans="1:10" hidden="1" x14ac:dyDescent="0.25">
      <c r="A12" s="57" t="s">
        <v>37</v>
      </c>
      <c r="B12" s="57" t="s">
        <v>136</v>
      </c>
      <c r="C12" s="58">
        <v>0</v>
      </c>
      <c r="D12" s="59">
        <v>187.52316000000002</v>
      </c>
      <c r="E12" s="59">
        <v>222.44560799999999</v>
      </c>
      <c r="F12" s="59">
        <v>242.87472000000002</v>
      </c>
      <c r="G12" s="59">
        <v>275.88000000000005</v>
      </c>
      <c r="H12" s="59">
        <v>302.27670000000006</v>
      </c>
      <c r="I12" s="59">
        <v>437.92188000000004</v>
      </c>
      <c r="J12" s="60">
        <v>469.99920000000003</v>
      </c>
    </row>
    <row r="13" spans="1:10" hidden="1" x14ac:dyDescent="0.25">
      <c r="A13" s="57" t="s">
        <v>37</v>
      </c>
      <c r="B13" s="57" t="s">
        <v>145</v>
      </c>
      <c r="C13" s="58">
        <v>0</v>
      </c>
      <c r="D13" s="59">
        <v>318.94236000000001</v>
      </c>
      <c r="E13" s="59">
        <v>415.38523400000003</v>
      </c>
      <c r="F13" s="59">
        <v>439.33388290000005</v>
      </c>
      <c r="G13" s="59">
        <v>473.52241200000003</v>
      </c>
      <c r="H13" s="59">
        <v>525.49068</v>
      </c>
      <c r="I13" s="59">
        <v>609.53248400000007</v>
      </c>
      <c r="J13" s="60">
        <v>679.71816000000001</v>
      </c>
    </row>
    <row r="14" spans="1:10" hidden="1" x14ac:dyDescent="0.25">
      <c r="A14" s="57" t="s">
        <v>37</v>
      </c>
      <c r="B14" s="57" t="s">
        <v>154</v>
      </c>
      <c r="C14" s="58">
        <v>0</v>
      </c>
      <c r="D14" s="59">
        <v>128.56008</v>
      </c>
      <c r="E14" s="59">
        <v>181.16538000000003</v>
      </c>
      <c r="F14" s="59">
        <v>200.64000000000001</v>
      </c>
      <c r="G14" s="59">
        <v>216.34008</v>
      </c>
      <c r="H14" s="59">
        <v>239.63808000000003</v>
      </c>
      <c r="I14" s="59">
        <v>315.00480000000005</v>
      </c>
      <c r="J14" s="60">
        <v>333.21287999999998</v>
      </c>
    </row>
    <row r="15" spans="1:10" hidden="1" x14ac:dyDescent="0.25">
      <c r="A15" s="57" t="s">
        <v>37</v>
      </c>
      <c r="B15" s="57" t="s">
        <v>163</v>
      </c>
      <c r="C15" s="58">
        <v>0</v>
      </c>
      <c r="D15" s="59">
        <v>445.47095999999999</v>
      </c>
      <c r="E15" s="59">
        <v>488.05680000000001</v>
      </c>
      <c r="F15" s="59">
        <v>501.92604000000006</v>
      </c>
      <c r="G15" s="59">
        <v>541.67784000000006</v>
      </c>
      <c r="H15" s="59">
        <v>582.60840000000007</v>
      </c>
      <c r="I15" s="59">
        <v>879.00593000000015</v>
      </c>
      <c r="J15" s="60">
        <v>962.06880000000001</v>
      </c>
    </row>
    <row r="16" spans="1:10" hidden="1" x14ac:dyDescent="0.25">
      <c r="A16" s="57" t="s">
        <v>37</v>
      </c>
      <c r="B16" s="57" t="s">
        <v>172</v>
      </c>
      <c r="C16" s="58">
        <v>0</v>
      </c>
      <c r="D16" s="59">
        <v>332.57901600000002</v>
      </c>
      <c r="E16" s="59">
        <v>416.43859400000002</v>
      </c>
      <c r="F16" s="59">
        <v>440.38724290000005</v>
      </c>
      <c r="G16" s="59">
        <v>478.66381200000001</v>
      </c>
      <c r="H16" s="59">
        <v>530.82018000000005</v>
      </c>
      <c r="I16" s="59">
        <v>609.53248400000007</v>
      </c>
      <c r="J16" s="60">
        <v>696.915978</v>
      </c>
    </row>
    <row r="17" spans="1:10" hidden="1" x14ac:dyDescent="0.25">
      <c r="A17" s="57" t="s">
        <v>37</v>
      </c>
      <c r="B17" s="57" t="s">
        <v>181</v>
      </c>
      <c r="C17" s="58">
        <v>0</v>
      </c>
      <c r="D17" s="59">
        <v>157.07604000000001</v>
      </c>
      <c r="E17" s="59">
        <v>191.09835360000002</v>
      </c>
      <c r="F17" s="59">
        <v>201.24192000000002</v>
      </c>
      <c r="G17" s="59">
        <v>209.37435200000002</v>
      </c>
      <c r="H17" s="59">
        <v>210.19856000000001</v>
      </c>
      <c r="I17" s="59">
        <v>325.67150000000004</v>
      </c>
      <c r="J17" s="60">
        <v>328.04156000000006</v>
      </c>
    </row>
    <row r="18" spans="1:10" hidden="1" x14ac:dyDescent="0.25">
      <c r="A18" s="57" t="s">
        <v>37</v>
      </c>
      <c r="B18" s="57" t="s">
        <v>190</v>
      </c>
      <c r="C18" s="58">
        <v>0</v>
      </c>
      <c r="D18" s="59">
        <v>197.93136000000001</v>
      </c>
      <c r="E18" s="59">
        <v>214.73496000000003</v>
      </c>
      <c r="F18" s="59">
        <v>225.72</v>
      </c>
      <c r="G18" s="59">
        <v>254.78772000000001</v>
      </c>
      <c r="H18" s="59">
        <v>286.51590000000004</v>
      </c>
      <c r="I18" s="59">
        <v>421.14243600000003</v>
      </c>
      <c r="J18" s="60">
        <v>457.69746000000004</v>
      </c>
    </row>
    <row r="19" spans="1:10" hidden="1" x14ac:dyDescent="0.25">
      <c r="A19" s="57" t="s">
        <v>37</v>
      </c>
      <c r="B19" s="57" t="s">
        <v>199</v>
      </c>
      <c r="C19" s="58">
        <v>0</v>
      </c>
      <c r="D19" s="59">
        <v>360.98057599999999</v>
      </c>
      <c r="E19" s="59">
        <v>392.16342000000003</v>
      </c>
      <c r="F19" s="59">
        <v>431.43058200000007</v>
      </c>
      <c r="G19" s="59">
        <v>459.67996800000003</v>
      </c>
      <c r="H19" s="59">
        <v>506.55330000000004</v>
      </c>
      <c r="I19" s="59">
        <v>631.61472000000003</v>
      </c>
      <c r="J19" s="60">
        <v>660.90816000000007</v>
      </c>
    </row>
    <row r="20" spans="1:10" hidden="1" x14ac:dyDescent="0.25">
      <c r="A20" s="57" t="s">
        <v>37</v>
      </c>
      <c r="B20" s="57" t="s">
        <v>208</v>
      </c>
      <c r="C20" s="58">
        <v>0</v>
      </c>
      <c r="D20" s="59">
        <v>107.38002000000002</v>
      </c>
      <c r="E20" s="59">
        <v>137.94000000000003</v>
      </c>
      <c r="F20" s="59">
        <v>140.69616000000002</v>
      </c>
      <c r="G20" s="59">
        <v>177.41130000000001</v>
      </c>
      <c r="H20" s="59">
        <v>182.64510000000001</v>
      </c>
      <c r="I20" s="59">
        <v>271.59120999999999</v>
      </c>
      <c r="J20" s="60">
        <v>309.26148000000001</v>
      </c>
    </row>
    <row r="21" spans="1:10" hidden="1" x14ac:dyDescent="0.25">
      <c r="A21" s="57" t="s">
        <v>37</v>
      </c>
      <c r="B21" s="57" t="s">
        <v>217</v>
      </c>
      <c r="C21" s="58">
        <v>0</v>
      </c>
      <c r="D21" s="59">
        <v>124.13346000000001</v>
      </c>
      <c r="E21" s="59">
        <v>157.74739200000002</v>
      </c>
      <c r="F21" s="59">
        <v>170.12661600000001</v>
      </c>
      <c r="G21" s="59">
        <v>187.16220600000005</v>
      </c>
      <c r="H21" s="59">
        <v>203.23886000000002</v>
      </c>
      <c r="I21" s="59">
        <v>241.719368</v>
      </c>
      <c r="J21" s="60">
        <v>269.39013199999999</v>
      </c>
    </row>
    <row r="22" spans="1:10" hidden="1" x14ac:dyDescent="0.25">
      <c r="A22" s="57" t="s">
        <v>37</v>
      </c>
      <c r="B22" s="57" t="s">
        <v>226</v>
      </c>
      <c r="C22" s="58">
        <v>0</v>
      </c>
      <c r="D22" s="59">
        <v>179.08733700000002</v>
      </c>
      <c r="E22" s="59">
        <v>218.69047200000003</v>
      </c>
      <c r="F22" s="59">
        <v>240.90290400000001</v>
      </c>
      <c r="G22" s="59">
        <v>271.409424</v>
      </c>
      <c r="H22" s="59">
        <v>298.99496000000005</v>
      </c>
      <c r="I22" s="59">
        <v>371.26936000000006</v>
      </c>
      <c r="J22" s="60">
        <v>406.7932110000001</v>
      </c>
    </row>
    <row r="23" spans="1:10" hidden="1" x14ac:dyDescent="0.25">
      <c r="A23" s="57" t="s">
        <v>37</v>
      </c>
      <c r="B23" s="57" t="s">
        <v>235</v>
      </c>
      <c r="C23" s="58">
        <v>0</v>
      </c>
      <c r="D23" s="59">
        <v>388.84032000000002</v>
      </c>
      <c r="E23" s="59">
        <v>451.70334000000003</v>
      </c>
      <c r="F23" s="59">
        <v>479.15340000000003</v>
      </c>
      <c r="G23" s="59">
        <v>542.83152000000007</v>
      </c>
      <c r="H23" s="59">
        <v>590.32050000000004</v>
      </c>
      <c r="I23" s="59">
        <v>771.51096000000007</v>
      </c>
      <c r="J23" s="60">
        <v>796.59096</v>
      </c>
    </row>
    <row r="24" spans="1:10" hidden="1" x14ac:dyDescent="0.25">
      <c r="A24" s="57" t="s">
        <v>37</v>
      </c>
      <c r="B24" s="57" t="s">
        <v>244</v>
      </c>
      <c r="C24" s="58">
        <v>0</v>
      </c>
      <c r="D24" s="59">
        <v>117.47472</v>
      </c>
      <c r="E24" s="59">
        <v>158.25480000000002</v>
      </c>
      <c r="F24" s="59">
        <v>176.46288000000001</v>
      </c>
      <c r="G24" s="59">
        <v>196.95772800000003</v>
      </c>
      <c r="H24" s="59">
        <v>214.48900000000003</v>
      </c>
      <c r="I24" s="59">
        <v>285.11004500000007</v>
      </c>
      <c r="J24" s="60">
        <v>319.57377100000002</v>
      </c>
    </row>
    <row r="25" spans="1:10" hidden="1" x14ac:dyDescent="0.25">
      <c r="A25" s="57" t="s">
        <v>37</v>
      </c>
      <c r="B25" s="57" t="s">
        <v>253</v>
      </c>
      <c r="C25" s="58">
        <v>0</v>
      </c>
      <c r="D25" s="59">
        <v>138.63349500000001</v>
      </c>
      <c r="E25" s="59">
        <v>151.39951200000002</v>
      </c>
      <c r="F25" s="59">
        <v>167.38392000000002</v>
      </c>
      <c r="G25" s="59">
        <v>203.054192</v>
      </c>
      <c r="H25" s="59">
        <v>209.44616000000002</v>
      </c>
      <c r="I25" s="59">
        <v>360.32436000000001</v>
      </c>
      <c r="J25" s="60">
        <v>371.38464000000005</v>
      </c>
    </row>
    <row r="26" spans="1:10" hidden="1" x14ac:dyDescent="0.25">
      <c r="A26" s="57" t="s">
        <v>37</v>
      </c>
      <c r="B26" s="57" t="s">
        <v>37</v>
      </c>
      <c r="C26" s="58">
        <v>0</v>
      </c>
      <c r="D26" s="59">
        <v>70.397976</v>
      </c>
      <c r="E26" s="59">
        <v>79.679159999999996</v>
      </c>
      <c r="F26" s="59">
        <v>87.78</v>
      </c>
      <c r="G26" s="59">
        <v>100.32000000000001</v>
      </c>
      <c r="H26" s="59">
        <v>99.528000000000006</v>
      </c>
      <c r="I26" s="59">
        <v>121.8921</v>
      </c>
      <c r="J26" s="60">
        <v>125.35600000000001</v>
      </c>
    </row>
    <row r="27" spans="1:10" hidden="1" x14ac:dyDescent="0.25">
      <c r="A27" s="57" t="s">
        <v>37</v>
      </c>
      <c r="B27" s="57" t="s">
        <v>270</v>
      </c>
      <c r="C27" s="58">
        <v>0</v>
      </c>
      <c r="D27" s="59">
        <v>113.98860000000001</v>
      </c>
      <c r="E27" s="59">
        <v>126.71670000000002</v>
      </c>
      <c r="F27" s="59">
        <v>140.30223900000001</v>
      </c>
      <c r="G27" s="59">
        <v>191.20026200000001</v>
      </c>
      <c r="H27" s="59">
        <v>205.61700500000001</v>
      </c>
      <c r="I27" s="59">
        <v>254.676422</v>
      </c>
      <c r="J27" s="60">
        <v>278.13239299999998</v>
      </c>
    </row>
    <row r="28" spans="1:10" hidden="1" x14ac:dyDescent="0.25">
      <c r="A28" s="57" t="s">
        <v>37</v>
      </c>
      <c r="B28" s="57" t="s">
        <v>279</v>
      </c>
      <c r="C28" s="58">
        <v>0</v>
      </c>
      <c r="D28" s="59">
        <v>153.11340000000004</v>
      </c>
      <c r="E28" s="59">
        <v>195.87479999999999</v>
      </c>
      <c r="F28" s="59">
        <v>208.41480000000001</v>
      </c>
      <c r="G28" s="59">
        <v>266.29944000000006</v>
      </c>
      <c r="H28" s="59">
        <v>298.24256000000003</v>
      </c>
      <c r="I28" s="59">
        <v>383.76993600000003</v>
      </c>
      <c r="J28" s="60">
        <v>422.29</v>
      </c>
    </row>
    <row r="29" spans="1:10" hidden="1" x14ac:dyDescent="0.25">
      <c r="A29" s="57" t="s">
        <v>37</v>
      </c>
      <c r="B29" s="57" t="s">
        <v>288</v>
      </c>
      <c r="C29" s="58">
        <v>0</v>
      </c>
      <c r="D29" s="59">
        <v>219.55032000000003</v>
      </c>
      <c r="E29" s="59">
        <v>273.69803999999999</v>
      </c>
      <c r="F29" s="59">
        <v>286.43868000000003</v>
      </c>
      <c r="G29" s="59">
        <v>334.31639999999999</v>
      </c>
      <c r="H29" s="59">
        <v>324.9554</v>
      </c>
      <c r="I29" s="59">
        <v>463.45394700000003</v>
      </c>
      <c r="J29" s="60">
        <v>479.29823700000003</v>
      </c>
    </row>
    <row r="30" spans="1:10" hidden="1" x14ac:dyDescent="0.25">
      <c r="A30" s="57" t="s">
        <v>37</v>
      </c>
      <c r="B30" s="57" t="s">
        <v>297</v>
      </c>
      <c r="C30" s="58">
        <v>0</v>
      </c>
      <c r="D30" s="59">
        <v>194.440224</v>
      </c>
      <c r="E30" s="59">
        <v>213.82967650000001</v>
      </c>
      <c r="F30" s="59">
        <v>226.62476100000001</v>
      </c>
      <c r="G30" s="59">
        <v>250.85016000000002</v>
      </c>
      <c r="H30" s="59">
        <v>297.34914000000003</v>
      </c>
      <c r="I30" s="59">
        <v>389.11620000000005</v>
      </c>
      <c r="J30" s="60">
        <v>420.39096000000006</v>
      </c>
    </row>
    <row r="31" spans="1:10" hidden="1" x14ac:dyDescent="0.25">
      <c r="A31" s="57" t="s">
        <v>37</v>
      </c>
      <c r="B31" s="57" t="s">
        <v>306</v>
      </c>
      <c r="C31" s="58">
        <v>0</v>
      </c>
      <c r="D31" s="59">
        <v>180.42552000000001</v>
      </c>
      <c r="E31" s="59">
        <v>226.37208000000001</v>
      </c>
      <c r="F31" s="59">
        <v>239.31336000000002</v>
      </c>
      <c r="G31" s="59">
        <v>295.32280800000001</v>
      </c>
      <c r="H31" s="59">
        <v>300.87596000000002</v>
      </c>
      <c r="I31" s="59">
        <v>423.04944</v>
      </c>
      <c r="J31" s="60">
        <v>439.20096000000001</v>
      </c>
    </row>
    <row r="32" spans="1:10" hidden="1" x14ac:dyDescent="0.25">
      <c r="A32" s="57" t="s">
        <v>37</v>
      </c>
      <c r="B32" s="57" t="s">
        <v>315</v>
      </c>
      <c r="C32" s="58">
        <v>0</v>
      </c>
      <c r="D32" s="59">
        <v>481.03440000000001</v>
      </c>
      <c r="E32" s="59">
        <v>560.32482000000005</v>
      </c>
      <c r="F32" s="59">
        <v>579.14735999999994</v>
      </c>
      <c r="G32" s="59">
        <v>666.28663200000017</v>
      </c>
      <c r="H32" s="59">
        <v>707.30352000000005</v>
      </c>
      <c r="I32" s="59">
        <v>889.09568000000002</v>
      </c>
      <c r="J32" s="60">
        <v>892.48148000000015</v>
      </c>
    </row>
    <row r="33" spans="1:10" hidden="1" x14ac:dyDescent="0.25">
      <c r="A33" s="57" t="s">
        <v>37</v>
      </c>
      <c r="B33" s="57" t="s">
        <v>324</v>
      </c>
      <c r="C33" s="58">
        <v>0</v>
      </c>
      <c r="D33" s="59">
        <v>332.57901600000002</v>
      </c>
      <c r="E33" s="59">
        <v>417.07021730000002</v>
      </c>
      <c r="F33" s="59">
        <v>438.54386290000002</v>
      </c>
      <c r="G33" s="59">
        <v>483.85906800000009</v>
      </c>
      <c r="H33" s="59">
        <v>504.29610000000008</v>
      </c>
      <c r="I33" s="59">
        <v>618.56920400000001</v>
      </c>
      <c r="J33" s="60">
        <v>706.17049800000007</v>
      </c>
    </row>
    <row r="34" spans="1:10" hidden="1" x14ac:dyDescent="0.25">
      <c r="A34" s="57" t="s">
        <v>37</v>
      </c>
      <c r="B34" s="57" t="s">
        <v>333</v>
      </c>
      <c r="C34" s="58">
        <v>0</v>
      </c>
      <c r="D34" s="59">
        <v>106.38936000000001</v>
      </c>
      <c r="E34" s="59">
        <v>130.71553880000002</v>
      </c>
      <c r="F34" s="59">
        <v>150.48000000000002</v>
      </c>
      <c r="G34" s="59">
        <v>175.936992</v>
      </c>
      <c r="H34" s="59">
        <v>179.78224000000003</v>
      </c>
      <c r="I34" s="59">
        <v>234.90178800000004</v>
      </c>
      <c r="J34" s="60">
        <v>265.616736</v>
      </c>
    </row>
    <row r="35" spans="1:10" hidden="1" x14ac:dyDescent="0.25">
      <c r="A35" s="57" t="s">
        <v>37</v>
      </c>
      <c r="B35" s="57" t="s">
        <v>342</v>
      </c>
      <c r="C35" s="58">
        <v>0</v>
      </c>
      <c r="D35" s="59">
        <v>138.84288000000004</v>
      </c>
      <c r="E35" s="59">
        <v>164.39758500000002</v>
      </c>
      <c r="F35" s="59">
        <v>181.82488500000002</v>
      </c>
      <c r="G35" s="59">
        <v>210.52152000000001</v>
      </c>
      <c r="H35" s="59">
        <v>209.82236</v>
      </c>
      <c r="I35" s="59">
        <v>349.26407999999998</v>
      </c>
      <c r="J35" s="60">
        <v>360.7758</v>
      </c>
    </row>
    <row r="36" spans="1:10" hidden="1" x14ac:dyDescent="0.25">
      <c r="A36" s="57" t="s">
        <v>37</v>
      </c>
      <c r="B36" s="57" t="s">
        <v>351</v>
      </c>
      <c r="C36" s="58">
        <v>0</v>
      </c>
      <c r="D36" s="59">
        <v>229.00977</v>
      </c>
      <c r="E36" s="59">
        <v>268.30062600000002</v>
      </c>
      <c r="F36" s="59">
        <v>304.94102100000003</v>
      </c>
      <c r="G36" s="59">
        <v>330.50034600000004</v>
      </c>
      <c r="H36" s="59">
        <v>369.42840000000001</v>
      </c>
      <c r="I36" s="59">
        <v>565.50070500000004</v>
      </c>
      <c r="J36" s="60">
        <v>615.23</v>
      </c>
    </row>
    <row r="37" spans="1:10" hidden="1" x14ac:dyDescent="0.25">
      <c r="A37" s="57" t="s">
        <v>37</v>
      </c>
      <c r="B37" s="57" t="s">
        <v>360</v>
      </c>
      <c r="C37" s="58">
        <v>0</v>
      </c>
      <c r="D37" s="59">
        <v>229.00977</v>
      </c>
      <c r="E37" s="59">
        <v>249.74279000000001</v>
      </c>
      <c r="F37" s="59">
        <v>257.16328000000004</v>
      </c>
      <c r="G37" s="59">
        <v>308.35860000000002</v>
      </c>
      <c r="H37" s="59">
        <v>351.54899999999998</v>
      </c>
      <c r="I37" s="59">
        <v>552.54597200000001</v>
      </c>
      <c r="J37" s="60">
        <v>626.42800000000011</v>
      </c>
    </row>
    <row r="38" spans="1:10" hidden="1" x14ac:dyDescent="0.25">
      <c r="A38" s="57" t="s">
        <v>37</v>
      </c>
      <c r="B38" s="57" t="s">
        <v>369</v>
      </c>
      <c r="C38" s="58">
        <v>0</v>
      </c>
      <c r="D38" s="59">
        <v>288.10346400000003</v>
      </c>
      <c r="E38" s="59">
        <v>371.28768600000006</v>
      </c>
      <c r="F38" s="59">
        <v>440.12390290000002</v>
      </c>
      <c r="G38" s="59">
        <v>475.57897200000002</v>
      </c>
      <c r="H38" s="59">
        <v>527.57100000000003</v>
      </c>
      <c r="I38" s="59">
        <v>607.05748400000004</v>
      </c>
      <c r="J38" s="60">
        <v>727.59436200000005</v>
      </c>
    </row>
    <row r="39" spans="1:10" hidden="1" x14ac:dyDescent="0.25">
      <c r="A39" s="57" t="s">
        <v>37</v>
      </c>
      <c r="B39" s="57" t="s">
        <v>378</v>
      </c>
      <c r="C39" s="58">
        <v>0</v>
      </c>
      <c r="D39" s="59">
        <v>215.83227600000004</v>
      </c>
      <c r="E39" s="59">
        <v>230.38591730000002</v>
      </c>
      <c r="F39" s="59">
        <v>259.25765800000005</v>
      </c>
      <c r="G39" s="59">
        <v>305.84773999999999</v>
      </c>
      <c r="H39" s="59">
        <v>324.9554</v>
      </c>
      <c r="I39" s="59">
        <v>453.11277000000007</v>
      </c>
      <c r="J39" s="60">
        <v>465.69091800000007</v>
      </c>
    </row>
    <row r="40" spans="1:10" hidden="1" x14ac:dyDescent="0.25">
      <c r="A40" s="57" t="s">
        <v>37</v>
      </c>
      <c r="B40" s="57" t="s">
        <v>387</v>
      </c>
      <c r="C40" s="58">
        <v>0</v>
      </c>
      <c r="D40" s="59">
        <v>125.94614340000001</v>
      </c>
      <c r="E40" s="59">
        <v>157.62271799999999</v>
      </c>
      <c r="F40" s="59">
        <v>171.012699</v>
      </c>
      <c r="G40" s="59">
        <v>192.12373400000001</v>
      </c>
      <c r="H40" s="59">
        <v>211.010085</v>
      </c>
      <c r="I40" s="59">
        <v>251.65170799999999</v>
      </c>
      <c r="J40" s="60">
        <v>274.36316599999998</v>
      </c>
    </row>
    <row r="41" spans="1:10" hidden="1" x14ac:dyDescent="0.25">
      <c r="A41" s="57" t="s">
        <v>37</v>
      </c>
      <c r="B41" s="57" t="s">
        <v>396</v>
      </c>
      <c r="C41" s="58">
        <v>0</v>
      </c>
      <c r="D41" s="59">
        <v>227.97720000000001</v>
      </c>
      <c r="E41" s="59">
        <v>258.22732540000004</v>
      </c>
      <c r="F41" s="59">
        <v>290.52672000000007</v>
      </c>
      <c r="G41" s="59">
        <v>338.94660800000003</v>
      </c>
      <c r="H41" s="59">
        <v>344.14424000000002</v>
      </c>
      <c r="I41" s="59">
        <v>477.23060000000004</v>
      </c>
      <c r="J41" s="60">
        <v>484.90508</v>
      </c>
    </row>
    <row r="42" spans="1:10" x14ac:dyDescent="0.25">
      <c r="A42" s="57" t="s">
        <v>37</v>
      </c>
      <c r="B42" s="57" t="s">
        <v>405</v>
      </c>
      <c r="C42" s="58">
        <v>0</v>
      </c>
      <c r="D42" s="59">
        <v>77.497200000000007</v>
      </c>
      <c r="E42" s="59">
        <v>93.730999999999995</v>
      </c>
      <c r="F42" s="59">
        <v>113.17900000000002</v>
      </c>
      <c r="G42" s="59">
        <v>125.08892000000002</v>
      </c>
      <c r="H42" s="59">
        <v>137.24920000000003</v>
      </c>
      <c r="I42" s="59">
        <v>164.51600000000002</v>
      </c>
      <c r="J42" s="60">
        <v>174.42699999999999</v>
      </c>
    </row>
    <row r="43" spans="1:10" hidden="1" x14ac:dyDescent="0.25">
      <c r="A43" s="57" t="s">
        <v>37</v>
      </c>
      <c r="B43" s="57" t="s">
        <v>1064</v>
      </c>
      <c r="C43" s="58">
        <v>0</v>
      </c>
      <c r="D43" s="59">
        <v>94.050000000000011</v>
      </c>
      <c r="E43" s="59">
        <v>150.48000000000002</v>
      </c>
      <c r="F43" s="59">
        <v>156.75</v>
      </c>
      <c r="G43" s="59">
        <v>164.58750000000001</v>
      </c>
      <c r="H43" s="59">
        <v>177.75450000000001</v>
      </c>
      <c r="I43" s="59">
        <v>193.75240500000004</v>
      </c>
      <c r="J43" s="60">
        <v>213.12764550000006</v>
      </c>
    </row>
    <row r="44" spans="1:10" hidden="1" x14ac:dyDescent="0.25">
      <c r="A44" s="57" t="s">
        <v>37</v>
      </c>
      <c r="B44" s="57" t="s">
        <v>414</v>
      </c>
      <c r="C44" s="58">
        <v>0</v>
      </c>
      <c r="D44" s="59">
        <v>113.98860000000001</v>
      </c>
      <c r="E44" s="59">
        <v>126.03716730000002</v>
      </c>
      <c r="F44" s="59">
        <v>135.99709200000001</v>
      </c>
      <c r="G44" s="59">
        <v>201.76860000000002</v>
      </c>
      <c r="H44" s="59">
        <v>211.64154000000002</v>
      </c>
      <c r="I44" s="59">
        <v>305.48416800000001</v>
      </c>
      <c r="J44" s="60">
        <v>307.515648</v>
      </c>
    </row>
    <row r="45" spans="1:10" hidden="1" x14ac:dyDescent="0.25">
      <c r="A45" s="57" t="s">
        <v>37</v>
      </c>
      <c r="B45" s="57" t="s">
        <v>423</v>
      </c>
      <c r="C45" s="58">
        <v>0</v>
      </c>
      <c r="D45" s="59">
        <v>229.00977</v>
      </c>
      <c r="E45" s="59">
        <v>268.30062600000002</v>
      </c>
      <c r="F45" s="59">
        <v>304.94102100000003</v>
      </c>
      <c r="G45" s="59">
        <v>330.50034600000004</v>
      </c>
      <c r="H45" s="59">
        <v>369.42840000000001</v>
      </c>
      <c r="I45" s="59">
        <v>552.114464</v>
      </c>
      <c r="J45" s="60">
        <v>597.68148000000008</v>
      </c>
    </row>
    <row r="46" spans="1:10" hidden="1" x14ac:dyDescent="0.25">
      <c r="A46" s="57" t="s">
        <v>37</v>
      </c>
      <c r="B46" s="57" t="s">
        <v>432</v>
      </c>
      <c r="C46" s="58">
        <v>0</v>
      </c>
      <c r="D46" s="59">
        <v>119.13000000000001</v>
      </c>
      <c r="E46" s="59">
        <v>151.08192000000003</v>
      </c>
      <c r="F46" s="59">
        <v>171.14592000000002</v>
      </c>
      <c r="G46" s="59">
        <v>191.90886000000003</v>
      </c>
      <c r="H46" s="59">
        <v>210.13674</v>
      </c>
      <c r="I46" s="59">
        <v>250.45000200000001</v>
      </c>
      <c r="J46" s="60">
        <v>295.57257400000003</v>
      </c>
    </row>
    <row r="47" spans="1:10" hidden="1" x14ac:dyDescent="0.25">
      <c r="A47" s="57" t="s">
        <v>37</v>
      </c>
      <c r="B47" s="57" t="s">
        <v>441</v>
      </c>
      <c r="C47" s="58">
        <v>0</v>
      </c>
      <c r="D47" s="59">
        <v>185.46660000000003</v>
      </c>
      <c r="E47" s="59">
        <v>250.8</v>
      </c>
      <c r="F47" s="59">
        <v>258.12336000000005</v>
      </c>
      <c r="G47" s="59">
        <v>311.31804</v>
      </c>
      <c r="H47" s="59">
        <v>290.84219999999999</v>
      </c>
      <c r="I47" s="59">
        <v>432.93096000000003</v>
      </c>
      <c r="J47" s="60">
        <v>445.47095999999999</v>
      </c>
    </row>
    <row r="48" spans="1:10" hidden="1" x14ac:dyDescent="0.25">
      <c r="A48" s="57" t="s">
        <v>37</v>
      </c>
      <c r="B48" s="57" t="s">
        <v>450</v>
      </c>
      <c r="C48" s="58">
        <v>0</v>
      </c>
      <c r="D48" s="59">
        <v>200.01300000000001</v>
      </c>
      <c r="E48" s="59">
        <v>237.58218000000002</v>
      </c>
      <c r="F48" s="59">
        <v>257.07</v>
      </c>
      <c r="G48" s="59">
        <v>277.91148000000004</v>
      </c>
      <c r="H48" s="59">
        <v>303.21719999999999</v>
      </c>
      <c r="I48" s="59">
        <v>436.95611300000002</v>
      </c>
      <c r="J48" s="60">
        <v>500.91218100000003</v>
      </c>
    </row>
    <row r="49" spans="1:10" hidden="1" x14ac:dyDescent="0.25">
      <c r="A49" s="57" t="s">
        <v>37</v>
      </c>
      <c r="B49" s="57" t="s">
        <v>459</v>
      </c>
      <c r="C49" s="58">
        <v>0</v>
      </c>
      <c r="D49" s="59">
        <v>222.46369200000004</v>
      </c>
      <c r="E49" s="59">
        <v>262.87351200000001</v>
      </c>
      <c r="F49" s="59">
        <v>284.39188799999999</v>
      </c>
      <c r="G49" s="59">
        <v>315.62962199999998</v>
      </c>
      <c r="H49" s="59">
        <v>360.04716000000008</v>
      </c>
      <c r="I49" s="59">
        <v>454.47021400000006</v>
      </c>
      <c r="J49" s="60">
        <v>526.20348000000001</v>
      </c>
    </row>
    <row r="50" spans="1:10" hidden="1" x14ac:dyDescent="0.25">
      <c r="A50" s="57" t="s">
        <v>37</v>
      </c>
      <c r="B50" s="57" t="s">
        <v>468</v>
      </c>
      <c r="C50" s="58">
        <v>0</v>
      </c>
      <c r="D50" s="59">
        <v>249.64632000000003</v>
      </c>
      <c r="E50" s="59">
        <v>327.36778800000002</v>
      </c>
      <c r="F50" s="59">
        <v>313.16141999999996</v>
      </c>
      <c r="G50" s="59">
        <v>363.65166200000004</v>
      </c>
      <c r="H50" s="59">
        <v>371.86204000000004</v>
      </c>
      <c r="I50" s="59">
        <v>548.44943999999998</v>
      </c>
      <c r="J50" s="60">
        <v>577.24128000000007</v>
      </c>
    </row>
    <row r="51" spans="1:10" hidden="1" x14ac:dyDescent="0.25">
      <c r="A51" s="57" t="s">
        <v>37</v>
      </c>
      <c r="B51" s="57" t="s">
        <v>477</v>
      </c>
      <c r="C51" s="58">
        <v>0</v>
      </c>
      <c r="D51" s="59">
        <v>203.67468000000002</v>
      </c>
      <c r="E51" s="59">
        <v>250.64116000000004</v>
      </c>
      <c r="F51" s="59">
        <v>262.38696000000004</v>
      </c>
      <c r="G51" s="59">
        <v>302.61669900000004</v>
      </c>
      <c r="H51" s="59">
        <v>319.68860000000001</v>
      </c>
      <c r="I51" s="59">
        <v>443.21375999999998</v>
      </c>
      <c r="J51" s="60">
        <v>466.23720000000009</v>
      </c>
    </row>
    <row r="52" spans="1:10" hidden="1" x14ac:dyDescent="0.25">
      <c r="A52" s="57" t="s">
        <v>37</v>
      </c>
      <c r="B52" s="57" t="s">
        <v>486</v>
      </c>
      <c r="C52" s="58">
        <v>0</v>
      </c>
      <c r="D52" s="59">
        <v>128.79086660000002</v>
      </c>
      <c r="E52" s="59">
        <v>150.73063500000001</v>
      </c>
      <c r="F52" s="59">
        <v>166.64406</v>
      </c>
      <c r="G52" s="59">
        <v>203.59944000000004</v>
      </c>
      <c r="H52" s="59">
        <v>210.13674</v>
      </c>
      <c r="I52" s="59">
        <v>276.08064000000002</v>
      </c>
      <c r="J52" s="60">
        <v>288.62064000000004</v>
      </c>
    </row>
    <row r="53" spans="1:10" hidden="1" x14ac:dyDescent="0.25">
      <c r="A53" s="57" t="s">
        <v>37</v>
      </c>
      <c r="B53" s="57" t="s">
        <v>495</v>
      </c>
      <c r="C53" s="58">
        <v>0</v>
      </c>
      <c r="D53" s="59">
        <v>221.97054000000003</v>
      </c>
      <c r="E53" s="59">
        <v>265.53098000000006</v>
      </c>
      <c r="F53" s="59">
        <v>286.52669100000003</v>
      </c>
      <c r="G53" s="59">
        <v>317.59939200000002</v>
      </c>
      <c r="H53" s="59">
        <v>340.57034000000004</v>
      </c>
      <c r="I53" s="59">
        <v>501.47460000000007</v>
      </c>
      <c r="J53" s="60">
        <v>535.40784000000008</v>
      </c>
    </row>
    <row r="54" spans="1:10" hidden="1" x14ac:dyDescent="0.25">
      <c r="A54" s="57" t="s">
        <v>37</v>
      </c>
      <c r="B54" s="57" t="s">
        <v>504</v>
      </c>
      <c r="C54" s="58">
        <v>0</v>
      </c>
      <c r="D54" s="59">
        <v>209.51832000000002</v>
      </c>
      <c r="E54" s="59">
        <v>265.53098000000006</v>
      </c>
      <c r="F54" s="59">
        <v>285.91200000000003</v>
      </c>
      <c r="G54" s="59">
        <v>314.17320000000007</v>
      </c>
      <c r="H54" s="59">
        <v>323.26250000000005</v>
      </c>
      <c r="I54" s="59">
        <v>439.20096000000001</v>
      </c>
      <c r="J54" s="60">
        <v>450.71267999999998</v>
      </c>
    </row>
    <row r="55" spans="1:10" hidden="1" x14ac:dyDescent="0.25">
      <c r="A55" s="57" t="s">
        <v>37</v>
      </c>
      <c r="B55" s="57" t="s">
        <v>513</v>
      </c>
      <c r="C55" s="58">
        <v>0</v>
      </c>
      <c r="D55" s="59">
        <v>420.39096000000006</v>
      </c>
      <c r="E55" s="59">
        <v>481.78680000000003</v>
      </c>
      <c r="F55" s="59">
        <v>503.70672000000008</v>
      </c>
      <c r="G55" s="59">
        <v>601.29300000000001</v>
      </c>
      <c r="H55" s="59">
        <v>624.36660000000006</v>
      </c>
      <c r="I55" s="59">
        <v>841.81020000000012</v>
      </c>
      <c r="J55" s="60">
        <v>863.23248000000012</v>
      </c>
    </row>
    <row r="56" spans="1:10" hidden="1" x14ac:dyDescent="0.25">
      <c r="A56" s="57" t="s">
        <v>37</v>
      </c>
      <c r="B56" s="57" t="s">
        <v>522</v>
      </c>
      <c r="C56" s="58">
        <v>0</v>
      </c>
      <c r="D56" s="59">
        <v>141.96534</v>
      </c>
      <c r="E56" s="59">
        <v>178.05546000000004</v>
      </c>
      <c r="F56" s="59">
        <v>183.93672000000004</v>
      </c>
      <c r="G56" s="59">
        <v>213.662856</v>
      </c>
      <c r="H56" s="59">
        <v>241.76988</v>
      </c>
      <c r="I56" s="59">
        <v>285.33098000000007</v>
      </c>
      <c r="J56" s="60">
        <v>327.54480000000001</v>
      </c>
    </row>
    <row r="57" spans="1:10" hidden="1" x14ac:dyDescent="0.25">
      <c r="A57" s="57" t="s">
        <v>37</v>
      </c>
      <c r="B57" s="57" t="s">
        <v>531</v>
      </c>
      <c r="C57" s="58">
        <v>0</v>
      </c>
      <c r="D57" s="59">
        <v>129.91946660000002</v>
      </c>
      <c r="E57" s="59">
        <v>151.28457300000002</v>
      </c>
      <c r="F57" s="59">
        <v>171.91828500000003</v>
      </c>
      <c r="G57" s="59">
        <v>207.35431200000002</v>
      </c>
      <c r="H57" s="59">
        <v>215.77974</v>
      </c>
      <c r="I57" s="59">
        <v>312.67236000000003</v>
      </c>
      <c r="J57" s="60">
        <v>324.18407999999999</v>
      </c>
    </row>
    <row r="58" spans="1:10" hidden="1" x14ac:dyDescent="0.25">
      <c r="A58" s="57" t="s">
        <v>37</v>
      </c>
      <c r="B58" s="57" t="s">
        <v>540</v>
      </c>
      <c r="C58" s="58">
        <v>0</v>
      </c>
      <c r="D58" s="59">
        <v>177.14004</v>
      </c>
      <c r="E58" s="59">
        <v>243.85662400000004</v>
      </c>
      <c r="F58" s="59">
        <v>263.99973600000004</v>
      </c>
      <c r="G58" s="59">
        <v>291.02680200000003</v>
      </c>
      <c r="H58" s="59">
        <v>290.08980000000003</v>
      </c>
      <c r="I58" s="59">
        <v>410.38404000000003</v>
      </c>
      <c r="J58" s="60">
        <v>431.64097020000008</v>
      </c>
    </row>
    <row r="59" spans="1:10" hidden="1" x14ac:dyDescent="0.25">
      <c r="A59" s="57" t="s">
        <v>37</v>
      </c>
      <c r="B59" s="57" t="s">
        <v>549</v>
      </c>
      <c r="C59" s="58">
        <v>0</v>
      </c>
      <c r="D59" s="59">
        <v>157.42716000000001</v>
      </c>
      <c r="E59" s="59">
        <v>180.92884700000002</v>
      </c>
      <c r="F59" s="59">
        <v>195.84760800000004</v>
      </c>
      <c r="G59" s="59">
        <v>216.19422000000003</v>
      </c>
      <c r="H59" s="59">
        <v>243.90168000000003</v>
      </c>
      <c r="I59" s="59">
        <v>346.73258400000003</v>
      </c>
      <c r="J59" s="60">
        <v>372.28752000000003</v>
      </c>
    </row>
    <row r="60" spans="1:10" hidden="1" x14ac:dyDescent="0.25">
      <c r="A60" s="57" t="s">
        <v>37</v>
      </c>
      <c r="B60" s="57" t="s">
        <v>558</v>
      </c>
      <c r="C60" s="58">
        <v>0</v>
      </c>
      <c r="D60" s="59">
        <v>207.49938000000003</v>
      </c>
      <c r="E60" s="59">
        <v>252.14596000000003</v>
      </c>
      <c r="F60" s="59">
        <v>270.21192000000002</v>
      </c>
      <c r="G60" s="59">
        <v>300.52010999999999</v>
      </c>
      <c r="H60" s="59">
        <v>340.21019999999999</v>
      </c>
      <c r="I60" s="59">
        <v>416.10945200000003</v>
      </c>
      <c r="J60" s="60">
        <v>456.98268000000007</v>
      </c>
    </row>
    <row r="61" spans="1:10" hidden="1" x14ac:dyDescent="0.25">
      <c r="A61" s="57" t="s">
        <v>37</v>
      </c>
      <c r="B61" s="57" t="s">
        <v>567</v>
      </c>
      <c r="C61" s="58">
        <v>0</v>
      </c>
      <c r="D61" s="59">
        <v>116.70722800000001</v>
      </c>
      <c r="E61" s="59">
        <v>102.99520000000001</v>
      </c>
      <c r="F61" s="59">
        <v>115.11720000000001</v>
      </c>
      <c r="G61" s="59">
        <v>157.67070000000001</v>
      </c>
      <c r="H61" s="59">
        <v>168.90885</v>
      </c>
      <c r="I61" s="59">
        <v>256.75636800000001</v>
      </c>
      <c r="J61" s="60">
        <v>277.60790200000002</v>
      </c>
    </row>
    <row r="62" spans="1:10" hidden="1" x14ac:dyDescent="0.25">
      <c r="A62" s="57" t="s">
        <v>37</v>
      </c>
      <c r="B62" s="57" t="s">
        <v>585</v>
      </c>
      <c r="C62" s="58">
        <v>0</v>
      </c>
      <c r="D62" s="59">
        <v>208.98867000000001</v>
      </c>
      <c r="E62" s="59">
        <v>229.78669340000002</v>
      </c>
      <c r="F62" s="59">
        <v>254.01442000000003</v>
      </c>
      <c r="G62" s="59">
        <v>293.85675000000003</v>
      </c>
      <c r="H62" s="59">
        <v>316.15584000000001</v>
      </c>
      <c r="I62" s="59">
        <v>419.71380000000005</v>
      </c>
      <c r="J62" s="60">
        <v>432.25380000000001</v>
      </c>
    </row>
    <row r="63" spans="1:10" hidden="1" x14ac:dyDescent="0.25">
      <c r="A63" s="57" t="s">
        <v>37</v>
      </c>
      <c r="B63" s="57" t="s">
        <v>585</v>
      </c>
      <c r="C63" s="58">
        <v>0</v>
      </c>
      <c r="D63" s="59">
        <v>219.45000000000002</v>
      </c>
      <c r="E63" s="59">
        <v>269.61</v>
      </c>
      <c r="F63" s="59">
        <v>288.42</v>
      </c>
      <c r="G63" s="59">
        <v>307.23</v>
      </c>
      <c r="H63" s="59">
        <v>332.31000000000006</v>
      </c>
      <c r="I63" s="59">
        <v>438.90000000000003</v>
      </c>
      <c r="J63" s="60">
        <v>451.44</v>
      </c>
    </row>
    <row r="64" spans="1:10" hidden="1" x14ac:dyDescent="0.25">
      <c r="A64" s="57" t="s">
        <v>37</v>
      </c>
      <c r="B64" s="57" t="s">
        <v>594</v>
      </c>
      <c r="C64" s="58">
        <v>0</v>
      </c>
      <c r="D64" s="59">
        <v>409.97770000000003</v>
      </c>
      <c r="E64" s="59">
        <v>445.25728500000008</v>
      </c>
      <c r="F64" s="59">
        <v>497.34729000000004</v>
      </c>
      <c r="G64" s="59">
        <v>560.85447000000011</v>
      </c>
      <c r="H64" s="59">
        <v>600.24712000000011</v>
      </c>
      <c r="I64" s="59">
        <v>662.63780000000008</v>
      </c>
      <c r="J64" s="60">
        <v>742.19948000000011</v>
      </c>
    </row>
    <row r="65" spans="1:10" hidden="1" x14ac:dyDescent="0.25">
      <c r="A65" s="57" t="s">
        <v>37</v>
      </c>
      <c r="B65" s="57" t="s">
        <v>603</v>
      </c>
      <c r="C65" s="58">
        <v>0</v>
      </c>
      <c r="D65" s="59">
        <v>175.82334</v>
      </c>
      <c r="E65" s="59">
        <v>212.245</v>
      </c>
      <c r="F65" s="59">
        <v>238.26000000000002</v>
      </c>
      <c r="G65" s="59">
        <v>293.08488000000006</v>
      </c>
      <c r="H65" s="59">
        <v>297.34914000000003</v>
      </c>
      <c r="I65" s="59">
        <v>393.67143200000004</v>
      </c>
      <c r="J65" s="60">
        <v>422.37800000000004</v>
      </c>
    </row>
    <row r="66" spans="1:10" hidden="1" x14ac:dyDescent="0.25">
      <c r="A66" s="57" t="s">
        <v>37</v>
      </c>
      <c r="B66" s="57" t="s">
        <v>612</v>
      </c>
      <c r="C66" s="58">
        <v>0</v>
      </c>
      <c r="D66" s="59">
        <v>116.970568</v>
      </c>
      <c r="E66" s="59">
        <v>102.99520000000001</v>
      </c>
      <c r="F66" s="59">
        <v>116.32104</v>
      </c>
      <c r="G66" s="59">
        <v>152.52930000000003</v>
      </c>
      <c r="H66" s="59">
        <v>162.51345000000001</v>
      </c>
      <c r="I66" s="59">
        <v>256.75636800000001</v>
      </c>
      <c r="J66" s="60">
        <v>277.60790200000002</v>
      </c>
    </row>
    <row r="67" spans="1:10" hidden="1" x14ac:dyDescent="0.25">
      <c r="A67" s="57" t="s">
        <v>37</v>
      </c>
      <c r="B67" s="57" t="s">
        <v>621</v>
      </c>
      <c r="C67" s="58">
        <v>0</v>
      </c>
      <c r="D67" s="59">
        <v>251.53150000000002</v>
      </c>
      <c r="E67" s="59">
        <v>269.07133220000003</v>
      </c>
      <c r="F67" s="59">
        <v>300.13292100000007</v>
      </c>
      <c r="G67" s="59">
        <v>342.021702</v>
      </c>
      <c r="H67" s="59">
        <v>378.82174000000003</v>
      </c>
      <c r="I67" s="59">
        <v>517.17936599999996</v>
      </c>
      <c r="J67" s="60">
        <v>571.2169540000001</v>
      </c>
    </row>
    <row r="68" spans="1:10" hidden="1" x14ac:dyDescent="0.25">
      <c r="A68" s="57" t="s">
        <v>37</v>
      </c>
      <c r="B68" s="57" t="s">
        <v>630</v>
      </c>
      <c r="C68" s="58">
        <v>0</v>
      </c>
      <c r="D68" s="59">
        <v>197.66802000000001</v>
      </c>
      <c r="E68" s="59">
        <v>227.58302600000002</v>
      </c>
      <c r="F68" s="59">
        <v>246.93768000000003</v>
      </c>
      <c r="G68" s="59">
        <v>274.52964000000003</v>
      </c>
      <c r="H68" s="59">
        <v>291.9708</v>
      </c>
      <c r="I68" s="59">
        <v>420.39096000000006</v>
      </c>
      <c r="J68" s="60">
        <v>450.26124000000004</v>
      </c>
    </row>
    <row r="69" spans="1:10" hidden="1" x14ac:dyDescent="0.25">
      <c r="A69" s="57" t="s">
        <v>37</v>
      </c>
      <c r="B69" s="57" t="s">
        <v>639</v>
      </c>
      <c r="C69" s="58">
        <v>0</v>
      </c>
      <c r="D69" s="59">
        <v>200.01300000000001</v>
      </c>
      <c r="E69" s="59">
        <v>223.40010000000004</v>
      </c>
      <c r="F69" s="59">
        <v>240.89340000000001</v>
      </c>
      <c r="G69" s="59">
        <v>277.68576000000007</v>
      </c>
      <c r="H69" s="59">
        <v>331.375</v>
      </c>
      <c r="I69" s="59">
        <v>510.22474800000009</v>
      </c>
      <c r="J69" s="60">
        <v>557.45316000000003</v>
      </c>
    </row>
    <row r="70" spans="1:10" hidden="1" x14ac:dyDescent="0.25">
      <c r="A70" s="57" t="s">
        <v>37</v>
      </c>
      <c r="B70" s="57" t="s">
        <v>648</v>
      </c>
      <c r="C70" s="58">
        <v>0</v>
      </c>
      <c r="D70" s="59">
        <v>240.9059268</v>
      </c>
      <c r="E70" s="59">
        <v>268.27867000000003</v>
      </c>
      <c r="F70" s="59">
        <v>282.76109400000001</v>
      </c>
      <c r="G70" s="59">
        <v>319.54816300000005</v>
      </c>
      <c r="H70" s="59">
        <v>374.53900000000004</v>
      </c>
      <c r="I70" s="59">
        <v>495.84975000000003</v>
      </c>
      <c r="J70" s="60">
        <v>537.87800000000004</v>
      </c>
    </row>
    <row r="71" spans="1:10" hidden="1" x14ac:dyDescent="0.25">
      <c r="A71" s="57" t="s">
        <v>37</v>
      </c>
      <c r="B71" s="57" t="s">
        <v>657</v>
      </c>
      <c r="C71" s="58">
        <v>0</v>
      </c>
      <c r="D71" s="59">
        <v>209.29260000000005</v>
      </c>
      <c r="E71" s="59">
        <v>251.32789000000002</v>
      </c>
      <c r="F71" s="59">
        <v>268.61934000000002</v>
      </c>
      <c r="G71" s="59">
        <v>301.78579200000001</v>
      </c>
      <c r="H71" s="59">
        <v>320.25290000000001</v>
      </c>
      <c r="I71" s="59">
        <v>437.58627000000001</v>
      </c>
      <c r="J71" s="60">
        <v>481.78680000000003</v>
      </c>
    </row>
    <row r="72" spans="1:10" hidden="1" x14ac:dyDescent="0.25">
      <c r="A72" s="57" t="s">
        <v>37</v>
      </c>
      <c r="B72" s="57" t="s">
        <v>666</v>
      </c>
      <c r="C72" s="58">
        <v>0</v>
      </c>
      <c r="D72" s="59">
        <v>229.72197600000001</v>
      </c>
      <c r="E72" s="59">
        <v>261.86707800000005</v>
      </c>
      <c r="F72" s="59">
        <v>291.39591800000005</v>
      </c>
      <c r="G72" s="59">
        <v>330.02554200000003</v>
      </c>
      <c r="H72" s="59">
        <v>367.51670999999999</v>
      </c>
      <c r="I72" s="59">
        <v>565.50070500000004</v>
      </c>
      <c r="J72" s="60">
        <v>590.04462000000001</v>
      </c>
    </row>
    <row r="73" spans="1:10" hidden="1" x14ac:dyDescent="0.25">
      <c r="A73" s="57" t="s">
        <v>37</v>
      </c>
      <c r="B73" s="57" t="s">
        <v>675</v>
      </c>
      <c r="C73" s="58">
        <v>0</v>
      </c>
      <c r="D73" s="59">
        <v>129.42534000000001</v>
      </c>
      <c r="E73" s="59">
        <v>174.25584000000001</v>
      </c>
      <c r="F73" s="59">
        <v>177.06479999999999</v>
      </c>
      <c r="G73" s="59">
        <v>222.64000000000001</v>
      </c>
      <c r="H73" s="59">
        <v>214.21400000000003</v>
      </c>
      <c r="I73" s="59">
        <v>299.94333599999999</v>
      </c>
      <c r="J73" s="60">
        <v>323.35644000000002</v>
      </c>
    </row>
    <row r="74" spans="1:10" hidden="1" x14ac:dyDescent="0.25">
      <c r="A74" s="57" t="s">
        <v>37</v>
      </c>
      <c r="B74" s="57" t="s">
        <v>684</v>
      </c>
      <c r="C74" s="58">
        <v>0</v>
      </c>
      <c r="D74" s="59">
        <v>212.37744000000004</v>
      </c>
      <c r="E74" s="59">
        <v>262.34933999999998</v>
      </c>
      <c r="F74" s="59">
        <v>261.48408000000006</v>
      </c>
      <c r="G74" s="59">
        <v>316.71378199999998</v>
      </c>
      <c r="H74" s="59">
        <v>336.99644000000006</v>
      </c>
      <c r="I74" s="59">
        <v>472.22128800000002</v>
      </c>
      <c r="J74" s="60">
        <v>516.87900000000002</v>
      </c>
    </row>
    <row r="75" spans="1:10" hidden="1" x14ac:dyDescent="0.25">
      <c r="A75" s="57" t="s">
        <v>37</v>
      </c>
      <c r="B75" s="57" t="s">
        <v>693</v>
      </c>
      <c r="C75" s="58">
        <v>0</v>
      </c>
      <c r="D75" s="59">
        <v>246.78720000000001</v>
      </c>
      <c r="E75" s="59">
        <v>313.16141999999996</v>
      </c>
      <c r="F75" s="59">
        <v>313.16141999999996</v>
      </c>
      <c r="G75" s="59">
        <v>358.34535</v>
      </c>
      <c r="H75" s="59">
        <v>369.98104000000001</v>
      </c>
      <c r="I75" s="59">
        <v>505.08612000000005</v>
      </c>
      <c r="J75" s="60">
        <v>529.1378400000001</v>
      </c>
    </row>
    <row r="76" spans="1:10" hidden="1" x14ac:dyDescent="0.25">
      <c r="A76" s="57" t="s">
        <v>37</v>
      </c>
      <c r="B76" s="57" t="s">
        <v>702</v>
      </c>
      <c r="C76" s="58">
        <v>0</v>
      </c>
      <c r="D76" s="59">
        <v>214.40892000000002</v>
      </c>
      <c r="E76" s="59">
        <v>239.74401000000003</v>
      </c>
      <c r="F76" s="59">
        <v>251.05949000000001</v>
      </c>
      <c r="G76" s="59">
        <v>307.73160000000007</v>
      </c>
      <c r="H76" s="59">
        <v>339.00900000000001</v>
      </c>
      <c r="I76" s="59">
        <v>492.562004</v>
      </c>
      <c r="J76" s="60">
        <v>566.10576000000015</v>
      </c>
    </row>
    <row r="77" spans="1:10" hidden="1" x14ac:dyDescent="0.25">
      <c r="A77" s="57" t="s">
        <v>37</v>
      </c>
      <c r="B77" s="57" t="s">
        <v>711</v>
      </c>
      <c r="C77" s="58">
        <v>0</v>
      </c>
      <c r="D77" s="59">
        <v>205.07916</v>
      </c>
      <c r="E77" s="59">
        <v>262.08600000000001</v>
      </c>
      <c r="F77" s="59">
        <v>263.66604000000001</v>
      </c>
      <c r="G77" s="59">
        <v>302.73540000000003</v>
      </c>
      <c r="H77" s="59">
        <v>321.1934</v>
      </c>
      <c r="I77" s="59">
        <v>448.45548000000002</v>
      </c>
      <c r="J77" s="60">
        <v>468.49440000000004</v>
      </c>
    </row>
    <row r="78" spans="1:10" hidden="1" x14ac:dyDescent="0.25">
      <c r="A78" s="57" t="s">
        <v>37</v>
      </c>
      <c r="B78" s="57" t="s">
        <v>720</v>
      </c>
      <c r="C78" s="58">
        <v>0</v>
      </c>
      <c r="D78" s="59">
        <v>251.62570400000001</v>
      </c>
      <c r="E78" s="59">
        <v>266.98747020000002</v>
      </c>
      <c r="F78" s="59">
        <v>299.09098999999998</v>
      </c>
      <c r="G78" s="59">
        <v>337.69571000000002</v>
      </c>
      <c r="H78" s="59">
        <v>373.33615000000003</v>
      </c>
      <c r="I78" s="59">
        <v>472.753534</v>
      </c>
      <c r="J78" s="60">
        <v>547.28143799999998</v>
      </c>
    </row>
    <row r="79" spans="1:10" hidden="1" x14ac:dyDescent="0.25">
      <c r="A79" s="57" t="s">
        <v>37</v>
      </c>
      <c r="B79" s="57" t="s">
        <v>729</v>
      </c>
      <c r="C79" s="58">
        <v>0</v>
      </c>
      <c r="D79" s="59">
        <v>167.39724320000002</v>
      </c>
      <c r="E79" s="59">
        <v>226.94100000000003</v>
      </c>
      <c r="F79" s="59">
        <v>238.26000000000002</v>
      </c>
      <c r="G79" s="59">
        <v>277.58544000000001</v>
      </c>
      <c r="H79" s="59">
        <v>256.03841999999997</v>
      </c>
      <c r="I79" s="59">
        <v>418.08313800000002</v>
      </c>
      <c r="J79" s="60">
        <v>443.11344000000003</v>
      </c>
    </row>
    <row r="80" spans="1:10" hidden="1" x14ac:dyDescent="0.25">
      <c r="A80" s="57" t="s">
        <v>37</v>
      </c>
      <c r="B80" s="57" t="s">
        <v>738</v>
      </c>
      <c r="C80" s="58">
        <v>0</v>
      </c>
      <c r="D80" s="59">
        <v>166.60722320000002</v>
      </c>
      <c r="E80" s="59">
        <v>227.22479999999999</v>
      </c>
      <c r="F80" s="59">
        <v>244.83096</v>
      </c>
      <c r="G80" s="59">
        <v>269.98639800000001</v>
      </c>
      <c r="H80" s="59">
        <v>254.34552000000002</v>
      </c>
      <c r="I80" s="59">
        <v>403.24878000000001</v>
      </c>
      <c r="J80" s="60">
        <v>421.06812000000002</v>
      </c>
    </row>
    <row r="81" spans="1:10" hidden="1" x14ac:dyDescent="0.25">
      <c r="A81" s="57" t="s">
        <v>37</v>
      </c>
      <c r="B81" s="57" t="s">
        <v>747</v>
      </c>
      <c r="C81" s="58">
        <v>0</v>
      </c>
      <c r="D81" s="59">
        <v>196.01274000000001</v>
      </c>
      <c r="E81" s="59">
        <v>235.75200000000001</v>
      </c>
      <c r="F81" s="59">
        <v>278.21244000000002</v>
      </c>
      <c r="G81" s="59">
        <v>302.73540000000003</v>
      </c>
      <c r="H81" s="59">
        <v>320.62909999999999</v>
      </c>
      <c r="I81" s="59">
        <v>443.21375999999998</v>
      </c>
      <c r="J81" s="60">
        <v>456.98268000000007</v>
      </c>
    </row>
    <row r="82" spans="1:10" hidden="1" x14ac:dyDescent="0.25">
      <c r="A82" s="57" t="s">
        <v>37</v>
      </c>
      <c r="B82" s="57" t="s">
        <v>756</v>
      </c>
      <c r="C82" s="58">
        <v>0</v>
      </c>
      <c r="D82" s="59">
        <v>292.56831780000005</v>
      </c>
      <c r="E82" s="59">
        <v>310.46792590000001</v>
      </c>
      <c r="F82" s="59">
        <v>357.58030000000008</v>
      </c>
      <c r="G82" s="59">
        <v>420.07759199999998</v>
      </c>
      <c r="H82" s="59">
        <v>435.95024000000001</v>
      </c>
      <c r="I82" s="59">
        <v>574.33464000000004</v>
      </c>
      <c r="J82" s="60">
        <v>578.62332000000004</v>
      </c>
    </row>
    <row r="83" spans="1:10" hidden="1" x14ac:dyDescent="0.25">
      <c r="A83" s="57" t="s">
        <v>37</v>
      </c>
      <c r="B83" s="57" t="s">
        <v>1626</v>
      </c>
      <c r="C83" s="58">
        <v>0</v>
      </c>
      <c r="D83" s="59">
        <v>796.29000000000008</v>
      </c>
      <c r="E83" s="59">
        <v>927.96000000000015</v>
      </c>
      <c r="F83" s="59">
        <v>978.12000000000012</v>
      </c>
      <c r="G83" s="59">
        <v>1216.3800000000001</v>
      </c>
      <c r="H83" s="59">
        <v>1254</v>
      </c>
      <c r="I83" s="59">
        <v>1680.3600000000001</v>
      </c>
      <c r="J83" s="60">
        <v>1755.6000000000001</v>
      </c>
    </row>
    <row r="84" spans="1:10" hidden="1" x14ac:dyDescent="0.25">
      <c r="A84" s="57" t="s">
        <v>37</v>
      </c>
      <c r="B84" s="57" t="s">
        <v>765</v>
      </c>
      <c r="C84" s="58">
        <v>0</v>
      </c>
      <c r="D84" s="59">
        <v>496.57234000000005</v>
      </c>
      <c r="E84" s="59">
        <v>563.6091560000001</v>
      </c>
      <c r="F84" s="59">
        <v>618.72824200000014</v>
      </c>
      <c r="G84" s="59">
        <v>716.37670500000013</v>
      </c>
      <c r="H84" s="59">
        <v>782.47554000000014</v>
      </c>
      <c r="I84" s="59">
        <v>888.26622500000008</v>
      </c>
      <c r="J84" s="60">
        <v>973.36140000000012</v>
      </c>
    </row>
    <row r="85" spans="1:10" hidden="1" x14ac:dyDescent="0.25">
      <c r="A85" s="57" t="s">
        <v>37</v>
      </c>
      <c r="B85" s="57" t="s">
        <v>774</v>
      </c>
      <c r="C85" s="58">
        <v>0</v>
      </c>
      <c r="D85" s="59">
        <v>249.13262000000003</v>
      </c>
      <c r="E85" s="59">
        <v>266.05220400000002</v>
      </c>
      <c r="F85" s="59">
        <v>291.51940400000007</v>
      </c>
      <c r="G85" s="59">
        <v>340.45071500000006</v>
      </c>
      <c r="H85" s="59">
        <v>405.112752</v>
      </c>
      <c r="I85" s="59">
        <v>466.72499500000004</v>
      </c>
      <c r="J85" s="60">
        <v>546.4125150000001</v>
      </c>
    </row>
    <row r="86" spans="1:10" hidden="1" x14ac:dyDescent="0.25">
      <c r="A86" s="57" t="s">
        <v>37</v>
      </c>
      <c r="B86" s="57" t="s">
        <v>783</v>
      </c>
      <c r="C86" s="58">
        <v>0</v>
      </c>
      <c r="D86" s="59">
        <v>203.41134000000002</v>
      </c>
      <c r="E86" s="59">
        <v>232.225356</v>
      </c>
      <c r="F86" s="59">
        <v>266.78282400000001</v>
      </c>
      <c r="G86" s="59">
        <v>286.26444000000004</v>
      </c>
      <c r="H86" s="59">
        <v>292.72320000000008</v>
      </c>
      <c r="I86" s="59">
        <v>425.77955200000002</v>
      </c>
      <c r="J86" s="60">
        <v>430.06823200000008</v>
      </c>
    </row>
    <row r="87" spans="1:10" hidden="1" x14ac:dyDescent="0.25">
      <c r="A87" s="57" t="s">
        <v>37</v>
      </c>
      <c r="B87" s="57" t="s">
        <v>792</v>
      </c>
      <c r="C87" s="58">
        <v>0</v>
      </c>
      <c r="D87" s="59">
        <v>278.78928000000002</v>
      </c>
      <c r="E87" s="59">
        <v>359.56991399999998</v>
      </c>
      <c r="F87" s="59">
        <v>408.62863579999998</v>
      </c>
      <c r="G87" s="59">
        <v>438.73649600000005</v>
      </c>
      <c r="H87" s="59">
        <v>479.07667500000002</v>
      </c>
      <c r="I87" s="59">
        <v>598.98845600000004</v>
      </c>
      <c r="J87" s="60">
        <v>667.17815999999993</v>
      </c>
    </row>
    <row r="88" spans="1:10" hidden="1" x14ac:dyDescent="0.25">
      <c r="A88" s="57" t="s">
        <v>37</v>
      </c>
      <c r="B88" s="57" t="s">
        <v>801</v>
      </c>
      <c r="C88" s="58">
        <v>0</v>
      </c>
      <c r="D88" s="59">
        <v>207.66240000000002</v>
      </c>
      <c r="E88" s="59">
        <v>254.89578400000002</v>
      </c>
      <c r="F88" s="59">
        <v>275.68458500000003</v>
      </c>
      <c r="G88" s="59">
        <v>311.61608500000006</v>
      </c>
      <c r="H88" s="59">
        <v>337.61050399999999</v>
      </c>
      <c r="I88" s="59">
        <v>418.61124800000005</v>
      </c>
      <c r="J88" s="60">
        <v>469.60337600000003</v>
      </c>
    </row>
    <row r="89" spans="1:10" hidden="1" x14ac:dyDescent="0.25">
      <c r="A89" s="57" t="s">
        <v>37</v>
      </c>
      <c r="B89" s="57" t="s">
        <v>810</v>
      </c>
      <c r="C89" s="58">
        <v>0</v>
      </c>
      <c r="D89" s="59">
        <v>135.35933400000002</v>
      </c>
      <c r="E89" s="59">
        <v>152.66908799999999</v>
      </c>
      <c r="F89" s="59">
        <v>174.55812</v>
      </c>
      <c r="G89" s="59">
        <v>210.26194200000003</v>
      </c>
      <c r="H89" s="59">
        <v>245.91930000000005</v>
      </c>
      <c r="I89" s="59">
        <v>352.34892000000002</v>
      </c>
      <c r="J89" s="60">
        <v>384.82752000000005</v>
      </c>
    </row>
    <row r="90" spans="1:10" hidden="1" x14ac:dyDescent="0.25">
      <c r="A90" s="57" t="s">
        <v>37</v>
      </c>
      <c r="B90" s="57" t="s">
        <v>819</v>
      </c>
      <c r="C90" s="58">
        <v>0</v>
      </c>
      <c r="D90" s="59">
        <v>225.72</v>
      </c>
      <c r="E90" s="59">
        <v>263.60334</v>
      </c>
      <c r="F90" s="59">
        <v>289.73670000000004</v>
      </c>
      <c r="G90" s="59">
        <v>316.71378199999998</v>
      </c>
      <c r="H90" s="59">
        <v>336.99644000000006</v>
      </c>
      <c r="I90" s="59">
        <v>467.45608800000002</v>
      </c>
      <c r="J90" s="60">
        <v>520.27800000000002</v>
      </c>
    </row>
    <row r="91" spans="1:10" hidden="1" x14ac:dyDescent="0.25">
      <c r="A91" s="57" t="s">
        <v>37</v>
      </c>
      <c r="B91" s="57" t="s">
        <v>828</v>
      </c>
      <c r="C91" s="58">
        <v>0</v>
      </c>
      <c r="D91" s="59">
        <v>163.02000000000001</v>
      </c>
      <c r="E91" s="59">
        <v>222.74802000000003</v>
      </c>
      <c r="F91" s="59">
        <v>232.64208000000005</v>
      </c>
      <c r="G91" s="59">
        <v>250.55800000000002</v>
      </c>
      <c r="H91" s="59">
        <v>274.87900000000002</v>
      </c>
      <c r="I91" s="59">
        <v>438.57000000000005</v>
      </c>
      <c r="J91" s="60">
        <v>526.65800000000002</v>
      </c>
    </row>
    <row r="92" spans="1:10" hidden="1" x14ac:dyDescent="0.25">
      <c r="A92" s="57" t="s">
        <v>37</v>
      </c>
      <c r="B92" s="57" t="s">
        <v>837</v>
      </c>
      <c r="C92" s="58">
        <v>0</v>
      </c>
      <c r="D92" s="59">
        <v>163.02000000000001</v>
      </c>
      <c r="E92" s="59">
        <v>221.75736000000001</v>
      </c>
      <c r="F92" s="59">
        <v>235.94010000000003</v>
      </c>
      <c r="G92" s="59">
        <v>281.22203999999999</v>
      </c>
      <c r="H92" s="59">
        <v>293.08554000000004</v>
      </c>
      <c r="I92" s="59">
        <v>397.36752000000001</v>
      </c>
      <c r="J92" s="60">
        <v>420.39096000000006</v>
      </c>
    </row>
    <row r="93" spans="1:10" hidden="1" x14ac:dyDescent="0.25">
      <c r="A93" s="57" t="s">
        <v>37</v>
      </c>
      <c r="B93" s="57" t="s">
        <v>846</v>
      </c>
      <c r="C93" s="58">
        <v>0</v>
      </c>
      <c r="D93" s="59">
        <v>108.89736000000002</v>
      </c>
      <c r="E93" s="59">
        <v>107.55140000000002</v>
      </c>
      <c r="F93" s="59">
        <v>118.16860000000001</v>
      </c>
      <c r="G93" s="59">
        <v>152.52930000000003</v>
      </c>
      <c r="H93" s="59">
        <v>159.31575000000004</v>
      </c>
      <c r="I93" s="59">
        <v>255.04881600000002</v>
      </c>
      <c r="J93" s="60">
        <v>275.63324799999998</v>
      </c>
    </row>
    <row r="94" spans="1:10" hidden="1" x14ac:dyDescent="0.25">
      <c r="A94" s="57" t="s">
        <v>37</v>
      </c>
      <c r="B94" s="57" t="s">
        <v>855</v>
      </c>
      <c r="C94" s="58">
        <v>0</v>
      </c>
      <c r="D94" s="59">
        <v>200.84064000000004</v>
      </c>
      <c r="E94" s="59">
        <v>226.54140300000003</v>
      </c>
      <c r="F94" s="59">
        <v>262.34933999999998</v>
      </c>
      <c r="G94" s="59">
        <v>285.81299999999999</v>
      </c>
      <c r="H94" s="59">
        <v>286.75184999999999</v>
      </c>
      <c r="I94" s="59">
        <v>398.79708000000005</v>
      </c>
      <c r="J94" s="60">
        <v>399.47305200000005</v>
      </c>
    </row>
    <row r="95" spans="1:10" hidden="1" x14ac:dyDescent="0.25">
      <c r="A95" s="57" t="s">
        <v>37</v>
      </c>
      <c r="B95" s="57" t="s">
        <v>864</v>
      </c>
      <c r="C95" s="58">
        <v>0</v>
      </c>
      <c r="D95" s="59">
        <v>185.68836000000002</v>
      </c>
      <c r="E95" s="59">
        <v>194.32880060000005</v>
      </c>
      <c r="F95" s="59">
        <v>205.26682000000002</v>
      </c>
      <c r="G95" s="59">
        <v>238.26000000000002</v>
      </c>
      <c r="H95" s="59">
        <v>250.8</v>
      </c>
      <c r="I95" s="59">
        <v>366.33854400000001</v>
      </c>
      <c r="J95" s="60">
        <v>409.40592000000004</v>
      </c>
    </row>
    <row r="96" spans="1:10" hidden="1" x14ac:dyDescent="0.25">
      <c r="A96" s="57" t="s">
        <v>37</v>
      </c>
      <c r="B96" s="57" t="s">
        <v>873</v>
      </c>
      <c r="C96" s="58">
        <v>0</v>
      </c>
      <c r="D96" s="59">
        <v>456.98268000000007</v>
      </c>
      <c r="E96" s="59">
        <v>529.96547999999996</v>
      </c>
      <c r="F96" s="59">
        <v>548.78802000000007</v>
      </c>
      <c r="G96" s="59">
        <v>637.88472000000002</v>
      </c>
      <c r="H96" s="59">
        <v>659.85480000000007</v>
      </c>
      <c r="I96" s="59">
        <v>868.3738800000001</v>
      </c>
      <c r="J96" s="60">
        <v>882.76980000000003</v>
      </c>
    </row>
    <row r="97" spans="1:10" hidden="1" x14ac:dyDescent="0.25">
      <c r="A97" s="57" t="s">
        <v>37</v>
      </c>
      <c r="B97" s="57" t="s">
        <v>882</v>
      </c>
      <c r="C97" s="58">
        <v>0</v>
      </c>
      <c r="D97" s="59">
        <v>305.67933220000003</v>
      </c>
      <c r="E97" s="59">
        <v>390.78402</v>
      </c>
      <c r="F97" s="59">
        <v>421.06133190000003</v>
      </c>
      <c r="G97" s="59">
        <v>432.788048</v>
      </c>
      <c r="H97" s="59">
        <v>439.52413999999999</v>
      </c>
      <c r="I97" s="59">
        <v>607.5630000000001</v>
      </c>
      <c r="J97" s="60">
        <v>637.88472000000002</v>
      </c>
    </row>
    <row r="98" spans="1:10" hidden="1" x14ac:dyDescent="0.25">
      <c r="A98" s="57" t="s">
        <v>37</v>
      </c>
      <c r="B98" s="57" t="s">
        <v>891</v>
      </c>
      <c r="C98" s="58">
        <v>0</v>
      </c>
      <c r="D98" s="59">
        <v>141.75777000000002</v>
      </c>
      <c r="E98" s="59">
        <v>178.31830500000001</v>
      </c>
      <c r="F98" s="59">
        <v>193.83002100000002</v>
      </c>
      <c r="G98" s="59">
        <v>209.06995999999998</v>
      </c>
      <c r="H98" s="59">
        <v>215.17100000000002</v>
      </c>
      <c r="I98" s="59">
        <v>284.88911000000007</v>
      </c>
      <c r="J98" s="60">
        <v>333.78972000000005</v>
      </c>
    </row>
    <row r="99" spans="1:10" hidden="1" x14ac:dyDescent="0.25">
      <c r="A99" s="57" t="s">
        <v>37</v>
      </c>
      <c r="B99" s="57" t="s">
        <v>900</v>
      </c>
      <c r="C99" s="58">
        <v>0</v>
      </c>
      <c r="D99" s="59">
        <v>118.87242400000001</v>
      </c>
      <c r="E99" s="59">
        <v>114.2163</v>
      </c>
      <c r="F99" s="59">
        <v>125.0051</v>
      </c>
      <c r="G99" s="59">
        <v>161.83464000000001</v>
      </c>
      <c r="H99" s="59">
        <v>170.87400000000002</v>
      </c>
      <c r="I99" s="59">
        <v>259.56321600000001</v>
      </c>
      <c r="J99" s="60">
        <v>300.319118</v>
      </c>
    </row>
    <row r="100" spans="1:10" hidden="1" x14ac:dyDescent="0.25">
      <c r="A100" s="57" t="s">
        <v>37</v>
      </c>
      <c r="B100" s="57" t="s">
        <v>909</v>
      </c>
      <c r="C100" s="58">
        <v>0</v>
      </c>
      <c r="D100" s="59">
        <v>92.33202</v>
      </c>
      <c r="E100" s="59">
        <v>107.49288</v>
      </c>
      <c r="F100" s="59">
        <v>111.90696</v>
      </c>
      <c r="G100" s="59">
        <v>125.4</v>
      </c>
      <c r="H100" s="59">
        <v>132.06270000000001</v>
      </c>
      <c r="I100" s="59">
        <v>198.858</v>
      </c>
      <c r="J100" s="60">
        <v>246.84000000000003</v>
      </c>
    </row>
    <row r="101" spans="1:10" hidden="1" x14ac:dyDescent="0.25">
      <c r="A101" s="57" t="s">
        <v>333</v>
      </c>
      <c r="B101" s="57" t="s">
        <v>47</v>
      </c>
      <c r="C101" s="58">
        <v>0</v>
      </c>
      <c r="D101" s="59">
        <v>168.08</v>
      </c>
      <c r="E101" s="59">
        <v>204.20400000000001</v>
      </c>
      <c r="F101" s="59">
        <v>214.50000000000003</v>
      </c>
      <c r="G101" s="59">
        <v>245.05800000000002</v>
      </c>
      <c r="H101" s="59">
        <v>251.33900000000003</v>
      </c>
      <c r="I101" s="59">
        <v>347.76499999999999</v>
      </c>
      <c r="J101" s="60">
        <v>355.68500000000006</v>
      </c>
    </row>
    <row r="102" spans="1:10" hidden="1" x14ac:dyDescent="0.25">
      <c r="A102" s="57" t="s">
        <v>333</v>
      </c>
      <c r="B102" s="57" t="s">
        <v>56</v>
      </c>
      <c r="C102" s="58">
        <v>0</v>
      </c>
      <c r="D102" s="59">
        <v>151.20600000000002</v>
      </c>
      <c r="E102" s="59">
        <v>211.27700000000002</v>
      </c>
      <c r="F102" s="59">
        <v>227.227</v>
      </c>
      <c r="G102" s="59">
        <v>258.20300000000003</v>
      </c>
      <c r="H102" s="59">
        <v>298.99100000000004</v>
      </c>
      <c r="I102" s="59">
        <v>389.57600000000008</v>
      </c>
      <c r="J102" s="60">
        <v>411.76300000000003</v>
      </c>
    </row>
    <row r="103" spans="1:10" hidden="1" x14ac:dyDescent="0.25">
      <c r="A103" s="57" t="s">
        <v>333</v>
      </c>
      <c r="B103" s="57" t="s">
        <v>46</v>
      </c>
      <c r="C103" s="58">
        <v>0</v>
      </c>
      <c r="D103" s="59">
        <v>301.38900000000001</v>
      </c>
      <c r="E103" s="59">
        <v>382.00799999999998</v>
      </c>
      <c r="F103" s="59">
        <v>388.42100000000005</v>
      </c>
      <c r="G103" s="59">
        <v>427.27300000000002</v>
      </c>
      <c r="H103" s="59">
        <v>438.76800000000003</v>
      </c>
      <c r="I103" s="59">
        <v>590.79900000000009</v>
      </c>
      <c r="J103" s="60">
        <v>606.71600000000001</v>
      </c>
    </row>
    <row r="104" spans="1:10" hidden="1" x14ac:dyDescent="0.25">
      <c r="A104" s="57" t="s">
        <v>333</v>
      </c>
      <c r="B104" s="57" t="s">
        <v>73</v>
      </c>
      <c r="C104" s="58">
        <v>0</v>
      </c>
      <c r="D104" s="59">
        <v>599.81899999999996</v>
      </c>
      <c r="E104" s="59">
        <v>626.3180000000001</v>
      </c>
      <c r="F104" s="59">
        <v>650.1</v>
      </c>
      <c r="G104" s="59">
        <v>737.59400000000005</v>
      </c>
      <c r="H104" s="59">
        <v>739.02400000000011</v>
      </c>
      <c r="I104" s="59">
        <v>938.01400000000012</v>
      </c>
      <c r="J104" s="60">
        <v>955.80100000000004</v>
      </c>
    </row>
    <row r="105" spans="1:10" hidden="1" x14ac:dyDescent="0.25">
      <c r="A105" s="57" t="s">
        <v>333</v>
      </c>
      <c r="B105" s="57" t="s">
        <v>82</v>
      </c>
      <c r="C105" s="58">
        <v>0</v>
      </c>
      <c r="D105" s="59">
        <v>158.07</v>
      </c>
      <c r="E105" s="59">
        <v>203.654</v>
      </c>
      <c r="F105" s="59">
        <v>220.00000000000003</v>
      </c>
      <c r="G105" s="59">
        <v>241.96700000000001</v>
      </c>
      <c r="H105" s="59">
        <v>249.64500000000001</v>
      </c>
      <c r="I105" s="59">
        <v>375.17700000000002</v>
      </c>
      <c r="J105" s="60">
        <v>378.90600000000001</v>
      </c>
    </row>
    <row r="106" spans="1:10" hidden="1" x14ac:dyDescent="0.25">
      <c r="A106" s="57" t="s">
        <v>333</v>
      </c>
      <c r="B106" s="57" t="s">
        <v>91</v>
      </c>
      <c r="C106" s="58">
        <v>0</v>
      </c>
      <c r="D106" s="59">
        <v>186.054</v>
      </c>
      <c r="E106" s="59">
        <v>214.68700000000001</v>
      </c>
      <c r="F106" s="59">
        <v>228.73400000000001</v>
      </c>
      <c r="G106" s="59">
        <v>257.048</v>
      </c>
      <c r="H106" s="59">
        <v>289.71800000000002</v>
      </c>
      <c r="I106" s="59">
        <v>385.00000000000006</v>
      </c>
      <c r="J106" s="60">
        <v>388.83900000000006</v>
      </c>
    </row>
    <row r="107" spans="1:10" hidden="1" x14ac:dyDescent="0.25">
      <c r="A107" s="57" t="s">
        <v>333</v>
      </c>
      <c r="B107" s="57" t="s">
        <v>100</v>
      </c>
      <c r="C107" s="58">
        <v>0</v>
      </c>
      <c r="D107" s="59">
        <v>330.45100000000008</v>
      </c>
      <c r="E107" s="59">
        <v>405.41600000000005</v>
      </c>
      <c r="F107" s="59">
        <v>423.64300000000003</v>
      </c>
      <c r="G107" s="59">
        <v>454.00300000000004</v>
      </c>
      <c r="H107" s="59">
        <v>495.02200000000005</v>
      </c>
      <c r="I107" s="59">
        <v>636.06400000000008</v>
      </c>
      <c r="J107" s="60">
        <v>655.66599999999994</v>
      </c>
    </row>
    <row r="108" spans="1:10" hidden="1" x14ac:dyDescent="0.25">
      <c r="A108" s="57" t="s">
        <v>333</v>
      </c>
      <c r="B108" s="57" t="s">
        <v>109</v>
      </c>
      <c r="C108" s="58">
        <v>0</v>
      </c>
      <c r="D108" s="59">
        <v>216.46900000000002</v>
      </c>
      <c r="E108" s="59">
        <v>252.07600000000002</v>
      </c>
      <c r="F108" s="59">
        <v>264.39600000000002</v>
      </c>
      <c r="G108" s="59">
        <v>301.15800000000002</v>
      </c>
      <c r="H108" s="59">
        <v>318.45000000000005</v>
      </c>
      <c r="I108" s="59">
        <v>462.71500000000003</v>
      </c>
      <c r="J108" s="60">
        <v>490.39100000000002</v>
      </c>
    </row>
    <row r="109" spans="1:10" hidden="1" x14ac:dyDescent="0.25">
      <c r="A109" s="57" t="s">
        <v>333</v>
      </c>
      <c r="B109" s="57" t="s">
        <v>118</v>
      </c>
      <c r="C109" s="58">
        <v>0</v>
      </c>
      <c r="D109" s="59">
        <v>232.595</v>
      </c>
      <c r="E109" s="59">
        <v>300.74</v>
      </c>
      <c r="F109" s="59">
        <v>308.71499999999997</v>
      </c>
      <c r="G109" s="59">
        <v>294.39300000000003</v>
      </c>
      <c r="H109" s="59">
        <v>298.738</v>
      </c>
      <c r="I109" s="59">
        <v>383.19600000000003</v>
      </c>
      <c r="J109" s="60">
        <v>416.35</v>
      </c>
    </row>
    <row r="110" spans="1:10" hidden="1" x14ac:dyDescent="0.25">
      <c r="A110" s="57" t="s">
        <v>333</v>
      </c>
      <c r="B110" s="57" t="s">
        <v>127</v>
      </c>
      <c r="C110" s="58">
        <v>0</v>
      </c>
      <c r="D110" s="59">
        <v>276.07800000000003</v>
      </c>
      <c r="E110" s="59">
        <v>313.15900000000005</v>
      </c>
      <c r="F110" s="59">
        <v>326.30400000000003</v>
      </c>
      <c r="G110" s="59">
        <v>359.30400000000003</v>
      </c>
      <c r="H110" s="59">
        <v>368.10400000000004</v>
      </c>
      <c r="I110" s="59">
        <v>488.15800000000002</v>
      </c>
      <c r="J110" s="60">
        <v>519.53000000000009</v>
      </c>
    </row>
    <row r="111" spans="1:10" hidden="1" x14ac:dyDescent="0.25">
      <c r="A111" s="57" t="s">
        <v>333</v>
      </c>
      <c r="B111" s="57" t="s">
        <v>136</v>
      </c>
      <c r="C111" s="58">
        <v>0</v>
      </c>
      <c r="D111" s="59">
        <v>204.952</v>
      </c>
      <c r="E111" s="59">
        <v>252.07600000000002</v>
      </c>
      <c r="F111" s="59">
        <v>262.35000000000002</v>
      </c>
      <c r="G111" s="59">
        <v>301.15800000000002</v>
      </c>
      <c r="H111" s="59">
        <v>318.45000000000005</v>
      </c>
      <c r="I111" s="59">
        <v>463.70500000000004</v>
      </c>
      <c r="J111" s="60">
        <v>494.28500000000008</v>
      </c>
    </row>
    <row r="112" spans="1:10" hidden="1" x14ac:dyDescent="0.25">
      <c r="A112" s="57" t="s">
        <v>333</v>
      </c>
      <c r="B112" s="57" t="s">
        <v>145</v>
      </c>
      <c r="C112" s="58">
        <v>0</v>
      </c>
      <c r="D112" s="59">
        <v>373.92300000000006</v>
      </c>
      <c r="E112" s="59">
        <v>411.87300000000005</v>
      </c>
      <c r="F112" s="59">
        <v>441.50700000000006</v>
      </c>
      <c r="G112" s="59">
        <v>472.28500000000008</v>
      </c>
      <c r="H112" s="59">
        <v>510.565</v>
      </c>
      <c r="I112" s="59">
        <v>676.55499999999995</v>
      </c>
      <c r="J112" s="60">
        <v>705.17700000000013</v>
      </c>
    </row>
    <row r="113" spans="1:13" hidden="1" x14ac:dyDescent="0.25">
      <c r="A113" s="57" t="s">
        <v>333</v>
      </c>
      <c r="B113" s="57" t="s">
        <v>154</v>
      </c>
      <c r="C113" s="58">
        <v>0</v>
      </c>
      <c r="D113" s="59">
        <v>221.81500000000003</v>
      </c>
      <c r="E113" s="59">
        <v>253.99000000000004</v>
      </c>
      <c r="F113" s="59">
        <v>271.53500000000003</v>
      </c>
      <c r="G113" s="59">
        <v>302.10399999999998</v>
      </c>
      <c r="H113" s="59">
        <v>321.00200000000001</v>
      </c>
      <c r="I113" s="59">
        <v>347.73200000000003</v>
      </c>
      <c r="J113" s="60">
        <v>364.61700000000008</v>
      </c>
    </row>
    <row r="114" spans="1:13" hidden="1" x14ac:dyDescent="0.25">
      <c r="A114" s="57" t="s">
        <v>333</v>
      </c>
      <c r="B114" s="57" t="s">
        <v>163</v>
      </c>
      <c r="C114" s="58">
        <v>0</v>
      </c>
      <c r="D114" s="59">
        <v>541.673</v>
      </c>
      <c r="E114" s="59">
        <v>683.03400000000011</v>
      </c>
      <c r="F114" s="59">
        <v>704.86900000000003</v>
      </c>
      <c r="G114" s="59">
        <v>805.22200000000009</v>
      </c>
      <c r="H114" s="59">
        <v>816.47500000000002</v>
      </c>
      <c r="I114" s="59">
        <v>992.38700000000006</v>
      </c>
      <c r="J114" s="60">
        <v>1010.1740000000001</v>
      </c>
    </row>
    <row r="115" spans="1:13" hidden="1" x14ac:dyDescent="0.25">
      <c r="A115" s="57" t="s">
        <v>333</v>
      </c>
      <c r="B115" s="57" t="s">
        <v>172</v>
      </c>
      <c r="C115" s="58">
        <v>0</v>
      </c>
      <c r="D115" s="59">
        <v>181.28000000000003</v>
      </c>
      <c r="E115" s="59">
        <v>202.54300000000001</v>
      </c>
      <c r="F115" s="59">
        <v>215.21500000000003</v>
      </c>
      <c r="G115" s="59">
        <v>227.70000000000002</v>
      </c>
      <c r="H115" s="59">
        <v>242.143</v>
      </c>
      <c r="I115" s="59">
        <v>290.03700000000003</v>
      </c>
      <c r="J115" s="60">
        <v>301.35599999999999</v>
      </c>
    </row>
    <row r="116" spans="1:13" hidden="1" x14ac:dyDescent="0.25">
      <c r="A116" s="57" t="s">
        <v>333</v>
      </c>
      <c r="B116" s="57" t="s">
        <v>181</v>
      </c>
      <c r="C116" s="58">
        <v>0</v>
      </c>
      <c r="D116" s="59">
        <v>134.11200000000002</v>
      </c>
      <c r="E116" s="59">
        <v>175.20800000000003</v>
      </c>
      <c r="F116" s="59">
        <v>178.01300000000003</v>
      </c>
      <c r="G116" s="59">
        <v>200.15600000000003</v>
      </c>
      <c r="H116" s="59">
        <v>210.13300000000001</v>
      </c>
      <c r="I116" s="59">
        <v>308.34100000000001</v>
      </c>
      <c r="J116" s="60">
        <v>323.47700000000003</v>
      </c>
    </row>
    <row r="117" spans="1:13" hidden="1" x14ac:dyDescent="0.25">
      <c r="A117" s="57" t="s">
        <v>333</v>
      </c>
      <c r="B117" s="57" t="s">
        <v>190</v>
      </c>
      <c r="C117" s="58">
        <v>0</v>
      </c>
      <c r="D117" s="59">
        <v>126.72000000000001</v>
      </c>
      <c r="E117" s="59">
        <v>189.60700000000003</v>
      </c>
      <c r="F117" s="59">
        <v>200.64000000000001</v>
      </c>
      <c r="G117" s="59">
        <v>250.8</v>
      </c>
      <c r="H117" s="59">
        <v>267.66300000000001</v>
      </c>
      <c r="I117" s="59">
        <v>339.988</v>
      </c>
      <c r="J117" s="60">
        <v>357.66500000000002</v>
      </c>
    </row>
    <row r="118" spans="1:13" hidden="1" x14ac:dyDescent="0.25">
      <c r="A118" s="57" t="s">
        <v>333</v>
      </c>
      <c r="B118" s="57" t="s">
        <v>199</v>
      </c>
      <c r="C118" s="58">
        <v>0</v>
      </c>
      <c r="D118" s="59">
        <v>166.88100000000003</v>
      </c>
      <c r="E118" s="59">
        <v>209.48400000000001</v>
      </c>
      <c r="F118" s="59">
        <v>220.77</v>
      </c>
      <c r="G118" s="59">
        <v>266.27699999999999</v>
      </c>
      <c r="H118" s="59">
        <v>286.72600000000006</v>
      </c>
      <c r="I118" s="59">
        <v>381.94200000000006</v>
      </c>
      <c r="J118" s="60">
        <v>397.36400000000003</v>
      </c>
    </row>
    <row r="119" spans="1:13" hidden="1" x14ac:dyDescent="0.25">
      <c r="A119" s="57" t="s">
        <v>333</v>
      </c>
      <c r="B119" s="57" t="s">
        <v>208</v>
      </c>
      <c r="C119" s="58">
        <v>0</v>
      </c>
      <c r="D119" s="59">
        <v>107.91</v>
      </c>
      <c r="E119" s="59">
        <v>120.63700000000001</v>
      </c>
      <c r="F119" s="59">
        <v>142.08699999999999</v>
      </c>
      <c r="G119" s="59">
        <v>163.02000000000001</v>
      </c>
      <c r="H119" s="59">
        <v>171.61099999999999</v>
      </c>
      <c r="I119" s="59">
        <v>209.52799999999999</v>
      </c>
      <c r="J119" s="60">
        <v>218.185</v>
      </c>
    </row>
    <row r="120" spans="1:13" hidden="1" x14ac:dyDescent="0.25">
      <c r="A120" s="57" t="s">
        <v>333</v>
      </c>
      <c r="B120" s="57" t="s">
        <v>217</v>
      </c>
      <c r="C120" s="58">
        <v>0</v>
      </c>
      <c r="D120" s="59">
        <v>156.26600000000002</v>
      </c>
      <c r="E120" s="59">
        <v>180.268</v>
      </c>
      <c r="F120" s="59">
        <v>193.60000000000002</v>
      </c>
      <c r="G120" s="59">
        <v>231.143</v>
      </c>
      <c r="H120" s="59">
        <v>245.34400000000002</v>
      </c>
      <c r="I120" s="59">
        <v>283.73400000000004</v>
      </c>
      <c r="J120" s="60">
        <v>302.30200000000002</v>
      </c>
    </row>
    <row r="121" spans="1:13" hidden="1" x14ac:dyDescent="0.25">
      <c r="A121" s="57" t="s">
        <v>333</v>
      </c>
      <c r="B121" s="57" t="s">
        <v>226</v>
      </c>
      <c r="C121" s="58">
        <v>0</v>
      </c>
      <c r="D121" s="59">
        <v>205.70000000000002</v>
      </c>
      <c r="E121" s="59">
        <v>252.95600000000002</v>
      </c>
      <c r="F121" s="59">
        <v>264.09900000000005</v>
      </c>
      <c r="G121" s="59">
        <v>290.774</v>
      </c>
      <c r="H121" s="59">
        <v>293.48</v>
      </c>
      <c r="I121" s="59">
        <v>395.96700000000004</v>
      </c>
      <c r="J121" s="60">
        <v>418.73700000000002</v>
      </c>
    </row>
    <row r="122" spans="1:13" hidden="1" x14ac:dyDescent="0.25">
      <c r="A122" s="57" t="s">
        <v>333</v>
      </c>
      <c r="B122" s="57" t="s">
        <v>235</v>
      </c>
      <c r="C122" s="58">
        <v>0</v>
      </c>
      <c r="D122" s="59">
        <v>293.63400000000001</v>
      </c>
      <c r="E122" s="59">
        <v>339.36099999999999</v>
      </c>
      <c r="F122" s="59">
        <v>367.202</v>
      </c>
      <c r="G122" s="59">
        <v>426.11800000000005</v>
      </c>
      <c r="H122" s="59">
        <v>435.87500000000006</v>
      </c>
      <c r="I122" s="59">
        <v>551.78200000000004</v>
      </c>
      <c r="J122" s="60">
        <v>567.20400000000006</v>
      </c>
    </row>
    <row r="123" spans="1:13" hidden="1" x14ac:dyDescent="0.25">
      <c r="A123" s="57" t="s">
        <v>333</v>
      </c>
      <c r="B123" s="57" t="s">
        <v>244</v>
      </c>
      <c r="C123" s="58">
        <v>0</v>
      </c>
      <c r="D123" s="59">
        <v>120.23</v>
      </c>
      <c r="E123" s="59">
        <v>142.95600000000002</v>
      </c>
      <c r="F123" s="59">
        <v>164.626</v>
      </c>
      <c r="G123" s="59">
        <v>179.27799999999999</v>
      </c>
      <c r="H123" s="59">
        <v>205.68900000000002</v>
      </c>
      <c r="I123" s="59">
        <v>283.77800000000002</v>
      </c>
      <c r="J123" s="60">
        <v>298.40800000000002</v>
      </c>
    </row>
    <row r="124" spans="1:13" hidden="1" x14ac:dyDescent="0.25">
      <c r="A124" s="57" t="s">
        <v>333</v>
      </c>
      <c r="B124" s="57" t="s">
        <v>253</v>
      </c>
      <c r="C124" s="58">
        <v>0</v>
      </c>
      <c r="D124" s="59">
        <v>120.26300000000001</v>
      </c>
      <c r="E124" s="59">
        <v>132</v>
      </c>
      <c r="F124" s="59">
        <v>138.99600000000001</v>
      </c>
      <c r="G124" s="59">
        <v>168.36600000000001</v>
      </c>
      <c r="H124" s="59">
        <v>185.845</v>
      </c>
      <c r="I124" s="59">
        <v>276.07800000000003</v>
      </c>
      <c r="J124" s="60">
        <v>288.61799999999999</v>
      </c>
    </row>
    <row r="125" spans="1:13" hidden="1" x14ac:dyDescent="0.25">
      <c r="A125" s="57" t="s">
        <v>333</v>
      </c>
      <c r="B125" s="57" t="s">
        <v>37</v>
      </c>
      <c r="C125" s="58">
        <v>0</v>
      </c>
      <c r="D125" s="59">
        <v>126.03800000000001</v>
      </c>
      <c r="E125" s="59">
        <v>141.15200000000002</v>
      </c>
      <c r="F125" s="59">
        <v>171.578</v>
      </c>
      <c r="G125" s="59">
        <v>188.95800000000003</v>
      </c>
      <c r="H125" s="59">
        <v>199.41900000000001</v>
      </c>
      <c r="I125" s="59">
        <v>258.577</v>
      </c>
      <c r="J125" s="60">
        <v>262.21800000000002</v>
      </c>
      <c r="L125">
        <v>262.22000000000003</v>
      </c>
      <c r="M125">
        <v>1.1000000000000001</v>
      </c>
    </row>
    <row r="126" spans="1:13" hidden="1" x14ac:dyDescent="0.25">
      <c r="A126" s="57" t="s">
        <v>333</v>
      </c>
      <c r="B126" s="57" t="s">
        <v>270</v>
      </c>
      <c r="C126" s="58">
        <v>0</v>
      </c>
      <c r="D126" s="59">
        <v>146.245</v>
      </c>
      <c r="E126" s="59">
        <v>163.85600000000002</v>
      </c>
      <c r="F126" s="59">
        <v>170.91800000000001</v>
      </c>
      <c r="G126" s="59">
        <v>228.25000000000003</v>
      </c>
      <c r="H126" s="59">
        <v>240.07500000000002</v>
      </c>
      <c r="I126" s="59">
        <v>272.21700000000004</v>
      </c>
      <c r="J126" s="60">
        <v>286.40700000000004</v>
      </c>
    </row>
    <row r="127" spans="1:13" hidden="1" x14ac:dyDescent="0.25">
      <c r="A127" s="57" t="s">
        <v>333</v>
      </c>
      <c r="B127" s="57" t="s">
        <v>279</v>
      </c>
      <c r="C127" s="58">
        <v>0</v>
      </c>
      <c r="D127" s="59">
        <v>163.02000000000001</v>
      </c>
      <c r="E127" s="59">
        <v>195.87700000000001</v>
      </c>
      <c r="F127" s="59">
        <v>227.887</v>
      </c>
      <c r="G127" s="59">
        <v>253.70400000000001</v>
      </c>
      <c r="H127" s="59">
        <v>280.85200000000003</v>
      </c>
      <c r="I127" s="59">
        <v>327.69</v>
      </c>
      <c r="J127" s="60">
        <v>345.67500000000001</v>
      </c>
    </row>
    <row r="128" spans="1:13" hidden="1" x14ac:dyDescent="0.25">
      <c r="A128" s="57" t="s">
        <v>333</v>
      </c>
      <c r="B128" s="57" t="s">
        <v>288</v>
      </c>
      <c r="C128" s="58">
        <v>0</v>
      </c>
      <c r="D128" s="59">
        <v>194.21600000000001</v>
      </c>
      <c r="E128" s="59">
        <v>239.99800000000002</v>
      </c>
      <c r="F128" s="59">
        <v>262.97700000000003</v>
      </c>
      <c r="G128" s="59">
        <v>279.26800000000003</v>
      </c>
      <c r="H128" s="59">
        <v>320.08900000000006</v>
      </c>
      <c r="I128" s="59">
        <v>383.20700000000005</v>
      </c>
      <c r="J128" s="60">
        <v>396.08800000000002</v>
      </c>
    </row>
    <row r="129" spans="1:10" hidden="1" x14ac:dyDescent="0.25">
      <c r="A129" s="57" t="s">
        <v>333</v>
      </c>
      <c r="B129" s="57" t="s">
        <v>297</v>
      </c>
      <c r="C129" s="58">
        <v>0</v>
      </c>
      <c r="D129" s="59">
        <v>173.27200000000002</v>
      </c>
      <c r="E129" s="59">
        <v>224.80700000000002</v>
      </c>
      <c r="F129" s="59">
        <v>233.62899999999999</v>
      </c>
      <c r="G129" s="59">
        <v>248.28100000000003</v>
      </c>
      <c r="H129" s="59">
        <v>251.90000000000003</v>
      </c>
      <c r="I129" s="59">
        <v>377.72900000000004</v>
      </c>
      <c r="J129" s="60">
        <v>404.93200000000002</v>
      </c>
    </row>
    <row r="130" spans="1:10" hidden="1" x14ac:dyDescent="0.25">
      <c r="A130" s="57" t="s">
        <v>333</v>
      </c>
      <c r="B130" s="57" t="s">
        <v>306</v>
      </c>
      <c r="C130" s="58">
        <v>0</v>
      </c>
      <c r="D130" s="59">
        <v>114.43300000000001</v>
      </c>
      <c r="E130" s="59">
        <v>192.72</v>
      </c>
      <c r="F130" s="59">
        <v>201.16800000000001</v>
      </c>
      <c r="G130" s="59">
        <v>248.05</v>
      </c>
      <c r="H130" s="59">
        <v>252.08700000000002</v>
      </c>
      <c r="I130" s="59">
        <v>365.91500000000002</v>
      </c>
      <c r="J130" s="60">
        <v>378.55400000000003</v>
      </c>
    </row>
    <row r="131" spans="1:10" hidden="1" x14ac:dyDescent="0.25">
      <c r="A131" s="57" t="s">
        <v>333</v>
      </c>
      <c r="B131" s="57" t="s">
        <v>315</v>
      </c>
      <c r="C131" s="58">
        <v>0</v>
      </c>
      <c r="D131" s="59">
        <v>230.01000000000002</v>
      </c>
      <c r="E131" s="59">
        <v>286.35200000000003</v>
      </c>
      <c r="F131" s="59">
        <v>315.447</v>
      </c>
      <c r="G131" s="59">
        <v>341.22</v>
      </c>
      <c r="H131" s="59">
        <v>347.02800000000002</v>
      </c>
      <c r="I131" s="59">
        <v>493.05300000000005</v>
      </c>
      <c r="J131" s="60">
        <v>516.70300000000009</v>
      </c>
    </row>
    <row r="132" spans="1:10" hidden="1" x14ac:dyDescent="0.25">
      <c r="A132" s="57" t="s">
        <v>333</v>
      </c>
      <c r="B132" s="57" t="s">
        <v>324</v>
      </c>
      <c r="C132" s="58">
        <v>0</v>
      </c>
      <c r="D132" s="59">
        <v>400.97200000000004</v>
      </c>
      <c r="E132" s="59">
        <v>428.80200000000002</v>
      </c>
      <c r="F132" s="59">
        <v>466.20200000000006</v>
      </c>
      <c r="G132" s="59">
        <v>501.75400000000002</v>
      </c>
      <c r="H132" s="59">
        <v>541.86</v>
      </c>
      <c r="I132" s="59">
        <v>710.14900000000011</v>
      </c>
      <c r="J132" s="60">
        <v>761.47500000000002</v>
      </c>
    </row>
    <row r="133" spans="1:10" hidden="1" x14ac:dyDescent="0.25">
      <c r="A133" s="57" t="s">
        <v>333</v>
      </c>
      <c r="B133" s="57" t="s">
        <v>333</v>
      </c>
      <c r="C133" s="58">
        <v>0</v>
      </c>
      <c r="D133" s="59">
        <v>89.298000000000016</v>
      </c>
      <c r="E133" s="59">
        <v>106.876</v>
      </c>
      <c r="F133" s="59">
        <v>106.876</v>
      </c>
      <c r="G133" s="59">
        <v>156.84900000000002</v>
      </c>
      <c r="H133" s="59">
        <v>168.102</v>
      </c>
      <c r="I133" s="59">
        <v>214.03800000000004</v>
      </c>
      <c r="J133" s="60">
        <v>198.58300000000003</v>
      </c>
    </row>
    <row r="134" spans="1:10" hidden="1" x14ac:dyDescent="0.25">
      <c r="A134" s="57" t="s">
        <v>333</v>
      </c>
      <c r="B134" s="57" t="s">
        <v>342</v>
      </c>
      <c r="C134" s="58">
        <v>0</v>
      </c>
      <c r="D134" s="59">
        <v>101.72800000000001</v>
      </c>
      <c r="E134" s="59">
        <v>119.185</v>
      </c>
      <c r="F134" s="59">
        <v>130.66900000000001</v>
      </c>
      <c r="G134" s="59">
        <v>176.011</v>
      </c>
      <c r="H134" s="59">
        <v>191.16900000000001</v>
      </c>
      <c r="I134" s="59">
        <v>220.97900000000001</v>
      </c>
      <c r="J134" s="60">
        <v>232.82600000000002</v>
      </c>
    </row>
    <row r="135" spans="1:10" hidden="1" x14ac:dyDescent="0.25">
      <c r="A135" s="57" t="s">
        <v>333</v>
      </c>
      <c r="B135" s="57" t="s">
        <v>351</v>
      </c>
      <c r="C135" s="58">
        <v>0</v>
      </c>
      <c r="D135" s="59">
        <v>194.56800000000001</v>
      </c>
      <c r="E135" s="59">
        <v>213.74100000000001</v>
      </c>
      <c r="F135" s="59">
        <v>225.35700000000003</v>
      </c>
      <c r="G135" s="59">
        <v>251.99900000000002</v>
      </c>
      <c r="H135" s="59">
        <v>291.87400000000002</v>
      </c>
      <c r="I135" s="59">
        <v>402.55599999999998</v>
      </c>
      <c r="J135" s="60">
        <v>426.71200000000005</v>
      </c>
    </row>
    <row r="136" spans="1:10" hidden="1" x14ac:dyDescent="0.25">
      <c r="A136" s="57" t="s">
        <v>333</v>
      </c>
      <c r="B136" s="57" t="s">
        <v>360</v>
      </c>
      <c r="C136" s="58">
        <v>0</v>
      </c>
      <c r="D136" s="59">
        <v>312.67500000000001</v>
      </c>
      <c r="E136" s="59">
        <v>361.33900000000006</v>
      </c>
      <c r="F136" s="59">
        <v>375.21000000000004</v>
      </c>
      <c r="G136" s="59">
        <v>423.73099999999999</v>
      </c>
      <c r="H136" s="59">
        <v>449.99900000000002</v>
      </c>
      <c r="I136" s="59">
        <v>594.39600000000007</v>
      </c>
      <c r="J136" s="60">
        <v>627.56100000000004</v>
      </c>
    </row>
    <row r="137" spans="1:10" hidden="1" x14ac:dyDescent="0.25">
      <c r="A137" s="57" t="s">
        <v>333</v>
      </c>
      <c r="B137" s="57" t="s">
        <v>369</v>
      </c>
      <c r="C137" s="58">
        <v>0</v>
      </c>
      <c r="D137" s="59">
        <v>344.41</v>
      </c>
      <c r="E137" s="59">
        <v>387.10100000000006</v>
      </c>
      <c r="F137" s="59">
        <v>418.649</v>
      </c>
      <c r="G137" s="59">
        <v>472.96700000000004</v>
      </c>
      <c r="H137" s="59">
        <v>485.36400000000003</v>
      </c>
      <c r="I137" s="59">
        <v>706.03500000000008</v>
      </c>
      <c r="J137" s="60">
        <v>724.03100000000006</v>
      </c>
    </row>
    <row r="138" spans="1:10" hidden="1" x14ac:dyDescent="0.25">
      <c r="A138" s="57" t="s">
        <v>333</v>
      </c>
      <c r="B138" s="57" t="s">
        <v>378</v>
      </c>
      <c r="C138" s="58">
        <v>0</v>
      </c>
      <c r="D138" s="59">
        <v>186.14200000000002</v>
      </c>
      <c r="E138" s="59">
        <v>271.24900000000002</v>
      </c>
      <c r="F138" s="59">
        <v>280.17</v>
      </c>
      <c r="G138" s="59">
        <v>316.22800000000007</v>
      </c>
      <c r="H138" s="59">
        <v>318.74700000000001</v>
      </c>
      <c r="I138" s="59">
        <v>469.64500000000004</v>
      </c>
      <c r="J138" s="60">
        <v>470.77800000000008</v>
      </c>
    </row>
    <row r="139" spans="1:10" hidden="1" x14ac:dyDescent="0.25">
      <c r="A139" s="57" t="s">
        <v>333</v>
      </c>
      <c r="B139" s="57" t="s">
        <v>387</v>
      </c>
      <c r="C139" s="58">
        <v>0</v>
      </c>
      <c r="D139" s="59">
        <v>144.309</v>
      </c>
      <c r="E139" s="59">
        <v>167.39800000000002</v>
      </c>
      <c r="F139" s="59">
        <v>162.36000000000001</v>
      </c>
      <c r="G139" s="59">
        <v>179.87200000000001</v>
      </c>
      <c r="H139" s="59">
        <v>192.11500000000001</v>
      </c>
      <c r="I139" s="59">
        <v>251.33900000000003</v>
      </c>
      <c r="J139" s="60">
        <v>263.43900000000002</v>
      </c>
    </row>
    <row r="140" spans="1:10" hidden="1" x14ac:dyDescent="0.25">
      <c r="A140" s="57" t="s">
        <v>333</v>
      </c>
      <c r="B140" s="57" t="s">
        <v>396</v>
      </c>
      <c r="C140" s="58">
        <v>0</v>
      </c>
      <c r="D140" s="59">
        <v>176.37400000000002</v>
      </c>
      <c r="E140" s="59">
        <v>205.45800000000003</v>
      </c>
      <c r="F140" s="59">
        <v>207.02</v>
      </c>
      <c r="G140" s="59">
        <v>230.53800000000004</v>
      </c>
      <c r="H140" s="59">
        <v>235.25700000000003</v>
      </c>
      <c r="I140" s="59">
        <v>320.54000000000002</v>
      </c>
      <c r="J140" s="60">
        <v>337.74400000000003</v>
      </c>
    </row>
    <row r="141" spans="1:10" x14ac:dyDescent="0.25">
      <c r="A141" s="57" t="s">
        <v>333</v>
      </c>
      <c r="B141" s="57" t="s">
        <v>405</v>
      </c>
      <c r="C141" s="58">
        <v>0</v>
      </c>
      <c r="D141" s="59">
        <v>120.45</v>
      </c>
      <c r="E141" s="59">
        <v>138.49</v>
      </c>
      <c r="F141" s="59">
        <v>145.40900000000002</v>
      </c>
      <c r="G141" s="59">
        <v>168.36600000000001</v>
      </c>
      <c r="H141" s="59">
        <v>179.57500000000002</v>
      </c>
      <c r="I141" s="59">
        <v>240.88900000000004</v>
      </c>
      <c r="J141" s="60">
        <v>251.42700000000002</v>
      </c>
    </row>
    <row r="142" spans="1:10" hidden="1" x14ac:dyDescent="0.25">
      <c r="A142" s="57" t="s">
        <v>333</v>
      </c>
      <c r="B142" s="57" t="s">
        <v>414</v>
      </c>
      <c r="C142" s="58">
        <v>0</v>
      </c>
      <c r="D142" s="59">
        <v>132.69300000000001</v>
      </c>
      <c r="E142" s="59">
        <v>148.76400000000001</v>
      </c>
      <c r="F142" s="59">
        <v>165.13200000000001</v>
      </c>
      <c r="G142" s="59">
        <v>188.49600000000004</v>
      </c>
      <c r="H142" s="59">
        <v>196.99900000000002</v>
      </c>
      <c r="I142" s="59">
        <v>269.61</v>
      </c>
      <c r="J142" s="60">
        <v>279.89499999999998</v>
      </c>
    </row>
    <row r="143" spans="1:10" hidden="1" x14ac:dyDescent="0.25">
      <c r="A143" s="57" t="s">
        <v>333</v>
      </c>
      <c r="B143" s="57" t="s">
        <v>423</v>
      </c>
      <c r="C143" s="58">
        <v>0</v>
      </c>
      <c r="D143" s="59">
        <v>194.56800000000001</v>
      </c>
      <c r="E143" s="59">
        <v>221.67200000000003</v>
      </c>
      <c r="F143" s="59">
        <v>248.13800000000003</v>
      </c>
      <c r="G143" s="59">
        <v>287.99100000000004</v>
      </c>
      <c r="H143" s="59">
        <v>303.58900000000006</v>
      </c>
      <c r="I143" s="59">
        <v>422.26800000000003</v>
      </c>
      <c r="J143" s="60">
        <v>437.56900000000007</v>
      </c>
    </row>
    <row r="144" spans="1:10" hidden="1" x14ac:dyDescent="0.25">
      <c r="A144" s="57" t="s">
        <v>333</v>
      </c>
      <c r="B144" s="57" t="s">
        <v>432</v>
      </c>
      <c r="C144" s="58">
        <v>0</v>
      </c>
      <c r="D144" s="59">
        <v>120.45</v>
      </c>
      <c r="E144" s="59">
        <v>139.447</v>
      </c>
      <c r="F144" s="59">
        <v>151.98699999999999</v>
      </c>
      <c r="G144" s="59">
        <v>177.595</v>
      </c>
      <c r="H144" s="59">
        <v>199.57300000000004</v>
      </c>
      <c r="I144" s="59">
        <v>235.48800000000003</v>
      </c>
      <c r="J144" s="60">
        <v>242.51700000000002</v>
      </c>
    </row>
    <row r="145" spans="1:10" hidden="1" x14ac:dyDescent="0.25">
      <c r="A145" s="57" t="s">
        <v>333</v>
      </c>
      <c r="B145" s="57" t="s">
        <v>441</v>
      </c>
      <c r="C145" s="58">
        <v>0</v>
      </c>
      <c r="D145" s="59">
        <v>136.917</v>
      </c>
      <c r="E145" s="59">
        <v>169.58699999999999</v>
      </c>
      <c r="F145" s="59">
        <v>181.137</v>
      </c>
      <c r="G145" s="59">
        <v>200.40900000000002</v>
      </c>
      <c r="H145" s="59">
        <v>222.73900000000003</v>
      </c>
      <c r="I145" s="59">
        <v>263.08699999999999</v>
      </c>
      <c r="J145" s="60">
        <v>273.38300000000004</v>
      </c>
    </row>
    <row r="146" spans="1:10" hidden="1" x14ac:dyDescent="0.25">
      <c r="A146" s="57" t="s">
        <v>333</v>
      </c>
      <c r="B146" s="57" t="s">
        <v>450</v>
      </c>
      <c r="C146" s="58">
        <v>0</v>
      </c>
      <c r="D146" s="59">
        <v>198.36300000000003</v>
      </c>
      <c r="E146" s="59">
        <v>258.81900000000002</v>
      </c>
      <c r="F146" s="59">
        <v>377.27800000000008</v>
      </c>
      <c r="G146" s="59">
        <v>404.78900000000004</v>
      </c>
      <c r="H146" s="59">
        <v>442.05700000000002</v>
      </c>
      <c r="I146" s="59">
        <v>545.27</v>
      </c>
      <c r="J146" s="60">
        <v>568.86500000000001</v>
      </c>
    </row>
    <row r="147" spans="1:10" hidden="1" x14ac:dyDescent="0.25">
      <c r="A147" s="57" t="s">
        <v>333</v>
      </c>
      <c r="B147" s="57" t="s">
        <v>459</v>
      </c>
      <c r="C147" s="58">
        <v>0</v>
      </c>
      <c r="D147" s="59">
        <v>216.79900000000004</v>
      </c>
      <c r="E147" s="59">
        <v>255.56300000000005</v>
      </c>
      <c r="F147" s="59">
        <v>274.70300000000003</v>
      </c>
      <c r="G147" s="59">
        <v>315.57900000000001</v>
      </c>
      <c r="H147" s="59">
        <v>323.07</v>
      </c>
      <c r="I147" s="59">
        <v>460.86700000000008</v>
      </c>
      <c r="J147" s="60">
        <v>470.77800000000008</v>
      </c>
    </row>
    <row r="148" spans="1:10" hidden="1" x14ac:dyDescent="0.25">
      <c r="A148" s="57" t="s">
        <v>333</v>
      </c>
      <c r="B148" s="57" t="s">
        <v>468</v>
      </c>
      <c r="C148" s="58">
        <v>0</v>
      </c>
      <c r="D148" s="59">
        <v>210.41900000000001</v>
      </c>
      <c r="E148" s="59">
        <v>249.89800000000002</v>
      </c>
      <c r="F148" s="59">
        <v>269.84100000000001</v>
      </c>
      <c r="G148" s="59">
        <v>292.71000000000004</v>
      </c>
      <c r="H148" s="59">
        <v>330.19800000000004</v>
      </c>
      <c r="I148" s="59">
        <v>474.815</v>
      </c>
      <c r="J148" s="60">
        <v>494.54900000000004</v>
      </c>
    </row>
    <row r="149" spans="1:10" hidden="1" x14ac:dyDescent="0.25">
      <c r="A149" s="57" t="s">
        <v>333</v>
      </c>
      <c r="B149" s="57" t="s">
        <v>477</v>
      </c>
      <c r="C149" s="58">
        <v>0</v>
      </c>
      <c r="D149" s="59">
        <v>157.08000000000001</v>
      </c>
      <c r="E149" s="59">
        <v>217.69000000000003</v>
      </c>
      <c r="F149" s="59">
        <v>230.23000000000002</v>
      </c>
      <c r="G149" s="59">
        <v>257.048</v>
      </c>
      <c r="H149" s="59">
        <v>289.71800000000002</v>
      </c>
      <c r="I149" s="59">
        <v>381.39200000000005</v>
      </c>
      <c r="J149" s="60">
        <v>414.27100000000007</v>
      </c>
    </row>
    <row r="150" spans="1:10" hidden="1" x14ac:dyDescent="0.25">
      <c r="A150" s="57" t="s">
        <v>333</v>
      </c>
      <c r="B150" s="57" t="s">
        <v>486</v>
      </c>
      <c r="C150" s="58">
        <v>0</v>
      </c>
      <c r="D150" s="59">
        <v>156.84900000000002</v>
      </c>
      <c r="E150" s="59">
        <v>191.03700000000001</v>
      </c>
      <c r="F150" s="59">
        <v>203.53300000000002</v>
      </c>
      <c r="G150" s="59">
        <v>246.202</v>
      </c>
      <c r="H150" s="59">
        <v>255.98100000000002</v>
      </c>
      <c r="I150" s="59">
        <v>360.77800000000008</v>
      </c>
      <c r="J150" s="60">
        <v>371.16200000000003</v>
      </c>
    </row>
    <row r="151" spans="1:10" hidden="1" x14ac:dyDescent="0.25">
      <c r="A151" s="57" t="s">
        <v>333</v>
      </c>
      <c r="B151" s="57" t="s">
        <v>495</v>
      </c>
      <c r="C151" s="58">
        <v>0</v>
      </c>
      <c r="D151" s="59">
        <v>194.876</v>
      </c>
      <c r="E151" s="59">
        <v>212.179</v>
      </c>
      <c r="F151" s="59">
        <v>226.18200000000002</v>
      </c>
      <c r="G151" s="59">
        <v>271.92</v>
      </c>
      <c r="H151" s="59">
        <v>277.81600000000003</v>
      </c>
      <c r="I151" s="59">
        <v>395.05400000000003</v>
      </c>
      <c r="J151" s="60">
        <v>423.84100000000007</v>
      </c>
    </row>
    <row r="152" spans="1:10" hidden="1" x14ac:dyDescent="0.25">
      <c r="A152" s="57" t="s">
        <v>333</v>
      </c>
      <c r="B152" s="57" t="s">
        <v>504</v>
      </c>
      <c r="C152" s="58">
        <v>0</v>
      </c>
      <c r="D152" s="59">
        <v>162.09600000000003</v>
      </c>
      <c r="E152" s="59">
        <v>234.619</v>
      </c>
      <c r="F152" s="59">
        <v>244.53000000000003</v>
      </c>
      <c r="G152" s="59">
        <v>285.58200000000005</v>
      </c>
      <c r="H152" s="59">
        <v>290.09200000000004</v>
      </c>
      <c r="I152" s="59">
        <v>413.79800000000006</v>
      </c>
      <c r="J152" s="60">
        <v>423.04900000000004</v>
      </c>
    </row>
    <row r="153" spans="1:10" hidden="1" x14ac:dyDescent="0.25">
      <c r="A153" s="57" t="s">
        <v>333</v>
      </c>
      <c r="B153" s="57" t="s">
        <v>513</v>
      </c>
      <c r="C153" s="58">
        <v>0</v>
      </c>
      <c r="D153" s="59">
        <v>252.03200000000004</v>
      </c>
      <c r="E153" s="59">
        <v>294.11799999999999</v>
      </c>
      <c r="F153" s="59">
        <v>323.22399999999999</v>
      </c>
      <c r="G153" s="59">
        <v>374.34100000000001</v>
      </c>
      <c r="H153" s="59">
        <v>395.13100000000003</v>
      </c>
      <c r="I153" s="59">
        <v>503.15100000000007</v>
      </c>
      <c r="J153" s="60">
        <v>540.35300000000007</v>
      </c>
    </row>
    <row r="154" spans="1:10" hidden="1" x14ac:dyDescent="0.25">
      <c r="A154" s="57" t="s">
        <v>333</v>
      </c>
      <c r="B154" s="57" t="s">
        <v>522</v>
      </c>
      <c r="C154" s="58">
        <v>0</v>
      </c>
      <c r="D154" s="59">
        <v>210.529</v>
      </c>
      <c r="E154" s="59">
        <v>248.65500000000003</v>
      </c>
      <c r="F154" s="59">
        <v>284.108</v>
      </c>
      <c r="G154" s="59">
        <v>313.92900000000003</v>
      </c>
      <c r="H154" s="59">
        <v>328.27300000000002</v>
      </c>
      <c r="I154" s="59">
        <v>382.93200000000002</v>
      </c>
      <c r="J154" s="60">
        <v>427.18500000000006</v>
      </c>
    </row>
    <row r="155" spans="1:10" hidden="1" x14ac:dyDescent="0.25">
      <c r="A155" s="57" t="s">
        <v>333</v>
      </c>
      <c r="B155" s="57" t="s">
        <v>531</v>
      </c>
      <c r="C155" s="58">
        <v>0</v>
      </c>
      <c r="D155" s="59">
        <v>128.78800000000001</v>
      </c>
      <c r="E155" s="59">
        <v>149.49</v>
      </c>
      <c r="F155" s="59">
        <v>152.59200000000001</v>
      </c>
      <c r="G155" s="59">
        <v>192.41200000000001</v>
      </c>
      <c r="H155" s="59">
        <v>208.351</v>
      </c>
      <c r="I155" s="59">
        <v>288.61799999999999</v>
      </c>
      <c r="J155" s="60">
        <v>303.66600000000005</v>
      </c>
    </row>
    <row r="156" spans="1:10" hidden="1" x14ac:dyDescent="0.25">
      <c r="A156" s="57" t="s">
        <v>333</v>
      </c>
      <c r="B156" s="57" t="s">
        <v>540</v>
      </c>
      <c r="C156" s="58">
        <v>0</v>
      </c>
      <c r="D156" s="59">
        <v>149.67699999999999</v>
      </c>
      <c r="E156" s="59">
        <v>173.86600000000001</v>
      </c>
      <c r="F156" s="59">
        <v>186.40600000000003</v>
      </c>
      <c r="G156" s="59">
        <v>215.98500000000001</v>
      </c>
      <c r="H156" s="59">
        <v>232.05600000000004</v>
      </c>
      <c r="I156" s="59">
        <v>329.71400000000006</v>
      </c>
      <c r="J156" s="60">
        <v>349.11799999999999</v>
      </c>
    </row>
    <row r="157" spans="1:10" hidden="1" x14ac:dyDescent="0.25">
      <c r="A157" s="57" t="s">
        <v>333</v>
      </c>
      <c r="B157" s="57" t="s">
        <v>549</v>
      </c>
      <c r="C157" s="58">
        <v>0</v>
      </c>
      <c r="D157" s="59">
        <v>144.309</v>
      </c>
      <c r="E157" s="59">
        <v>157.08000000000001</v>
      </c>
      <c r="F157" s="59">
        <v>165.13200000000001</v>
      </c>
      <c r="G157" s="59">
        <v>192.41200000000001</v>
      </c>
      <c r="H157" s="59">
        <v>204.65500000000003</v>
      </c>
      <c r="I157" s="59">
        <v>288.61799999999999</v>
      </c>
      <c r="J157" s="60">
        <v>306.40500000000003</v>
      </c>
    </row>
    <row r="158" spans="1:10" hidden="1" x14ac:dyDescent="0.25">
      <c r="A158" s="57" t="s">
        <v>333</v>
      </c>
      <c r="B158" s="57" t="s">
        <v>558</v>
      </c>
      <c r="C158" s="58">
        <v>0</v>
      </c>
      <c r="D158" s="59">
        <v>171.07200000000003</v>
      </c>
      <c r="E158" s="59">
        <v>193.27</v>
      </c>
      <c r="F158" s="59">
        <v>208.16400000000002</v>
      </c>
      <c r="G158" s="59">
        <v>240.251</v>
      </c>
      <c r="H158" s="59">
        <v>270.55600000000004</v>
      </c>
      <c r="I158" s="59">
        <v>362.85700000000003</v>
      </c>
      <c r="J158" s="60">
        <v>384.74700000000001</v>
      </c>
    </row>
    <row r="159" spans="1:10" hidden="1" x14ac:dyDescent="0.25">
      <c r="A159" s="57" t="s">
        <v>333</v>
      </c>
      <c r="B159" s="57" t="s">
        <v>567</v>
      </c>
      <c r="C159" s="58">
        <v>0</v>
      </c>
      <c r="D159" s="59">
        <v>178.15600000000003</v>
      </c>
      <c r="E159" s="59">
        <v>199.386</v>
      </c>
      <c r="F159" s="59">
        <v>228.84400000000002</v>
      </c>
      <c r="G159" s="59">
        <v>264.69300000000004</v>
      </c>
      <c r="H159" s="59">
        <v>264.12100000000004</v>
      </c>
      <c r="I159" s="59">
        <v>352.25300000000004</v>
      </c>
      <c r="J159" s="60">
        <v>370.55700000000002</v>
      </c>
    </row>
    <row r="160" spans="1:10" hidden="1" x14ac:dyDescent="0.25">
      <c r="A160" s="57" t="s">
        <v>333</v>
      </c>
      <c r="B160" s="57" t="s">
        <v>585</v>
      </c>
      <c r="C160" s="58">
        <v>0</v>
      </c>
      <c r="D160" s="59">
        <v>300.96000000000004</v>
      </c>
      <c r="E160" s="59">
        <v>332.31000000000006</v>
      </c>
      <c r="F160" s="59">
        <v>344.85</v>
      </c>
      <c r="G160" s="59">
        <v>363.66000000000008</v>
      </c>
      <c r="H160" s="59">
        <v>382.47</v>
      </c>
      <c r="I160" s="59">
        <v>441.91400000000004</v>
      </c>
      <c r="J160" s="60">
        <v>454.64100000000002</v>
      </c>
    </row>
    <row r="161" spans="1:10" hidden="1" x14ac:dyDescent="0.25">
      <c r="A161" s="57" t="s">
        <v>333</v>
      </c>
      <c r="B161" s="57" t="s">
        <v>585</v>
      </c>
      <c r="C161" s="58">
        <v>0</v>
      </c>
      <c r="D161" s="59">
        <v>219.73600000000002</v>
      </c>
      <c r="E161" s="59">
        <v>251.88900000000004</v>
      </c>
      <c r="F161" s="59">
        <v>275.90199999999999</v>
      </c>
      <c r="G161" s="59">
        <v>337.74400000000003</v>
      </c>
      <c r="H161" s="59">
        <v>339.55900000000003</v>
      </c>
      <c r="I161" s="59">
        <v>416.64699999999999</v>
      </c>
      <c r="J161" s="60">
        <v>431.04600000000005</v>
      </c>
    </row>
    <row r="162" spans="1:10" hidden="1" x14ac:dyDescent="0.25">
      <c r="A162" s="57" t="s">
        <v>333</v>
      </c>
      <c r="B162" s="57" t="s">
        <v>594</v>
      </c>
      <c r="C162" s="58">
        <v>0</v>
      </c>
      <c r="D162" s="59">
        <v>326.46900000000005</v>
      </c>
      <c r="E162" s="59">
        <v>359.17200000000003</v>
      </c>
      <c r="F162" s="59">
        <v>580.67900000000009</v>
      </c>
      <c r="G162" s="59">
        <v>622.40200000000016</v>
      </c>
      <c r="H162" s="59">
        <v>701.61300000000006</v>
      </c>
      <c r="I162" s="59">
        <v>900.94400000000007</v>
      </c>
      <c r="J162" s="60">
        <v>929.75300000000004</v>
      </c>
    </row>
    <row r="163" spans="1:10" hidden="1" x14ac:dyDescent="0.25">
      <c r="A163" s="57" t="s">
        <v>333</v>
      </c>
      <c r="B163" s="57" t="s">
        <v>603</v>
      </c>
      <c r="C163" s="58">
        <v>0</v>
      </c>
      <c r="D163" s="59">
        <v>163.625</v>
      </c>
      <c r="E163" s="59">
        <v>204.05</v>
      </c>
      <c r="F163" s="59">
        <v>213.18000000000004</v>
      </c>
      <c r="G163" s="59">
        <v>236.83000000000004</v>
      </c>
      <c r="H163" s="59">
        <v>248.69900000000001</v>
      </c>
      <c r="I163" s="59">
        <v>342.61700000000008</v>
      </c>
      <c r="J163" s="60">
        <v>370.029</v>
      </c>
    </row>
    <row r="164" spans="1:10" hidden="1" x14ac:dyDescent="0.25">
      <c r="A164" s="57" t="s">
        <v>333</v>
      </c>
      <c r="B164" s="57" t="s">
        <v>612</v>
      </c>
      <c r="C164" s="58">
        <v>0</v>
      </c>
      <c r="D164" s="59">
        <v>182.11600000000001</v>
      </c>
      <c r="E164" s="59">
        <v>199.68300000000002</v>
      </c>
      <c r="F164" s="59">
        <v>229.57</v>
      </c>
      <c r="G164" s="59">
        <v>263.57100000000003</v>
      </c>
      <c r="H164" s="59">
        <v>259.86400000000003</v>
      </c>
      <c r="I164" s="59">
        <v>352.25300000000004</v>
      </c>
      <c r="J164" s="60">
        <v>370.55700000000002</v>
      </c>
    </row>
    <row r="165" spans="1:10" hidden="1" x14ac:dyDescent="0.25">
      <c r="A165" s="57" t="s">
        <v>333</v>
      </c>
      <c r="B165" s="57" t="s">
        <v>621</v>
      </c>
      <c r="C165" s="58">
        <v>0</v>
      </c>
      <c r="D165" s="59">
        <v>214.53300000000002</v>
      </c>
      <c r="E165" s="59">
        <v>258.81900000000002</v>
      </c>
      <c r="F165" s="59">
        <v>281.72100000000006</v>
      </c>
      <c r="G165" s="59">
        <v>355.43200000000002</v>
      </c>
      <c r="H165" s="59">
        <v>368.10400000000004</v>
      </c>
      <c r="I165" s="59">
        <v>426.48099999999999</v>
      </c>
      <c r="J165" s="60">
        <v>443.13500000000005</v>
      </c>
    </row>
    <row r="166" spans="1:10" hidden="1" x14ac:dyDescent="0.25">
      <c r="A166" s="57" t="s">
        <v>333</v>
      </c>
      <c r="B166" s="57" t="s">
        <v>630</v>
      </c>
      <c r="C166" s="58">
        <v>0</v>
      </c>
      <c r="D166" s="59">
        <v>171.875</v>
      </c>
      <c r="E166" s="59">
        <v>211.27700000000002</v>
      </c>
      <c r="F166" s="59">
        <v>225.72</v>
      </c>
      <c r="G166" s="59">
        <v>248.05</v>
      </c>
      <c r="H166" s="59">
        <v>253.22</v>
      </c>
      <c r="I166" s="59">
        <v>351.01000000000005</v>
      </c>
      <c r="J166" s="60">
        <v>351.01000000000005</v>
      </c>
    </row>
    <row r="167" spans="1:10" hidden="1" x14ac:dyDescent="0.25">
      <c r="A167" s="57" t="s">
        <v>333</v>
      </c>
      <c r="B167" s="57" t="s">
        <v>639</v>
      </c>
      <c r="C167" s="58">
        <v>0</v>
      </c>
      <c r="D167" s="59">
        <v>237.10500000000002</v>
      </c>
      <c r="E167" s="59">
        <v>258.81900000000002</v>
      </c>
      <c r="F167" s="59">
        <v>394.94400000000007</v>
      </c>
      <c r="G167" s="59">
        <v>432.608</v>
      </c>
      <c r="H167" s="59">
        <v>440.26400000000007</v>
      </c>
      <c r="I167" s="59">
        <v>503.96500000000003</v>
      </c>
      <c r="J167" s="60">
        <v>553.42100000000005</v>
      </c>
    </row>
    <row r="168" spans="1:10" hidden="1" x14ac:dyDescent="0.25">
      <c r="A168" s="57" t="s">
        <v>333</v>
      </c>
      <c r="B168" s="57" t="s">
        <v>648</v>
      </c>
      <c r="C168" s="58">
        <v>0</v>
      </c>
      <c r="D168" s="59">
        <v>192.41200000000001</v>
      </c>
      <c r="E168" s="59">
        <v>276.529</v>
      </c>
      <c r="F168" s="59">
        <v>286.44</v>
      </c>
      <c r="G168" s="59">
        <v>323.774</v>
      </c>
      <c r="H168" s="59">
        <v>336.80900000000003</v>
      </c>
      <c r="I168" s="59">
        <v>483.42800000000005</v>
      </c>
      <c r="J168" s="60">
        <v>497.66200000000003</v>
      </c>
    </row>
    <row r="169" spans="1:10" hidden="1" x14ac:dyDescent="0.25">
      <c r="A169" s="57" t="s">
        <v>333</v>
      </c>
      <c r="B169" s="57" t="s">
        <v>657</v>
      </c>
      <c r="C169" s="58">
        <v>0</v>
      </c>
      <c r="D169" s="59">
        <v>203.126</v>
      </c>
      <c r="E169" s="59">
        <v>245.85000000000002</v>
      </c>
      <c r="F169" s="59">
        <v>251.85600000000002</v>
      </c>
      <c r="G169" s="59">
        <v>347.38000000000005</v>
      </c>
      <c r="H169" s="59">
        <v>364.54</v>
      </c>
      <c r="I169" s="59">
        <v>506.88000000000005</v>
      </c>
      <c r="J169" s="60">
        <v>521.202</v>
      </c>
    </row>
    <row r="170" spans="1:10" hidden="1" x14ac:dyDescent="0.25">
      <c r="A170" s="57" t="s">
        <v>333</v>
      </c>
      <c r="B170" s="57" t="s">
        <v>666</v>
      </c>
      <c r="C170" s="58">
        <v>0</v>
      </c>
      <c r="D170" s="59">
        <v>303.54500000000002</v>
      </c>
      <c r="E170" s="59">
        <v>352.75900000000001</v>
      </c>
      <c r="F170" s="59">
        <v>381.48</v>
      </c>
      <c r="G170" s="59">
        <v>420.59600000000006</v>
      </c>
      <c r="H170" s="59">
        <v>477.84000000000003</v>
      </c>
      <c r="I170" s="59">
        <v>577.4670000000001</v>
      </c>
      <c r="J170" s="60">
        <v>636.52600000000007</v>
      </c>
    </row>
    <row r="171" spans="1:10" hidden="1" x14ac:dyDescent="0.25">
      <c r="A171" s="57" t="s">
        <v>333</v>
      </c>
      <c r="B171" s="57" t="s">
        <v>675</v>
      </c>
      <c r="C171" s="58">
        <v>0</v>
      </c>
      <c r="D171" s="59">
        <v>168.45400000000001</v>
      </c>
      <c r="E171" s="59">
        <v>217.14000000000001</v>
      </c>
      <c r="F171" s="59">
        <v>228.73400000000001</v>
      </c>
      <c r="G171" s="59">
        <v>254.14400000000001</v>
      </c>
      <c r="H171" s="59">
        <v>256.79500000000002</v>
      </c>
      <c r="I171" s="59">
        <v>326.10599999999999</v>
      </c>
      <c r="J171" s="60">
        <v>341.35200000000003</v>
      </c>
    </row>
    <row r="172" spans="1:10" hidden="1" x14ac:dyDescent="0.25">
      <c r="A172" s="57" t="s">
        <v>333</v>
      </c>
      <c r="B172" s="57" t="s">
        <v>684</v>
      </c>
      <c r="C172" s="58">
        <v>0</v>
      </c>
      <c r="D172" s="59">
        <v>205.71100000000001</v>
      </c>
      <c r="E172" s="59">
        <v>239.00800000000001</v>
      </c>
      <c r="F172" s="59">
        <v>270.08300000000003</v>
      </c>
      <c r="G172" s="59">
        <v>352.09899999999999</v>
      </c>
      <c r="H172" s="59">
        <v>367.51000000000005</v>
      </c>
      <c r="I172" s="59">
        <v>423.62100000000004</v>
      </c>
      <c r="J172" s="60">
        <v>451.858</v>
      </c>
    </row>
    <row r="173" spans="1:10" hidden="1" x14ac:dyDescent="0.25">
      <c r="A173" s="57" t="s">
        <v>333</v>
      </c>
      <c r="B173" s="57" t="s">
        <v>693</v>
      </c>
      <c r="C173" s="58">
        <v>0</v>
      </c>
      <c r="D173" s="59">
        <v>204.952</v>
      </c>
      <c r="E173" s="59">
        <v>286.56100000000004</v>
      </c>
      <c r="F173" s="59">
        <v>298.98</v>
      </c>
      <c r="G173" s="59">
        <v>336.72100000000006</v>
      </c>
      <c r="H173" s="59">
        <v>353.65000000000003</v>
      </c>
      <c r="I173" s="59">
        <v>498.81700000000006</v>
      </c>
      <c r="J173" s="60">
        <v>510.22399999999999</v>
      </c>
    </row>
    <row r="174" spans="1:10" hidden="1" x14ac:dyDescent="0.25">
      <c r="A174" s="57" t="s">
        <v>333</v>
      </c>
      <c r="B174" s="57" t="s">
        <v>702</v>
      </c>
      <c r="C174" s="58">
        <v>0</v>
      </c>
      <c r="D174" s="59">
        <v>227.78800000000004</v>
      </c>
      <c r="E174" s="59">
        <v>317.96600000000001</v>
      </c>
      <c r="F174" s="59">
        <v>398.27700000000004</v>
      </c>
      <c r="G174" s="59">
        <v>424.19300000000004</v>
      </c>
      <c r="H174" s="59">
        <v>464.95900000000006</v>
      </c>
      <c r="I174" s="59">
        <v>582.98900000000003</v>
      </c>
      <c r="J174" s="60">
        <v>611.75400000000002</v>
      </c>
    </row>
    <row r="175" spans="1:10" hidden="1" x14ac:dyDescent="0.25">
      <c r="A175" s="57" t="s">
        <v>333</v>
      </c>
      <c r="B175" s="57" t="s">
        <v>711</v>
      </c>
      <c r="C175" s="58">
        <v>0</v>
      </c>
      <c r="D175" s="59">
        <v>138.49</v>
      </c>
      <c r="E175" s="59">
        <v>213.44400000000002</v>
      </c>
      <c r="F175" s="59">
        <v>225.72</v>
      </c>
      <c r="G175" s="59">
        <v>256.21199999999999</v>
      </c>
      <c r="H175" s="59">
        <v>298.99100000000004</v>
      </c>
      <c r="I175" s="59">
        <v>378.23500000000007</v>
      </c>
      <c r="J175" s="60">
        <v>394.35</v>
      </c>
    </row>
    <row r="176" spans="1:10" hidden="1" x14ac:dyDescent="0.25">
      <c r="A176" s="57" t="s">
        <v>333</v>
      </c>
      <c r="B176" s="57" t="s">
        <v>720</v>
      </c>
      <c r="C176" s="58">
        <v>0</v>
      </c>
      <c r="D176" s="59">
        <v>161.13900000000001</v>
      </c>
      <c r="E176" s="59">
        <v>224.14700000000002</v>
      </c>
      <c r="F176" s="59">
        <v>266.12300000000005</v>
      </c>
      <c r="G176" s="59">
        <v>288.34300000000002</v>
      </c>
      <c r="H176" s="59">
        <v>332.33200000000005</v>
      </c>
      <c r="I176" s="59">
        <v>444.14699999999999</v>
      </c>
      <c r="J176" s="60">
        <v>468.79800000000006</v>
      </c>
    </row>
    <row r="177" spans="1:10" hidden="1" x14ac:dyDescent="0.25">
      <c r="A177" s="57" t="s">
        <v>333</v>
      </c>
      <c r="B177" s="57" t="s">
        <v>729</v>
      </c>
      <c r="C177" s="58">
        <v>0</v>
      </c>
      <c r="D177" s="59">
        <v>176.352</v>
      </c>
      <c r="E177" s="59">
        <v>179.66300000000004</v>
      </c>
      <c r="F177" s="59">
        <v>222.00200000000001</v>
      </c>
      <c r="G177" s="59">
        <v>269.73100000000005</v>
      </c>
      <c r="H177" s="59">
        <v>317.66900000000004</v>
      </c>
      <c r="I177" s="59">
        <v>380.47900000000004</v>
      </c>
      <c r="J177" s="60">
        <v>401.12600000000003</v>
      </c>
    </row>
    <row r="178" spans="1:10" hidden="1" x14ac:dyDescent="0.25">
      <c r="A178" s="57" t="s">
        <v>333</v>
      </c>
      <c r="B178" s="57" t="s">
        <v>738</v>
      </c>
      <c r="C178" s="58">
        <v>0</v>
      </c>
      <c r="D178" s="59">
        <v>163.28400000000002</v>
      </c>
      <c r="E178" s="59">
        <v>187.90200000000002</v>
      </c>
      <c r="F178" s="59">
        <v>201.27799999999999</v>
      </c>
      <c r="G178" s="59">
        <v>213.136</v>
      </c>
      <c r="H178" s="59">
        <v>250.32700000000003</v>
      </c>
      <c r="I178" s="59">
        <v>384.065</v>
      </c>
      <c r="J178" s="60">
        <v>401.59899999999999</v>
      </c>
    </row>
    <row r="179" spans="1:10" hidden="1" x14ac:dyDescent="0.25">
      <c r="A179" s="57" t="s">
        <v>333</v>
      </c>
      <c r="B179" s="57" t="s">
        <v>747</v>
      </c>
      <c r="C179" s="58">
        <v>0</v>
      </c>
      <c r="D179" s="59">
        <v>151.84399999999999</v>
      </c>
      <c r="E179" s="59">
        <v>201.542</v>
      </c>
      <c r="F179" s="59">
        <v>219.45000000000002</v>
      </c>
      <c r="G179" s="59">
        <v>247.72</v>
      </c>
      <c r="H179" s="59">
        <v>281.358</v>
      </c>
      <c r="I179" s="59">
        <v>337.12800000000004</v>
      </c>
      <c r="J179" s="60">
        <v>351.52700000000004</v>
      </c>
    </row>
    <row r="180" spans="1:10" hidden="1" x14ac:dyDescent="0.25">
      <c r="A180" s="57" t="s">
        <v>333</v>
      </c>
      <c r="B180" s="57" t="s">
        <v>756</v>
      </c>
      <c r="C180" s="58">
        <v>0</v>
      </c>
      <c r="D180" s="59">
        <v>186.94499999999999</v>
      </c>
      <c r="E180" s="59">
        <v>226.12700000000001</v>
      </c>
      <c r="F180" s="59">
        <v>247.30200000000002</v>
      </c>
      <c r="G180" s="59">
        <v>280.12600000000003</v>
      </c>
      <c r="H180" s="59">
        <v>316.34899999999999</v>
      </c>
      <c r="I180" s="59">
        <v>443.09100000000007</v>
      </c>
      <c r="J180" s="60">
        <v>477.08100000000002</v>
      </c>
    </row>
    <row r="181" spans="1:10" hidden="1" x14ac:dyDescent="0.25">
      <c r="A181" s="57" t="s">
        <v>333</v>
      </c>
      <c r="B181" s="57" t="s">
        <v>1626</v>
      </c>
      <c r="C181" s="58">
        <v>0</v>
      </c>
      <c r="D181" s="59">
        <v>827.64</v>
      </c>
      <c r="E181" s="59">
        <v>1078.44</v>
      </c>
      <c r="F181" s="59">
        <v>1116.0600000000002</v>
      </c>
      <c r="G181" s="59">
        <v>1254</v>
      </c>
      <c r="H181" s="59">
        <v>1285.3500000000001</v>
      </c>
      <c r="I181" s="59">
        <v>1617.66</v>
      </c>
      <c r="J181" s="60">
        <v>1649.01</v>
      </c>
    </row>
    <row r="182" spans="1:10" hidden="1" x14ac:dyDescent="0.25">
      <c r="A182" s="57" t="s">
        <v>333</v>
      </c>
      <c r="B182" s="57" t="s">
        <v>765</v>
      </c>
      <c r="C182" s="58">
        <v>0</v>
      </c>
      <c r="D182" s="59">
        <v>331.40800000000002</v>
      </c>
      <c r="E182" s="59">
        <v>721.39099999999996</v>
      </c>
      <c r="F182" s="59">
        <v>740.92700000000013</v>
      </c>
      <c r="G182" s="59">
        <v>437.88800000000003</v>
      </c>
      <c r="H182" s="59">
        <v>425.26000000000005</v>
      </c>
      <c r="I182" s="59">
        <v>638.11000000000013</v>
      </c>
      <c r="J182" s="60">
        <v>1043.1410000000001</v>
      </c>
    </row>
    <row r="183" spans="1:10" hidden="1" x14ac:dyDescent="0.25">
      <c r="A183" s="57" t="s">
        <v>333</v>
      </c>
      <c r="B183" s="57" t="s">
        <v>774</v>
      </c>
      <c r="C183" s="58">
        <v>0</v>
      </c>
      <c r="D183" s="59">
        <v>216.38100000000003</v>
      </c>
      <c r="E183" s="59">
        <v>312.18000000000006</v>
      </c>
      <c r="F183" s="59">
        <v>321.77199999999999</v>
      </c>
      <c r="G183" s="59">
        <v>360.43700000000007</v>
      </c>
      <c r="H183" s="59">
        <v>382.50300000000004</v>
      </c>
      <c r="I183" s="59">
        <v>522.72</v>
      </c>
      <c r="J183" s="60">
        <v>533.75300000000004</v>
      </c>
    </row>
    <row r="184" spans="1:10" hidden="1" x14ac:dyDescent="0.25">
      <c r="A184" s="57" t="s">
        <v>333</v>
      </c>
      <c r="B184" s="57" t="s">
        <v>783</v>
      </c>
      <c r="C184" s="58">
        <v>0</v>
      </c>
      <c r="D184" s="59">
        <v>145.57400000000001</v>
      </c>
      <c r="E184" s="59">
        <v>213.78500000000003</v>
      </c>
      <c r="F184" s="59">
        <v>226.369</v>
      </c>
      <c r="G184" s="59">
        <v>255.09000000000003</v>
      </c>
      <c r="H184" s="59">
        <v>298.80400000000003</v>
      </c>
      <c r="I184" s="59">
        <v>379.29100000000005</v>
      </c>
      <c r="J184" s="60">
        <v>406.62600000000003</v>
      </c>
    </row>
    <row r="185" spans="1:10" hidden="1" x14ac:dyDescent="0.25">
      <c r="A185" s="57" t="s">
        <v>333</v>
      </c>
      <c r="B185" s="57" t="s">
        <v>792</v>
      </c>
      <c r="C185" s="58">
        <v>0</v>
      </c>
      <c r="D185" s="59">
        <v>207.262</v>
      </c>
      <c r="E185" s="59">
        <v>252.68100000000004</v>
      </c>
      <c r="F185" s="59">
        <v>271.029</v>
      </c>
      <c r="G185" s="59">
        <v>295.14100000000002</v>
      </c>
      <c r="H185" s="59">
        <v>318.95600000000002</v>
      </c>
      <c r="I185" s="59">
        <v>455.59800000000007</v>
      </c>
      <c r="J185" s="60">
        <v>488.49900000000002</v>
      </c>
    </row>
    <row r="186" spans="1:10" hidden="1" x14ac:dyDescent="0.25">
      <c r="A186" s="57" t="s">
        <v>333</v>
      </c>
      <c r="B186" s="57" t="s">
        <v>801</v>
      </c>
      <c r="C186" s="58">
        <v>0</v>
      </c>
      <c r="D186" s="59">
        <v>178.387</v>
      </c>
      <c r="E186" s="59">
        <v>213.63100000000003</v>
      </c>
      <c r="F186" s="59">
        <v>226.85300000000001</v>
      </c>
      <c r="G186" s="59">
        <v>253.20900000000003</v>
      </c>
      <c r="H186" s="59">
        <v>300.25600000000003</v>
      </c>
      <c r="I186" s="59">
        <v>383.72399999999999</v>
      </c>
      <c r="J186" s="60">
        <v>416.64699999999999</v>
      </c>
    </row>
    <row r="187" spans="1:10" hidden="1" x14ac:dyDescent="0.25">
      <c r="A187" s="57" t="s">
        <v>333</v>
      </c>
      <c r="B187" s="57" t="s">
        <v>810</v>
      </c>
      <c r="C187" s="58">
        <v>0</v>
      </c>
      <c r="D187" s="59">
        <v>144.54000000000002</v>
      </c>
      <c r="E187" s="59">
        <v>161.79900000000001</v>
      </c>
      <c r="F187" s="59">
        <v>170.19200000000001</v>
      </c>
      <c r="G187" s="59">
        <v>198.68200000000002</v>
      </c>
      <c r="H187" s="59">
        <v>216.12800000000001</v>
      </c>
      <c r="I187" s="59">
        <v>288.61799999999999</v>
      </c>
      <c r="J187" s="60">
        <v>301.15800000000002</v>
      </c>
    </row>
    <row r="188" spans="1:10" hidden="1" x14ac:dyDescent="0.25">
      <c r="A188" s="57" t="s">
        <v>333</v>
      </c>
      <c r="B188" s="57" t="s">
        <v>819</v>
      </c>
      <c r="C188" s="58">
        <v>0</v>
      </c>
      <c r="D188" s="59">
        <v>290.68600000000004</v>
      </c>
      <c r="E188" s="59">
        <v>343.76100000000002</v>
      </c>
      <c r="F188" s="59">
        <v>354.73900000000003</v>
      </c>
      <c r="G188" s="59">
        <v>382.65700000000004</v>
      </c>
      <c r="H188" s="59">
        <v>399.12400000000002</v>
      </c>
      <c r="I188" s="59">
        <v>573.21</v>
      </c>
      <c r="J188" s="60">
        <v>662.1450000000001</v>
      </c>
    </row>
    <row r="189" spans="1:10" hidden="1" x14ac:dyDescent="0.25">
      <c r="A189" s="57" t="s">
        <v>333</v>
      </c>
      <c r="B189" s="57" t="s">
        <v>828</v>
      </c>
      <c r="C189" s="58">
        <v>0</v>
      </c>
      <c r="D189" s="59">
        <v>232.61700000000002</v>
      </c>
      <c r="E189" s="59">
        <v>278.65199999999999</v>
      </c>
      <c r="F189" s="59">
        <v>288.68400000000003</v>
      </c>
      <c r="G189" s="59">
        <v>300.72899999999998</v>
      </c>
      <c r="H189" s="59">
        <v>305.58000000000004</v>
      </c>
      <c r="I189" s="59">
        <v>371.21700000000004</v>
      </c>
      <c r="J189" s="60">
        <v>378.12500000000006</v>
      </c>
    </row>
    <row r="190" spans="1:10" hidden="1" x14ac:dyDescent="0.25">
      <c r="A190" s="57" t="s">
        <v>333</v>
      </c>
      <c r="B190" s="57" t="s">
        <v>837</v>
      </c>
      <c r="C190" s="58">
        <v>0</v>
      </c>
      <c r="D190" s="59">
        <v>164.15299999999999</v>
      </c>
      <c r="E190" s="59">
        <v>204.93000000000004</v>
      </c>
      <c r="F190" s="59">
        <v>213.51000000000002</v>
      </c>
      <c r="G190" s="59">
        <v>234.66300000000004</v>
      </c>
      <c r="H190" s="59">
        <v>243.12200000000004</v>
      </c>
      <c r="I190" s="59">
        <v>354.27700000000004</v>
      </c>
      <c r="J190" s="60">
        <v>381.21600000000001</v>
      </c>
    </row>
    <row r="191" spans="1:10" hidden="1" x14ac:dyDescent="0.25">
      <c r="A191" s="57" t="s">
        <v>333</v>
      </c>
      <c r="B191" s="57" t="s">
        <v>846</v>
      </c>
      <c r="C191" s="58">
        <v>0</v>
      </c>
      <c r="D191" s="59">
        <v>193.53400000000002</v>
      </c>
      <c r="E191" s="59">
        <v>197.58200000000002</v>
      </c>
      <c r="F191" s="59">
        <v>229.00900000000001</v>
      </c>
      <c r="G191" s="59">
        <v>255.904</v>
      </c>
      <c r="H191" s="59">
        <v>256.83900000000006</v>
      </c>
      <c r="I191" s="59">
        <v>319.077</v>
      </c>
      <c r="J191" s="60">
        <v>334.21300000000002</v>
      </c>
    </row>
    <row r="192" spans="1:10" hidden="1" x14ac:dyDescent="0.25">
      <c r="A192" s="57" t="s">
        <v>333</v>
      </c>
      <c r="B192" s="57" t="s">
        <v>855</v>
      </c>
      <c r="C192" s="58">
        <v>0</v>
      </c>
      <c r="D192" s="59">
        <v>216.46900000000002</v>
      </c>
      <c r="E192" s="59">
        <v>252.07600000000002</v>
      </c>
      <c r="F192" s="59">
        <v>317.75700000000001</v>
      </c>
      <c r="G192" s="59">
        <v>350.75700000000001</v>
      </c>
      <c r="H192" s="59">
        <v>383.87800000000004</v>
      </c>
      <c r="I192" s="59">
        <v>556.072</v>
      </c>
      <c r="J192" s="60">
        <v>661.25400000000002</v>
      </c>
    </row>
    <row r="193" spans="1:10" hidden="1" x14ac:dyDescent="0.25">
      <c r="A193" s="57" t="s">
        <v>333</v>
      </c>
      <c r="B193" s="57" t="s">
        <v>864</v>
      </c>
      <c r="C193" s="58">
        <v>0</v>
      </c>
      <c r="D193" s="59">
        <v>253.77</v>
      </c>
      <c r="E193" s="59">
        <v>308.89100000000002</v>
      </c>
      <c r="F193" s="59">
        <v>312.04800000000006</v>
      </c>
      <c r="G193" s="59">
        <v>332.35399999999998</v>
      </c>
      <c r="H193" s="59">
        <v>360.8</v>
      </c>
      <c r="I193" s="59">
        <v>428.47200000000004</v>
      </c>
      <c r="J193" s="60">
        <v>454.71800000000002</v>
      </c>
    </row>
    <row r="194" spans="1:10" hidden="1" x14ac:dyDescent="0.25">
      <c r="A194" s="57" t="s">
        <v>333</v>
      </c>
      <c r="B194" s="57" t="s">
        <v>873</v>
      </c>
      <c r="C194" s="58">
        <v>0</v>
      </c>
      <c r="D194" s="59">
        <v>595.02300000000002</v>
      </c>
      <c r="E194" s="59">
        <v>613.77800000000002</v>
      </c>
      <c r="F194" s="59">
        <v>637.56000000000006</v>
      </c>
      <c r="G194" s="59">
        <v>739.33200000000011</v>
      </c>
      <c r="H194" s="59">
        <v>750.70600000000013</v>
      </c>
      <c r="I194" s="59">
        <v>924.01100000000008</v>
      </c>
      <c r="J194" s="60">
        <v>938.41000000000008</v>
      </c>
    </row>
    <row r="195" spans="1:10" hidden="1" x14ac:dyDescent="0.25">
      <c r="A195" s="57" t="s">
        <v>333</v>
      </c>
      <c r="B195" s="57" t="s">
        <v>882</v>
      </c>
      <c r="C195" s="58">
        <v>0</v>
      </c>
      <c r="D195" s="59">
        <v>282.28200000000004</v>
      </c>
      <c r="E195" s="59">
        <v>375.47399999999999</v>
      </c>
      <c r="F195" s="59">
        <v>395.274</v>
      </c>
      <c r="G195" s="59">
        <v>426.25000000000006</v>
      </c>
      <c r="H195" s="59">
        <v>434.63200000000006</v>
      </c>
      <c r="I195" s="59">
        <v>597.45400000000006</v>
      </c>
      <c r="J195" s="60">
        <v>607.5630000000001</v>
      </c>
    </row>
    <row r="196" spans="1:10" hidden="1" x14ac:dyDescent="0.25">
      <c r="A196" s="57" t="s">
        <v>333</v>
      </c>
      <c r="B196" s="57" t="s">
        <v>891</v>
      </c>
      <c r="C196" s="58">
        <v>0</v>
      </c>
      <c r="D196" s="59">
        <v>170.34600000000003</v>
      </c>
      <c r="E196" s="59">
        <v>233.39800000000002</v>
      </c>
      <c r="F196" s="59">
        <v>239.92100000000002</v>
      </c>
      <c r="G196" s="59">
        <v>255.49700000000004</v>
      </c>
      <c r="H196" s="59">
        <v>258.48900000000003</v>
      </c>
      <c r="I196" s="59">
        <v>399.34400000000005</v>
      </c>
      <c r="J196" s="60">
        <v>404.52500000000003</v>
      </c>
    </row>
    <row r="197" spans="1:10" hidden="1" x14ac:dyDescent="0.25">
      <c r="A197" s="57" t="s">
        <v>333</v>
      </c>
      <c r="B197" s="57" t="s">
        <v>900</v>
      </c>
      <c r="C197" s="58">
        <v>0</v>
      </c>
      <c r="D197" s="59">
        <v>197.02100000000004</v>
      </c>
      <c r="E197" s="59">
        <v>203.54400000000001</v>
      </c>
      <c r="F197" s="59">
        <v>227.94200000000001</v>
      </c>
      <c r="G197" s="59">
        <v>266.18900000000002</v>
      </c>
      <c r="H197" s="59">
        <v>271.23800000000006</v>
      </c>
      <c r="I197" s="59">
        <v>323.92800000000005</v>
      </c>
      <c r="J197" s="60">
        <v>336.90800000000002</v>
      </c>
    </row>
    <row r="198" spans="1:10" hidden="1" x14ac:dyDescent="0.25">
      <c r="A198" s="61" t="s">
        <v>333</v>
      </c>
      <c r="B198" s="61" t="s">
        <v>909</v>
      </c>
      <c r="C198" s="58">
        <v>0</v>
      </c>
      <c r="D198" s="62">
        <v>128.85400000000001</v>
      </c>
      <c r="E198" s="62">
        <v>146.53100000000003</v>
      </c>
      <c r="F198" s="62">
        <v>189.26600000000002</v>
      </c>
      <c r="G198" s="62">
        <v>218.33900000000003</v>
      </c>
      <c r="H198" s="62">
        <v>242.94600000000003</v>
      </c>
      <c r="I198" s="62">
        <v>296.10900000000004</v>
      </c>
      <c r="J198" s="63">
        <v>309.11099999999999</v>
      </c>
    </row>
    <row r="199" spans="1:10" hidden="1" x14ac:dyDescent="0.25">
      <c r="A199" s="61"/>
      <c r="B199" s="61"/>
      <c r="C199" s="96">
        <v>0</v>
      </c>
      <c r="D199" s="62">
        <v>0</v>
      </c>
      <c r="E199" s="62">
        <v>0</v>
      </c>
      <c r="F199" s="62">
        <v>0</v>
      </c>
      <c r="G199" s="62">
        <v>0</v>
      </c>
      <c r="H199" s="62">
        <v>0</v>
      </c>
      <c r="I199" s="62">
        <v>0</v>
      </c>
      <c r="J199" s="63">
        <v>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93204-2566-4C07-A518-2C20764A525D}">
  <sheetPr>
    <tabColor theme="8"/>
  </sheetPr>
  <dimension ref="A1:J3"/>
  <sheetViews>
    <sheetView workbookViewId="0">
      <selection activeCell="J2" sqref="J2:J3"/>
    </sheetView>
  </sheetViews>
  <sheetFormatPr baseColWidth="10" defaultColWidth="11.42578125" defaultRowHeight="15" x14ac:dyDescent="0.25"/>
  <cols>
    <col min="10" max="10" width="14.42578125" customWidth="1"/>
  </cols>
  <sheetData>
    <row r="1" spans="1:10" x14ac:dyDescent="0.25">
      <c r="A1" t="s">
        <v>1</v>
      </c>
      <c r="B1" t="s">
        <v>2</v>
      </c>
      <c r="C1" s="4" t="s">
        <v>21</v>
      </c>
      <c r="D1" s="4" t="s">
        <v>29</v>
      </c>
      <c r="E1" s="4" t="s">
        <v>31</v>
      </c>
      <c r="F1" s="4" t="s">
        <v>33</v>
      </c>
      <c r="G1" s="4" t="s">
        <v>23</v>
      </c>
      <c r="H1" s="4" t="s">
        <v>25</v>
      </c>
      <c r="I1" s="4" t="s">
        <v>27</v>
      </c>
      <c r="J1" s="1" t="s">
        <v>35</v>
      </c>
    </row>
    <row r="2" spans="1:10" x14ac:dyDescent="0.25">
      <c r="A2" s="2" t="s">
        <v>37</v>
      </c>
      <c r="B2" s="2" t="s">
        <v>37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107.91</v>
      </c>
    </row>
    <row r="3" spans="1:10" x14ac:dyDescent="0.25">
      <c r="A3" t="s">
        <v>37</v>
      </c>
      <c r="B3" t="s">
        <v>405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146.88300000000001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79BBB-4DA8-40AC-9D06-EF66B25BD5A8}">
  <sheetPr>
    <tabColor theme="8"/>
  </sheetPr>
  <dimension ref="A1:J30"/>
  <sheetViews>
    <sheetView zoomScale="55" zoomScaleNormal="55" workbookViewId="0">
      <selection activeCell="F39" sqref="F39"/>
    </sheetView>
  </sheetViews>
  <sheetFormatPr baseColWidth="10" defaultColWidth="11.42578125" defaultRowHeight="15" x14ac:dyDescent="0.25"/>
  <cols>
    <col min="1" max="1" width="13.140625" customWidth="1"/>
    <col min="2" max="2" width="19.140625" bestFit="1" customWidth="1"/>
    <col min="3" max="5" width="11.28515625" style="1" customWidth="1"/>
    <col min="6" max="6" width="12.28515625" style="1" customWidth="1"/>
    <col min="7" max="9" width="13.28515625" style="1" customWidth="1"/>
    <col min="10" max="10" width="13.7109375" style="1" customWidth="1"/>
  </cols>
  <sheetData>
    <row r="1" spans="1:10" x14ac:dyDescent="0.25">
      <c r="A1" t="s">
        <v>1</v>
      </c>
      <c r="B1" t="s">
        <v>2</v>
      </c>
      <c r="C1" s="1" t="s">
        <v>21</v>
      </c>
      <c r="D1" s="1" t="s">
        <v>29</v>
      </c>
      <c r="E1" s="1" t="s">
        <v>31</v>
      </c>
      <c r="F1" s="1" t="s">
        <v>33</v>
      </c>
      <c r="G1" s="1" t="s">
        <v>23</v>
      </c>
      <c r="H1" s="1" t="s">
        <v>25</v>
      </c>
      <c r="I1" s="1" t="s">
        <v>27</v>
      </c>
      <c r="J1" s="1" t="s">
        <v>35</v>
      </c>
    </row>
    <row r="2" spans="1:10" hidden="1" x14ac:dyDescent="0.25">
      <c r="A2" t="s">
        <v>37</v>
      </c>
      <c r="B2" t="s">
        <v>46</v>
      </c>
      <c r="C2" s="44">
        <v>0</v>
      </c>
      <c r="D2" s="44">
        <v>0</v>
      </c>
      <c r="E2" s="44">
        <v>0</v>
      </c>
      <c r="F2" s="44">
        <v>0</v>
      </c>
      <c r="G2" s="44">
        <v>0</v>
      </c>
      <c r="H2" s="44">
        <v>0</v>
      </c>
      <c r="I2" s="44">
        <v>644.16000000000008</v>
      </c>
      <c r="J2" s="44">
        <v>644.16000000000008</v>
      </c>
    </row>
    <row r="3" spans="1:10" hidden="1" x14ac:dyDescent="0.25">
      <c r="A3" t="s">
        <v>37</v>
      </c>
      <c r="B3" t="s">
        <v>217</v>
      </c>
      <c r="C3" s="44">
        <v>0</v>
      </c>
      <c r="D3" s="44">
        <v>0</v>
      </c>
      <c r="E3" s="44">
        <v>0</v>
      </c>
      <c r="F3" s="44">
        <v>0</v>
      </c>
      <c r="G3" s="44">
        <v>0</v>
      </c>
      <c r="H3" s="44">
        <v>0</v>
      </c>
      <c r="I3" s="44">
        <v>305.25</v>
      </c>
      <c r="J3" s="44">
        <v>305.25</v>
      </c>
    </row>
    <row r="4" spans="1:10" hidden="1" x14ac:dyDescent="0.25">
      <c r="A4" t="s">
        <v>37</v>
      </c>
      <c r="B4" t="s">
        <v>37</v>
      </c>
      <c r="C4" s="44">
        <v>0</v>
      </c>
      <c r="D4" s="44">
        <v>0</v>
      </c>
      <c r="E4" s="44">
        <v>0</v>
      </c>
      <c r="F4" s="44">
        <v>0</v>
      </c>
      <c r="G4" s="44">
        <v>0</v>
      </c>
      <c r="H4" s="44">
        <v>0</v>
      </c>
      <c r="I4" s="44">
        <v>157.30000000000001</v>
      </c>
      <c r="J4" s="44">
        <v>157.30000000000001</v>
      </c>
    </row>
    <row r="5" spans="1:10" hidden="1" x14ac:dyDescent="0.25">
      <c r="A5" t="s">
        <v>37</v>
      </c>
      <c r="B5" t="s">
        <v>333</v>
      </c>
      <c r="C5" s="44">
        <v>0</v>
      </c>
      <c r="D5" s="44">
        <v>0</v>
      </c>
      <c r="E5" s="44">
        <v>0</v>
      </c>
      <c r="F5" s="44">
        <v>0</v>
      </c>
      <c r="G5" s="44">
        <v>0</v>
      </c>
      <c r="H5" s="44">
        <v>0</v>
      </c>
      <c r="I5" s="44">
        <v>272.25</v>
      </c>
      <c r="J5" s="44">
        <v>272.25</v>
      </c>
    </row>
    <row r="6" spans="1:10" hidden="1" x14ac:dyDescent="0.25">
      <c r="A6" t="s">
        <v>37</v>
      </c>
      <c r="B6" t="s">
        <v>351</v>
      </c>
      <c r="C6" s="44">
        <v>0</v>
      </c>
      <c r="D6" s="44">
        <v>0</v>
      </c>
      <c r="E6" s="44">
        <v>0</v>
      </c>
      <c r="F6" s="44">
        <v>0</v>
      </c>
      <c r="G6" s="44">
        <v>0</v>
      </c>
      <c r="H6" s="44">
        <v>0</v>
      </c>
      <c r="I6" s="44">
        <v>684.42000000000007</v>
      </c>
      <c r="J6" s="44">
        <v>684.42000000000007</v>
      </c>
    </row>
    <row r="7" spans="1:10" hidden="1" x14ac:dyDescent="0.25">
      <c r="A7" t="s">
        <v>37</v>
      </c>
      <c r="B7" t="s">
        <v>360</v>
      </c>
      <c r="C7" s="44">
        <v>0</v>
      </c>
      <c r="D7" s="44">
        <v>0</v>
      </c>
      <c r="E7" s="44">
        <v>0</v>
      </c>
      <c r="F7" s="44">
        <v>0</v>
      </c>
      <c r="G7" s="44">
        <v>0</v>
      </c>
      <c r="H7" s="44">
        <v>0</v>
      </c>
      <c r="I7" s="44">
        <v>684.42000000000007</v>
      </c>
      <c r="J7" s="44">
        <v>684.42000000000007</v>
      </c>
    </row>
    <row r="8" spans="1:10" hidden="1" x14ac:dyDescent="0.25">
      <c r="A8" t="s">
        <v>37</v>
      </c>
      <c r="B8" t="s">
        <v>405</v>
      </c>
      <c r="C8" s="44">
        <v>0</v>
      </c>
      <c r="D8" s="44">
        <v>0</v>
      </c>
      <c r="E8" s="44">
        <v>0</v>
      </c>
      <c r="F8" s="44">
        <v>0</v>
      </c>
      <c r="G8" s="44">
        <v>0</v>
      </c>
      <c r="H8" s="44">
        <v>0</v>
      </c>
      <c r="I8" s="44">
        <v>193.60000000000002</v>
      </c>
      <c r="J8" s="44">
        <v>193.60000000000002</v>
      </c>
    </row>
    <row r="9" spans="1:10" hidden="1" x14ac:dyDescent="0.25">
      <c r="A9" t="s">
        <v>37</v>
      </c>
      <c r="B9" t="s">
        <v>450</v>
      </c>
      <c r="C9" s="44">
        <v>0</v>
      </c>
      <c r="D9" s="44">
        <v>0</v>
      </c>
      <c r="E9" s="44">
        <v>0</v>
      </c>
      <c r="F9" s="44">
        <v>0</v>
      </c>
      <c r="G9" s="44">
        <v>0</v>
      </c>
      <c r="H9" s="44">
        <v>0</v>
      </c>
      <c r="I9" s="44">
        <v>644.16000000000008</v>
      </c>
      <c r="J9" s="44">
        <v>644.16000000000008</v>
      </c>
    </row>
    <row r="10" spans="1:10" hidden="1" x14ac:dyDescent="0.25">
      <c r="A10" t="s">
        <v>935</v>
      </c>
      <c r="B10" t="s">
        <v>639</v>
      </c>
      <c r="C10" s="44">
        <v>0</v>
      </c>
      <c r="D10" s="44">
        <v>0</v>
      </c>
      <c r="E10" s="44">
        <v>0</v>
      </c>
      <c r="F10" s="44">
        <v>0</v>
      </c>
      <c r="G10" s="44">
        <v>0</v>
      </c>
      <c r="H10" s="44">
        <v>0</v>
      </c>
      <c r="I10" s="44">
        <v>630.74</v>
      </c>
      <c r="J10" s="44">
        <v>630.74</v>
      </c>
    </row>
    <row r="11" spans="1:10" hidden="1" x14ac:dyDescent="0.25">
      <c r="A11" t="s">
        <v>37</v>
      </c>
      <c r="B11" t="s">
        <v>666</v>
      </c>
      <c r="C11" s="44">
        <v>0</v>
      </c>
      <c r="D11" s="44">
        <v>0</v>
      </c>
      <c r="E11" s="44">
        <v>0</v>
      </c>
      <c r="F11" s="44">
        <v>0</v>
      </c>
      <c r="G11" s="44">
        <v>0</v>
      </c>
      <c r="H11" s="44">
        <v>0</v>
      </c>
      <c r="I11" s="44">
        <v>684.42000000000007</v>
      </c>
      <c r="J11" s="44">
        <v>684.42000000000007</v>
      </c>
    </row>
    <row r="12" spans="1:10" hidden="1" x14ac:dyDescent="0.25">
      <c r="A12" t="s">
        <v>37</v>
      </c>
      <c r="B12" t="s">
        <v>738</v>
      </c>
      <c r="C12" s="44">
        <v>0</v>
      </c>
      <c r="D12" s="44">
        <v>0</v>
      </c>
      <c r="E12" s="44">
        <v>0</v>
      </c>
      <c r="F12" s="44">
        <v>0</v>
      </c>
      <c r="G12" s="44">
        <v>0</v>
      </c>
      <c r="H12" s="44">
        <v>0</v>
      </c>
      <c r="I12" s="44">
        <v>423.50000000000006</v>
      </c>
      <c r="J12" s="44">
        <v>423.50000000000006</v>
      </c>
    </row>
    <row r="13" spans="1:10" hidden="1" x14ac:dyDescent="0.25">
      <c r="A13" t="s">
        <v>37</v>
      </c>
      <c r="B13" t="s">
        <v>855</v>
      </c>
      <c r="C13" s="44">
        <v>0</v>
      </c>
      <c r="D13" s="44">
        <v>0</v>
      </c>
      <c r="E13" s="44">
        <v>0</v>
      </c>
      <c r="F13" s="44">
        <v>0</v>
      </c>
      <c r="G13" s="44">
        <v>0</v>
      </c>
      <c r="H13" s="44">
        <v>0</v>
      </c>
      <c r="I13" s="44">
        <v>523.38000000000011</v>
      </c>
      <c r="J13" s="44">
        <v>523.38000000000011</v>
      </c>
    </row>
    <row r="14" spans="1:10" hidden="1" x14ac:dyDescent="0.25">
      <c r="A14" t="s">
        <v>37</v>
      </c>
      <c r="B14" t="s">
        <v>909</v>
      </c>
      <c r="C14" s="44">
        <v>0</v>
      </c>
      <c r="D14" s="44">
        <v>0</v>
      </c>
      <c r="E14" s="44">
        <v>0</v>
      </c>
      <c r="F14" s="44">
        <v>0</v>
      </c>
      <c r="G14" s="44">
        <v>0</v>
      </c>
      <c r="H14" s="44">
        <v>0</v>
      </c>
      <c r="I14" s="44">
        <v>278.3</v>
      </c>
      <c r="J14" s="44">
        <v>278.3</v>
      </c>
    </row>
    <row r="15" spans="1:10" hidden="1" x14ac:dyDescent="0.25">
      <c r="A15" t="s">
        <v>333</v>
      </c>
      <c r="B15" t="s">
        <v>46</v>
      </c>
      <c r="C15" s="44">
        <v>0</v>
      </c>
      <c r="D15" s="44">
        <v>0</v>
      </c>
      <c r="E15" s="44">
        <v>0</v>
      </c>
      <c r="F15" s="44">
        <v>0</v>
      </c>
      <c r="G15" s="44">
        <v>0</v>
      </c>
      <c r="H15" s="44">
        <v>0</v>
      </c>
      <c r="I15" s="44">
        <v>771.65000000000009</v>
      </c>
      <c r="J15" s="44">
        <v>771.65000000000009</v>
      </c>
    </row>
    <row r="16" spans="1:10" hidden="1" x14ac:dyDescent="0.25">
      <c r="A16" t="s">
        <v>333</v>
      </c>
      <c r="B16" t="s">
        <v>217</v>
      </c>
      <c r="C16" s="44">
        <v>0</v>
      </c>
      <c r="D16" s="44">
        <v>0</v>
      </c>
      <c r="E16" s="44">
        <v>0</v>
      </c>
      <c r="F16" s="44">
        <v>0</v>
      </c>
      <c r="G16" s="44">
        <v>0</v>
      </c>
      <c r="H16" s="44">
        <v>0</v>
      </c>
      <c r="I16" s="44">
        <v>451.44</v>
      </c>
      <c r="J16" s="44">
        <v>451.44</v>
      </c>
    </row>
    <row r="17" spans="1:10" x14ac:dyDescent="0.25">
      <c r="A17" t="s">
        <v>333</v>
      </c>
      <c r="B17" t="s">
        <v>37</v>
      </c>
      <c r="C17" s="44">
        <v>0</v>
      </c>
      <c r="D17" s="44">
        <v>0</v>
      </c>
      <c r="E17" s="44">
        <v>0</v>
      </c>
      <c r="F17" s="44">
        <v>0</v>
      </c>
      <c r="G17" s="44">
        <v>0</v>
      </c>
      <c r="H17" s="44">
        <v>0</v>
      </c>
      <c r="I17" s="44">
        <v>266.20000000000005</v>
      </c>
      <c r="J17" s="44">
        <v>266.20000000000005</v>
      </c>
    </row>
    <row r="18" spans="1:10" hidden="1" x14ac:dyDescent="0.25">
      <c r="A18" t="s">
        <v>333</v>
      </c>
      <c r="B18" t="s">
        <v>333</v>
      </c>
      <c r="C18" s="44">
        <v>0</v>
      </c>
      <c r="D18" s="44">
        <v>0</v>
      </c>
      <c r="E18" s="44">
        <v>0</v>
      </c>
      <c r="F18" s="44">
        <v>0</v>
      </c>
      <c r="G18" s="44">
        <v>0</v>
      </c>
      <c r="H18" s="44">
        <v>0</v>
      </c>
      <c r="I18" s="44">
        <v>242.00000000000003</v>
      </c>
      <c r="J18" s="44">
        <v>242</v>
      </c>
    </row>
    <row r="19" spans="1:10" hidden="1" x14ac:dyDescent="0.25">
      <c r="A19" t="s">
        <v>333</v>
      </c>
      <c r="B19" t="s">
        <v>351</v>
      </c>
      <c r="C19" s="44">
        <v>0</v>
      </c>
      <c r="D19" s="44">
        <v>0</v>
      </c>
      <c r="E19" s="44">
        <v>0</v>
      </c>
      <c r="F19" s="44">
        <v>0</v>
      </c>
      <c r="G19" s="44">
        <v>0</v>
      </c>
      <c r="H19" s="44">
        <v>0</v>
      </c>
      <c r="I19" s="44">
        <v>805.2</v>
      </c>
      <c r="J19" s="44">
        <v>805.2</v>
      </c>
    </row>
    <row r="20" spans="1:10" hidden="1" x14ac:dyDescent="0.25">
      <c r="A20" t="s">
        <v>333</v>
      </c>
      <c r="B20" t="s">
        <v>360</v>
      </c>
      <c r="C20" s="44">
        <v>0</v>
      </c>
      <c r="D20" s="44">
        <v>0</v>
      </c>
      <c r="E20" s="44">
        <v>0</v>
      </c>
      <c r="F20" s="44">
        <v>0</v>
      </c>
      <c r="G20" s="44">
        <v>0</v>
      </c>
      <c r="H20" s="44">
        <v>0</v>
      </c>
      <c r="I20" s="44">
        <v>805.2</v>
      </c>
      <c r="J20" s="44">
        <v>805.2</v>
      </c>
    </row>
    <row r="21" spans="1:10" hidden="1" x14ac:dyDescent="0.25">
      <c r="A21" t="s">
        <v>333</v>
      </c>
      <c r="B21" t="s">
        <v>405</v>
      </c>
      <c r="C21" s="44">
        <v>0</v>
      </c>
      <c r="D21" s="44">
        <v>0</v>
      </c>
      <c r="E21" s="44">
        <v>0</v>
      </c>
      <c r="F21" s="44">
        <v>0</v>
      </c>
      <c r="G21" s="44">
        <v>0</v>
      </c>
      <c r="H21" s="44">
        <v>0</v>
      </c>
      <c r="I21" s="44">
        <v>302.5</v>
      </c>
      <c r="J21" s="44">
        <v>302.5</v>
      </c>
    </row>
    <row r="22" spans="1:10" hidden="1" x14ac:dyDescent="0.25">
      <c r="A22" t="s">
        <v>333</v>
      </c>
      <c r="B22" t="s">
        <v>450</v>
      </c>
      <c r="C22" s="44">
        <v>0</v>
      </c>
      <c r="D22" s="44">
        <v>0</v>
      </c>
      <c r="E22" s="44">
        <v>0</v>
      </c>
      <c r="F22" s="44">
        <v>0</v>
      </c>
      <c r="G22" s="44">
        <v>0</v>
      </c>
      <c r="H22" s="44">
        <v>0</v>
      </c>
      <c r="I22" s="44">
        <v>697.84</v>
      </c>
      <c r="J22" s="44">
        <v>697.84</v>
      </c>
    </row>
    <row r="23" spans="1:10" hidden="1" x14ac:dyDescent="0.25">
      <c r="A23" t="s">
        <v>333</v>
      </c>
      <c r="B23" t="s">
        <v>639</v>
      </c>
      <c r="C23" s="44">
        <v>0</v>
      </c>
      <c r="D23" s="44">
        <v>0</v>
      </c>
      <c r="E23" s="44">
        <v>0</v>
      </c>
      <c r="F23" s="44">
        <v>0</v>
      </c>
      <c r="G23" s="44">
        <v>0</v>
      </c>
      <c r="H23" s="44">
        <v>0</v>
      </c>
      <c r="I23" s="44">
        <v>697.84</v>
      </c>
      <c r="J23" s="44">
        <v>697.84</v>
      </c>
    </row>
    <row r="24" spans="1:10" hidden="1" x14ac:dyDescent="0.25">
      <c r="A24" t="s">
        <v>333</v>
      </c>
      <c r="B24" t="s">
        <v>666</v>
      </c>
      <c r="C24" s="44">
        <v>0</v>
      </c>
      <c r="D24" s="44">
        <v>0</v>
      </c>
      <c r="E24" s="44">
        <v>0</v>
      </c>
      <c r="F24" s="44">
        <v>0</v>
      </c>
      <c r="G24" s="44">
        <v>0</v>
      </c>
      <c r="H24" s="44">
        <v>0</v>
      </c>
      <c r="I24" s="44">
        <v>805.2</v>
      </c>
      <c r="J24" s="44">
        <v>805.2</v>
      </c>
    </row>
    <row r="25" spans="1:10" hidden="1" x14ac:dyDescent="0.25">
      <c r="A25" t="s">
        <v>333</v>
      </c>
      <c r="B25" t="s">
        <v>738</v>
      </c>
      <c r="C25" s="44">
        <v>0</v>
      </c>
      <c r="D25" s="44">
        <v>0</v>
      </c>
      <c r="E25" s="44">
        <v>0</v>
      </c>
      <c r="F25" s="44">
        <v>0</v>
      </c>
      <c r="G25" s="44">
        <v>0</v>
      </c>
      <c r="H25" s="44">
        <v>0</v>
      </c>
      <c r="I25" s="44">
        <v>378.51000000000005</v>
      </c>
      <c r="J25" s="44">
        <v>378.51000000000005</v>
      </c>
    </row>
    <row r="26" spans="1:10" hidden="1" x14ac:dyDescent="0.25">
      <c r="A26" t="s">
        <v>333</v>
      </c>
      <c r="B26" t="s">
        <v>819</v>
      </c>
      <c r="C26" s="44">
        <v>0</v>
      </c>
      <c r="D26" s="44">
        <v>0</v>
      </c>
      <c r="E26" s="44">
        <v>0</v>
      </c>
      <c r="F26" s="44">
        <v>0</v>
      </c>
      <c r="G26" s="44">
        <v>0</v>
      </c>
      <c r="H26" s="44">
        <v>0</v>
      </c>
      <c r="I26" s="44">
        <v>738.1</v>
      </c>
      <c r="J26" s="44">
        <v>738.1</v>
      </c>
    </row>
    <row r="27" spans="1:10" hidden="1" x14ac:dyDescent="0.25">
      <c r="A27" t="s">
        <v>333</v>
      </c>
      <c r="B27" t="s">
        <v>855</v>
      </c>
      <c r="C27" s="44">
        <v>0</v>
      </c>
      <c r="D27" s="44">
        <v>0</v>
      </c>
      <c r="E27" s="44">
        <v>0</v>
      </c>
      <c r="F27" s="44">
        <v>0</v>
      </c>
      <c r="G27" s="44">
        <v>0</v>
      </c>
      <c r="H27" s="44">
        <v>0</v>
      </c>
      <c r="I27" s="44">
        <v>738.1</v>
      </c>
      <c r="J27" s="44">
        <v>738.1</v>
      </c>
    </row>
    <row r="28" spans="1:10" hidden="1" x14ac:dyDescent="0.25">
      <c r="A28" t="s">
        <v>333</v>
      </c>
      <c r="B28" t="s">
        <v>909</v>
      </c>
      <c r="C28" s="44">
        <v>0</v>
      </c>
      <c r="D28" s="44">
        <v>0</v>
      </c>
      <c r="E28" s="44">
        <v>0</v>
      </c>
      <c r="F28" s="44">
        <v>0</v>
      </c>
      <c r="G28" s="44">
        <v>0</v>
      </c>
      <c r="H28" s="44">
        <v>0</v>
      </c>
      <c r="I28" s="44">
        <v>314.60000000000002</v>
      </c>
      <c r="J28" s="44">
        <v>314.60000000000002</v>
      </c>
    </row>
    <row r="29" spans="1:10" hidden="1" x14ac:dyDescent="0.25">
      <c r="A29" t="s">
        <v>19</v>
      </c>
      <c r="B29" t="s">
        <v>37</v>
      </c>
      <c r="C29" s="44">
        <v>0</v>
      </c>
      <c r="D29" s="44">
        <v>0</v>
      </c>
      <c r="E29" s="44">
        <v>0</v>
      </c>
      <c r="F29" s="44">
        <v>0</v>
      </c>
      <c r="G29" s="44">
        <v>0</v>
      </c>
      <c r="H29" s="44">
        <v>0</v>
      </c>
      <c r="I29" s="44">
        <v>193.60000000000002</v>
      </c>
      <c r="J29" s="44">
        <v>193.6</v>
      </c>
    </row>
    <row r="30" spans="1:10" hidden="1" x14ac:dyDescent="0.25">
      <c r="A30" t="s">
        <v>19</v>
      </c>
      <c r="B30" t="s">
        <v>20</v>
      </c>
      <c r="C30" s="44">
        <v>0</v>
      </c>
      <c r="D30" s="44">
        <v>0</v>
      </c>
      <c r="E30" s="44">
        <v>0</v>
      </c>
      <c r="F30" s="44">
        <v>0</v>
      </c>
      <c r="G30" s="44">
        <v>0</v>
      </c>
      <c r="H30" s="44">
        <v>0</v>
      </c>
      <c r="I30" s="44">
        <v>302.5</v>
      </c>
      <c r="J30" s="44">
        <v>302.5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6BB49-5F1D-4ED1-B48C-7C55DA2994A1}">
  <sheetPr>
    <tabColor theme="8"/>
  </sheetPr>
  <dimension ref="A1:K199"/>
  <sheetViews>
    <sheetView workbookViewId="0">
      <selection activeCell="F11" sqref="F11"/>
    </sheetView>
  </sheetViews>
  <sheetFormatPr baseColWidth="10" defaultColWidth="11.42578125" defaultRowHeight="15" x14ac:dyDescent="0.25"/>
  <cols>
    <col min="1" max="1" width="10.5703125" bestFit="1" customWidth="1"/>
    <col min="2" max="2" width="23.85546875" bestFit="1" customWidth="1"/>
    <col min="3" max="5" width="11.5703125" bestFit="1" customWidth="1"/>
    <col min="6" max="6" width="12.5703125" bestFit="1" customWidth="1"/>
    <col min="7" max="9" width="13.5703125" bestFit="1" customWidth="1"/>
    <col min="10" max="10" width="14" bestFit="1" customWidth="1"/>
    <col min="11" max="11" width="13.42578125" bestFit="1" customWidth="1"/>
  </cols>
  <sheetData>
    <row r="1" spans="1:11" x14ac:dyDescent="0.25">
      <c r="A1" t="s">
        <v>1</v>
      </c>
      <c r="B1" t="s">
        <v>2</v>
      </c>
      <c r="C1" t="s">
        <v>21</v>
      </c>
      <c r="D1" t="s">
        <v>29</v>
      </c>
      <c r="E1" t="s">
        <v>31</v>
      </c>
      <c r="F1" t="s">
        <v>33</v>
      </c>
      <c r="G1" t="s">
        <v>23</v>
      </c>
      <c r="H1" t="s">
        <v>25</v>
      </c>
      <c r="I1" t="s">
        <v>27</v>
      </c>
      <c r="J1" t="s">
        <v>35</v>
      </c>
      <c r="K1" t="s">
        <v>2786</v>
      </c>
    </row>
    <row r="2" spans="1:11" x14ac:dyDescent="0.25">
      <c r="A2" t="s">
        <v>37</v>
      </c>
      <c r="B2" t="s">
        <v>47</v>
      </c>
      <c r="C2">
        <v>0</v>
      </c>
      <c r="D2">
        <v>130.7808</v>
      </c>
      <c r="E2">
        <v>148.91819999999998</v>
      </c>
      <c r="F2">
        <v>155.3364</v>
      </c>
      <c r="G2">
        <v>190.02124000000001</v>
      </c>
      <c r="H2">
        <v>205.2</v>
      </c>
      <c r="I2">
        <v>284.24759999999998</v>
      </c>
      <c r="J2">
        <v>306.11279999999999</v>
      </c>
      <c r="K2" t="s">
        <v>17</v>
      </c>
    </row>
    <row r="3" spans="1:11" x14ac:dyDescent="0.25">
      <c r="A3" t="s">
        <v>37</v>
      </c>
      <c r="B3" t="s">
        <v>56</v>
      </c>
      <c r="C3">
        <v>0</v>
      </c>
      <c r="D3">
        <v>184.9194</v>
      </c>
      <c r="E3">
        <v>204.53652</v>
      </c>
      <c r="F3">
        <v>222.3</v>
      </c>
      <c r="G3">
        <v>242.91120000000001</v>
      </c>
      <c r="H3">
        <v>262.00799999999998</v>
      </c>
      <c r="I3">
        <v>387.07231999999999</v>
      </c>
      <c r="J3">
        <v>391.99712</v>
      </c>
      <c r="K3" t="s">
        <v>17</v>
      </c>
    </row>
    <row r="4" spans="1:11" x14ac:dyDescent="0.25">
      <c r="A4" t="s">
        <v>37</v>
      </c>
      <c r="B4" t="s">
        <v>46</v>
      </c>
      <c r="C4">
        <v>0</v>
      </c>
      <c r="D4">
        <v>192.11279999999999</v>
      </c>
      <c r="E4">
        <v>241.3152</v>
      </c>
      <c r="F4">
        <v>262.2</v>
      </c>
      <c r="G4">
        <v>306.20053999999999</v>
      </c>
      <c r="H4">
        <v>361.18</v>
      </c>
      <c r="I4">
        <v>498.34307999999999</v>
      </c>
      <c r="J4">
        <v>568.02</v>
      </c>
      <c r="K4" t="s">
        <v>17</v>
      </c>
    </row>
    <row r="5" spans="1:11" x14ac:dyDescent="0.25">
      <c r="A5" t="s">
        <v>37</v>
      </c>
      <c r="B5" t="s">
        <v>73</v>
      </c>
      <c r="C5">
        <v>0</v>
      </c>
      <c r="D5">
        <v>415.43880000000001</v>
      </c>
      <c r="E5">
        <v>481.78679999999997</v>
      </c>
      <c r="F5">
        <v>498.89820000000003</v>
      </c>
      <c r="G5">
        <v>579.89519999999993</v>
      </c>
      <c r="H5">
        <v>599.86800000000005</v>
      </c>
      <c r="I5">
        <v>792.34554000000003</v>
      </c>
      <c r="J5">
        <v>809.01239999999996</v>
      </c>
      <c r="K5" t="s">
        <v>17</v>
      </c>
    </row>
    <row r="6" spans="1:11" x14ac:dyDescent="0.25">
      <c r="A6" t="s">
        <v>37</v>
      </c>
      <c r="B6" t="s">
        <v>82</v>
      </c>
      <c r="C6">
        <v>0</v>
      </c>
      <c r="D6">
        <v>143.63999999999999</v>
      </c>
      <c r="E6">
        <v>184.68</v>
      </c>
      <c r="F6">
        <v>191.1096</v>
      </c>
      <c r="G6">
        <v>259.07639999999998</v>
      </c>
      <c r="H6">
        <v>270.31740000000002</v>
      </c>
      <c r="I6">
        <v>380.1216</v>
      </c>
      <c r="J6">
        <v>404.97359999999998</v>
      </c>
      <c r="K6" t="s">
        <v>17</v>
      </c>
    </row>
    <row r="7" spans="1:11" x14ac:dyDescent="0.25">
      <c r="A7" t="s">
        <v>37</v>
      </c>
      <c r="B7" t="s">
        <v>91</v>
      </c>
      <c r="C7">
        <v>0</v>
      </c>
      <c r="D7">
        <v>177.41819999999998</v>
      </c>
      <c r="E7">
        <v>206.56799999999998</v>
      </c>
      <c r="F7">
        <v>219.33599999999998</v>
      </c>
      <c r="G7">
        <v>258.05039999999997</v>
      </c>
      <c r="H7">
        <v>287.44799999999998</v>
      </c>
      <c r="I7">
        <v>413.35775999999998</v>
      </c>
      <c r="J7">
        <v>437.09879999999998</v>
      </c>
      <c r="K7" t="s">
        <v>17</v>
      </c>
    </row>
    <row r="8" spans="1:11" x14ac:dyDescent="0.25">
      <c r="A8" t="s">
        <v>37</v>
      </c>
      <c r="B8" t="s">
        <v>100</v>
      </c>
      <c r="C8">
        <v>0</v>
      </c>
      <c r="D8">
        <v>273.7824</v>
      </c>
      <c r="E8">
        <v>349.18585999999999</v>
      </c>
      <c r="F8">
        <v>376.26857799999999</v>
      </c>
      <c r="G8">
        <v>401.72415999999998</v>
      </c>
      <c r="H8">
        <v>461.96975000000003</v>
      </c>
      <c r="I8">
        <v>546.79215999999997</v>
      </c>
      <c r="J8">
        <v>600.82560000000001</v>
      </c>
      <c r="K8" t="s">
        <v>17</v>
      </c>
    </row>
    <row r="9" spans="1:11" x14ac:dyDescent="0.25">
      <c r="A9" t="s">
        <v>37</v>
      </c>
      <c r="B9" t="s">
        <v>109</v>
      </c>
      <c r="C9">
        <v>0</v>
      </c>
      <c r="D9">
        <v>173.69040000000001</v>
      </c>
      <c r="E9">
        <v>215.6994</v>
      </c>
      <c r="F9">
        <v>224.69400000000002</v>
      </c>
      <c r="G9">
        <v>230.05199999999999</v>
      </c>
      <c r="H9">
        <v>259.92</v>
      </c>
      <c r="I9">
        <v>395.43248</v>
      </c>
      <c r="J9">
        <v>436.80297000000002</v>
      </c>
      <c r="K9" t="s">
        <v>17</v>
      </c>
    </row>
    <row r="10" spans="1:11" x14ac:dyDescent="0.25">
      <c r="A10" t="s">
        <v>37</v>
      </c>
      <c r="B10" t="s">
        <v>118</v>
      </c>
      <c r="C10">
        <v>0</v>
      </c>
      <c r="D10">
        <v>141.5994</v>
      </c>
      <c r="E10">
        <v>155.36679999999998</v>
      </c>
      <c r="F10">
        <v>166.1284</v>
      </c>
      <c r="G10">
        <v>189.98</v>
      </c>
      <c r="H10">
        <v>196.89</v>
      </c>
      <c r="I10">
        <v>311.35680000000002</v>
      </c>
      <c r="J10">
        <v>339.83</v>
      </c>
      <c r="K10" t="s">
        <v>17</v>
      </c>
    </row>
    <row r="11" spans="1:11" x14ac:dyDescent="0.25">
      <c r="A11" t="s">
        <v>37</v>
      </c>
      <c r="B11" t="s">
        <v>127</v>
      </c>
      <c r="C11">
        <v>0</v>
      </c>
      <c r="D11">
        <v>166.64519999999999</v>
      </c>
      <c r="E11">
        <v>205.91819999999998</v>
      </c>
      <c r="F11">
        <v>212.09700000000001</v>
      </c>
      <c r="G11">
        <v>230.05199999999999</v>
      </c>
      <c r="H11">
        <v>241.11</v>
      </c>
      <c r="I11">
        <v>389.81691999999998</v>
      </c>
      <c r="J11">
        <v>441.23928000000001</v>
      </c>
      <c r="K11" t="s">
        <v>17</v>
      </c>
    </row>
    <row r="12" spans="1:11" x14ac:dyDescent="0.25">
      <c r="A12" t="s">
        <v>37</v>
      </c>
      <c r="B12" t="s">
        <v>136</v>
      </c>
      <c r="C12">
        <v>0</v>
      </c>
      <c r="D12">
        <v>170.47560000000001</v>
      </c>
      <c r="E12">
        <v>202.22327999999999</v>
      </c>
      <c r="F12">
        <v>220.79519999999999</v>
      </c>
      <c r="G12">
        <v>250.8</v>
      </c>
      <c r="H12">
        <v>274.79700000000003</v>
      </c>
      <c r="I12">
        <v>398.11079999999998</v>
      </c>
      <c r="J12">
        <v>427.27199999999999</v>
      </c>
      <c r="K12" t="s">
        <v>17</v>
      </c>
    </row>
    <row r="13" spans="1:11" x14ac:dyDescent="0.25">
      <c r="A13" t="s">
        <v>37</v>
      </c>
      <c r="B13" t="s">
        <v>145</v>
      </c>
      <c r="C13">
        <v>0</v>
      </c>
      <c r="D13">
        <v>289.94759999999997</v>
      </c>
      <c r="E13">
        <v>377.62293999999997</v>
      </c>
      <c r="F13">
        <v>399.39443900000003</v>
      </c>
      <c r="G13">
        <v>430.47492</v>
      </c>
      <c r="H13">
        <v>477.71879999999999</v>
      </c>
      <c r="I13">
        <v>554.12044000000003</v>
      </c>
      <c r="J13">
        <v>617.92559999999992</v>
      </c>
      <c r="K13" t="s">
        <v>17</v>
      </c>
    </row>
    <row r="14" spans="1:11" x14ac:dyDescent="0.25">
      <c r="A14" t="s">
        <v>37</v>
      </c>
      <c r="B14" t="s">
        <v>154</v>
      </c>
      <c r="C14">
        <v>0</v>
      </c>
      <c r="D14">
        <v>116.8728</v>
      </c>
      <c r="E14">
        <v>164.69580000000002</v>
      </c>
      <c r="F14">
        <v>182.4</v>
      </c>
      <c r="G14">
        <v>196.6728</v>
      </c>
      <c r="H14">
        <v>217.8528</v>
      </c>
      <c r="I14">
        <v>286.36799999999999</v>
      </c>
      <c r="J14">
        <v>302.92079999999999</v>
      </c>
      <c r="K14" t="s">
        <v>17</v>
      </c>
    </row>
    <row r="15" spans="1:11" x14ac:dyDescent="0.25">
      <c r="A15" t="s">
        <v>37</v>
      </c>
      <c r="B15" t="s">
        <v>163</v>
      </c>
      <c r="C15">
        <v>0</v>
      </c>
      <c r="D15">
        <v>404.97359999999998</v>
      </c>
      <c r="E15">
        <v>443.68799999999999</v>
      </c>
      <c r="F15">
        <v>456.29640000000001</v>
      </c>
      <c r="G15">
        <v>492.43440000000004</v>
      </c>
      <c r="H15">
        <v>529.64400000000001</v>
      </c>
      <c r="I15">
        <v>799.09630000000004</v>
      </c>
      <c r="J15">
        <v>874.60799999999995</v>
      </c>
      <c r="K15" t="s">
        <v>17</v>
      </c>
    </row>
    <row r="16" spans="1:11" x14ac:dyDescent="0.25">
      <c r="A16" t="s">
        <v>37</v>
      </c>
      <c r="B16" t="s">
        <v>172</v>
      </c>
      <c r="C16">
        <v>0</v>
      </c>
      <c r="D16">
        <v>302.34456</v>
      </c>
      <c r="E16">
        <v>378.58053999999998</v>
      </c>
      <c r="F16">
        <v>400.35203899999999</v>
      </c>
      <c r="G16">
        <v>435.14891999999998</v>
      </c>
      <c r="H16">
        <v>482.56380000000001</v>
      </c>
      <c r="I16">
        <v>554.12044000000003</v>
      </c>
      <c r="J16">
        <v>633.55998</v>
      </c>
      <c r="K16" t="s">
        <v>17</v>
      </c>
    </row>
    <row r="17" spans="1:11" x14ac:dyDescent="0.25">
      <c r="A17" t="s">
        <v>37</v>
      </c>
      <c r="B17" t="s">
        <v>181</v>
      </c>
      <c r="C17">
        <v>0</v>
      </c>
      <c r="D17">
        <v>142.79640000000001</v>
      </c>
      <c r="E17">
        <v>173.725776</v>
      </c>
      <c r="F17">
        <v>182.94720000000001</v>
      </c>
      <c r="G17">
        <v>190.34031999999999</v>
      </c>
      <c r="H17">
        <v>191.08959999999999</v>
      </c>
      <c r="I17">
        <v>296.065</v>
      </c>
      <c r="J17">
        <v>298.21960000000001</v>
      </c>
      <c r="K17" t="s">
        <v>17</v>
      </c>
    </row>
    <row r="18" spans="1:11" x14ac:dyDescent="0.25">
      <c r="A18" t="s">
        <v>37</v>
      </c>
      <c r="B18" t="s">
        <v>190</v>
      </c>
      <c r="C18">
        <v>0</v>
      </c>
      <c r="D18">
        <v>179.9376</v>
      </c>
      <c r="E18">
        <v>195.21360000000001</v>
      </c>
      <c r="F18">
        <v>205.2</v>
      </c>
      <c r="G18">
        <v>231.62519999999998</v>
      </c>
      <c r="H18">
        <v>260.46899999999999</v>
      </c>
      <c r="I18">
        <v>382.85676000000001</v>
      </c>
      <c r="J18">
        <v>416.08859999999999</v>
      </c>
      <c r="K18" t="s">
        <v>17</v>
      </c>
    </row>
    <row r="19" spans="1:11" x14ac:dyDescent="0.25">
      <c r="A19" t="s">
        <v>37</v>
      </c>
      <c r="B19" t="s">
        <v>199</v>
      </c>
      <c r="C19">
        <v>0</v>
      </c>
      <c r="D19">
        <v>328.16415999999998</v>
      </c>
      <c r="E19">
        <v>356.51220000000001</v>
      </c>
      <c r="F19">
        <v>392.20962000000003</v>
      </c>
      <c r="G19">
        <v>417.89087999999998</v>
      </c>
      <c r="H19">
        <v>460.50299999999999</v>
      </c>
      <c r="I19">
        <v>574.1952</v>
      </c>
      <c r="J19">
        <v>600.82560000000001</v>
      </c>
      <c r="K19" t="s">
        <v>17</v>
      </c>
    </row>
    <row r="20" spans="1:11" x14ac:dyDescent="0.25">
      <c r="A20" t="s">
        <v>37</v>
      </c>
      <c r="B20" t="s">
        <v>208</v>
      </c>
      <c r="C20">
        <v>0</v>
      </c>
      <c r="D20">
        <v>97.618200000000002</v>
      </c>
      <c r="E20">
        <v>125.4</v>
      </c>
      <c r="F20">
        <v>127.90560000000001</v>
      </c>
      <c r="G20">
        <v>161.28299999999999</v>
      </c>
      <c r="H20">
        <v>166.041</v>
      </c>
      <c r="I20">
        <v>246.90109999999999</v>
      </c>
      <c r="J20">
        <v>281.14679999999998</v>
      </c>
      <c r="K20" t="s">
        <v>17</v>
      </c>
    </row>
    <row r="21" spans="1:11" x14ac:dyDescent="0.25">
      <c r="A21" t="s">
        <v>37</v>
      </c>
      <c r="B21" t="s">
        <v>217</v>
      </c>
      <c r="C21">
        <v>0</v>
      </c>
      <c r="D21">
        <v>112.8486</v>
      </c>
      <c r="E21">
        <v>143.40672000000001</v>
      </c>
      <c r="F21">
        <v>154.66056</v>
      </c>
      <c r="G21">
        <v>170.14746000000002</v>
      </c>
      <c r="H21">
        <v>184.76259999999999</v>
      </c>
      <c r="I21">
        <v>219.74487999999999</v>
      </c>
      <c r="J21">
        <v>244.90011999999999</v>
      </c>
      <c r="K21" t="s">
        <v>17</v>
      </c>
    </row>
    <row r="22" spans="1:11" x14ac:dyDescent="0.25">
      <c r="A22" t="s">
        <v>37</v>
      </c>
      <c r="B22" t="s">
        <v>226</v>
      </c>
      <c r="C22">
        <v>0</v>
      </c>
      <c r="D22">
        <v>162.80667</v>
      </c>
      <c r="E22">
        <v>198.80952000000002</v>
      </c>
      <c r="F22">
        <v>219.00263999999999</v>
      </c>
      <c r="G22">
        <v>246.73584</v>
      </c>
      <c r="H22">
        <v>271.81360000000001</v>
      </c>
      <c r="I22">
        <v>337.51760000000002</v>
      </c>
      <c r="J22">
        <v>369.81201000000004</v>
      </c>
      <c r="K22" t="s">
        <v>17</v>
      </c>
    </row>
    <row r="23" spans="1:11" x14ac:dyDescent="0.25">
      <c r="A23" t="s">
        <v>37</v>
      </c>
      <c r="B23" t="s">
        <v>235</v>
      </c>
      <c r="C23">
        <v>0</v>
      </c>
      <c r="D23">
        <v>353.49119999999999</v>
      </c>
      <c r="E23">
        <v>410.63939999999997</v>
      </c>
      <c r="F23">
        <v>435.59399999999999</v>
      </c>
      <c r="G23">
        <v>493.48320000000001</v>
      </c>
      <c r="H23">
        <v>536.65499999999997</v>
      </c>
      <c r="I23">
        <v>701.37360000000001</v>
      </c>
      <c r="J23">
        <v>724.17359999999996</v>
      </c>
      <c r="K23" t="s">
        <v>17</v>
      </c>
    </row>
    <row r="24" spans="1:11" x14ac:dyDescent="0.25">
      <c r="A24" t="s">
        <v>37</v>
      </c>
      <c r="B24" t="s">
        <v>244</v>
      </c>
      <c r="C24">
        <v>0</v>
      </c>
      <c r="D24">
        <v>106.79519999999999</v>
      </c>
      <c r="E24">
        <v>143.86799999999999</v>
      </c>
      <c r="F24">
        <v>160.42079999999999</v>
      </c>
      <c r="G24">
        <v>179.05248</v>
      </c>
      <c r="H24">
        <v>194.99</v>
      </c>
      <c r="I24">
        <v>259.19095000000004</v>
      </c>
      <c r="J24">
        <v>290.52161000000001</v>
      </c>
      <c r="K24" t="s">
        <v>17</v>
      </c>
    </row>
    <row r="25" spans="1:11" x14ac:dyDescent="0.25">
      <c r="A25" t="s">
        <v>37</v>
      </c>
      <c r="B25" t="s">
        <v>253</v>
      </c>
      <c r="C25">
        <v>0</v>
      </c>
      <c r="D25">
        <v>126.03045</v>
      </c>
      <c r="E25">
        <v>137.63592</v>
      </c>
      <c r="F25">
        <v>152.16720000000001</v>
      </c>
      <c r="G25">
        <v>184.59472</v>
      </c>
      <c r="H25">
        <v>190.40559999999999</v>
      </c>
      <c r="I25">
        <v>327.56759999999997</v>
      </c>
      <c r="J25">
        <v>337.62240000000003</v>
      </c>
      <c r="K25" t="s">
        <v>17</v>
      </c>
    </row>
    <row r="26" spans="1:11" x14ac:dyDescent="0.25">
      <c r="A26" t="s">
        <v>37</v>
      </c>
      <c r="B26" t="s">
        <v>37</v>
      </c>
      <c r="C26">
        <v>0</v>
      </c>
      <c r="D26">
        <v>63.998159999999999</v>
      </c>
      <c r="E26">
        <v>72.435599999999994</v>
      </c>
      <c r="F26">
        <v>79.8</v>
      </c>
      <c r="G26">
        <v>91.2</v>
      </c>
      <c r="H26">
        <v>90.48</v>
      </c>
      <c r="I26">
        <v>110.81099999999999</v>
      </c>
      <c r="J26">
        <v>113.96</v>
      </c>
      <c r="K26" t="s">
        <v>17</v>
      </c>
    </row>
    <row r="27" spans="1:11" x14ac:dyDescent="0.25">
      <c r="A27" t="s">
        <v>37</v>
      </c>
      <c r="B27" t="s">
        <v>270</v>
      </c>
      <c r="C27">
        <v>0</v>
      </c>
      <c r="D27">
        <v>103.62599999999999</v>
      </c>
      <c r="E27">
        <v>115.197</v>
      </c>
      <c r="F27">
        <v>127.54749</v>
      </c>
      <c r="G27">
        <v>173.81842</v>
      </c>
      <c r="H27">
        <v>186.92454999999998</v>
      </c>
      <c r="I27">
        <v>231.52401999999998</v>
      </c>
      <c r="J27">
        <v>252.84762999999998</v>
      </c>
      <c r="K27" t="s">
        <v>17</v>
      </c>
    </row>
    <row r="28" spans="1:11" x14ac:dyDescent="0.25">
      <c r="A28" t="s">
        <v>37</v>
      </c>
      <c r="B28" t="s">
        <v>279</v>
      </c>
      <c r="C28">
        <v>0</v>
      </c>
      <c r="D28">
        <v>139.19400000000002</v>
      </c>
      <c r="E28">
        <v>178.06799999999998</v>
      </c>
      <c r="F28">
        <v>189.46799999999999</v>
      </c>
      <c r="G28">
        <v>242.09040000000002</v>
      </c>
      <c r="H28">
        <v>271.12959999999998</v>
      </c>
      <c r="I28">
        <v>348.88175999999999</v>
      </c>
      <c r="J28">
        <v>383.9</v>
      </c>
      <c r="K28" t="s">
        <v>17</v>
      </c>
    </row>
    <row r="29" spans="1:11" x14ac:dyDescent="0.25">
      <c r="A29" t="s">
        <v>37</v>
      </c>
      <c r="B29" t="s">
        <v>288</v>
      </c>
      <c r="C29">
        <v>0</v>
      </c>
      <c r="D29">
        <v>199.59120000000001</v>
      </c>
      <c r="E29">
        <v>248.81639999999999</v>
      </c>
      <c r="F29">
        <v>260.39879999999999</v>
      </c>
      <c r="G29">
        <v>303.92399999999998</v>
      </c>
      <c r="H29">
        <v>295.41399999999999</v>
      </c>
      <c r="I29">
        <v>421.32177000000001</v>
      </c>
      <c r="J29">
        <v>435.72566999999998</v>
      </c>
      <c r="K29" t="s">
        <v>17</v>
      </c>
    </row>
    <row r="30" spans="1:11" x14ac:dyDescent="0.25">
      <c r="A30" t="s">
        <v>37</v>
      </c>
      <c r="B30" t="s">
        <v>297</v>
      </c>
      <c r="C30">
        <v>0</v>
      </c>
      <c r="D30">
        <v>176.76383999999999</v>
      </c>
      <c r="E30">
        <v>194.390615</v>
      </c>
      <c r="F30">
        <v>206.02250999999998</v>
      </c>
      <c r="G30">
        <v>228.04560000000001</v>
      </c>
      <c r="H30">
        <v>270.31740000000002</v>
      </c>
      <c r="I30">
        <v>353.74200000000002</v>
      </c>
      <c r="J30">
        <v>382.17360000000002</v>
      </c>
      <c r="K30" t="s">
        <v>17</v>
      </c>
    </row>
    <row r="31" spans="1:11" x14ac:dyDescent="0.25">
      <c r="A31" t="s">
        <v>37</v>
      </c>
      <c r="B31" t="s">
        <v>306</v>
      </c>
      <c r="C31">
        <v>0</v>
      </c>
      <c r="D31">
        <v>164.0232</v>
      </c>
      <c r="E31">
        <v>205.7928</v>
      </c>
      <c r="F31">
        <v>217.55760000000001</v>
      </c>
      <c r="G31">
        <v>268.47528</v>
      </c>
      <c r="H31">
        <v>273.52359999999999</v>
      </c>
      <c r="I31">
        <v>384.59039999999999</v>
      </c>
      <c r="J31">
        <v>399.27359999999999</v>
      </c>
      <c r="K31" t="s">
        <v>17</v>
      </c>
    </row>
    <row r="32" spans="1:11" x14ac:dyDescent="0.25">
      <c r="A32" t="s">
        <v>37</v>
      </c>
      <c r="B32" t="s">
        <v>315</v>
      </c>
      <c r="C32">
        <v>0</v>
      </c>
      <c r="D32">
        <v>437.30399999999997</v>
      </c>
      <c r="E32">
        <v>509.38619999999997</v>
      </c>
      <c r="F32">
        <v>526.49759999999992</v>
      </c>
      <c r="G32">
        <v>605.71512000000007</v>
      </c>
      <c r="H32">
        <v>643.00319999999999</v>
      </c>
      <c r="I32">
        <v>808.26879999999994</v>
      </c>
      <c r="J32">
        <v>811.34680000000003</v>
      </c>
      <c r="K32" t="s">
        <v>17</v>
      </c>
    </row>
    <row r="33" spans="1:11" x14ac:dyDescent="0.25">
      <c r="A33" t="s">
        <v>37</v>
      </c>
      <c r="B33" t="s">
        <v>324</v>
      </c>
      <c r="C33">
        <v>0</v>
      </c>
      <c r="D33">
        <v>302.34456</v>
      </c>
      <c r="E33">
        <v>379.154743</v>
      </c>
      <c r="F33">
        <v>398.67623900000001</v>
      </c>
      <c r="G33">
        <v>439.87188000000003</v>
      </c>
      <c r="H33">
        <v>458.45100000000002</v>
      </c>
      <c r="I33">
        <v>562.33564000000001</v>
      </c>
      <c r="J33">
        <v>641.97317999999996</v>
      </c>
      <c r="K33" t="s">
        <v>17</v>
      </c>
    </row>
    <row r="34" spans="1:11" x14ac:dyDescent="0.25">
      <c r="A34" t="s">
        <v>37</v>
      </c>
      <c r="B34" t="s">
        <v>333</v>
      </c>
      <c r="C34">
        <v>0</v>
      </c>
      <c r="D34">
        <v>96.717600000000004</v>
      </c>
      <c r="E34">
        <v>118.83230800000001</v>
      </c>
      <c r="F34">
        <v>136.80000000000001</v>
      </c>
      <c r="G34">
        <v>159.94271999999998</v>
      </c>
      <c r="H34">
        <v>163.4384</v>
      </c>
      <c r="I34">
        <v>213.54708000000002</v>
      </c>
      <c r="J34">
        <v>241.46976000000001</v>
      </c>
      <c r="K34" t="s">
        <v>17</v>
      </c>
    </row>
    <row r="35" spans="1:11" x14ac:dyDescent="0.25">
      <c r="A35" t="s">
        <v>37</v>
      </c>
      <c r="B35" t="s">
        <v>342</v>
      </c>
      <c r="C35">
        <v>0</v>
      </c>
      <c r="D35">
        <v>126.22080000000001</v>
      </c>
      <c r="E35">
        <v>149.45235</v>
      </c>
      <c r="F35">
        <v>165.29535000000001</v>
      </c>
      <c r="G35">
        <v>191.38319999999999</v>
      </c>
      <c r="H35">
        <v>190.74759999999998</v>
      </c>
      <c r="I35">
        <v>317.51279999999997</v>
      </c>
      <c r="J35">
        <v>327.97799999999995</v>
      </c>
      <c r="K35" t="s">
        <v>17</v>
      </c>
    </row>
    <row r="36" spans="1:11" x14ac:dyDescent="0.25">
      <c r="A36" t="s">
        <v>37</v>
      </c>
      <c r="B36" t="s">
        <v>351</v>
      </c>
      <c r="C36">
        <v>0</v>
      </c>
      <c r="D36">
        <v>208.19069999999999</v>
      </c>
      <c r="E36">
        <v>243.90966</v>
      </c>
      <c r="F36">
        <v>277.21911</v>
      </c>
      <c r="G36">
        <v>300.45486</v>
      </c>
      <c r="H36">
        <v>335.84399999999999</v>
      </c>
      <c r="I36">
        <v>514.09154999999998</v>
      </c>
      <c r="J36">
        <v>559.29999999999995</v>
      </c>
      <c r="K36" t="s">
        <v>17</v>
      </c>
    </row>
    <row r="37" spans="1:11" x14ac:dyDescent="0.25">
      <c r="A37" t="s">
        <v>37</v>
      </c>
      <c r="B37" t="s">
        <v>360</v>
      </c>
      <c r="C37">
        <v>0</v>
      </c>
      <c r="D37">
        <v>208.19069999999999</v>
      </c>
      <c r="E37">
        <v>227.03889999999998</v>
      </c>
      <c r="F37">
        <v>233.78480000000002</v>
      </c>
      <c r="G37">
        <v>280.32600000000002</v>
      </c>
      <c r="H37">
        <v>319.58999999999997</v>
      </c>
      <c r="I37">
        <v>502.31452000000002</v>
      </c>
      <c r="J37">
        <v>569.48</v>
      </c>
      <c r="K37" t="s">
        <v>17</v>
      </c>
    </row>
    <row r="38" spans="1:11" x14ac:dyDescent="0.25">
      <c r="A38" t="s">
        <v>37</v>
      </c>
      <c r="B38" t="s">
        <v>369</v>
      </c>
      <c r="C38">
        <v>0</v>
      </c>
      <c r="D38">
        <v>261.91224</v>
      </c>
      <c r="E38">
        <v>337.53426000000002</v>
      </c>
      <c r="F38">
        <v>400.112639</v>
      </c>
      <c r="G38">
        <v>432.34451999999999</v>
      </c>
      <c r="H38">
        <v>479.61</v>
      </c>
      <c r="I38">
        <v>551.87044000000003</v>
      </c>
      <c r="J38">
        <v>661.44942000000003</v>
      </c>
      <c r="K38" t="s">
        <v>17</v>
      </c>
    </row>
    <row r="39" spans="1:11" x14ac:dyDescent="0.25">
      <c r="A39" t="s">
        <v>37</v>
      </c>
      <c r="B39" t="s">
        <v>378</v>
      </c>
      <c r="C39">
        <v>0</v>
      </c>
      <c r="D39">
        <v>196.21116000000001</v>
      </c>
      <c r="E39">
        <v>209.441743</v>
      </c>
      <c r="F39">
        <v>235.68878000000001</v>
      </c>
      <c r="G39">
        <v>278.04339999999996</v>
      </c>
      <c r="H39">
        <v>295.41399999999999</v>
      </c>
      <c r="I39">
        <v>411.92070000000001</v>
      </c>
      <c r="J39">
        <v>423.35538000000003</v>
      </c>
      <c r="K39" t="s">
        <v>17</v>
      </c>
    </row>
    <row r="40" spans="1:11" x14ac:dyDescent="0.25">
      <c r="A40" t="s">
        <v>37</v>
      </c>
      <c r="B40" t="s">
        <v>387</v>
      </c>
      <c r="C40">
        <v>0</v>
      </c>
      <c r="D40">
        <v>114.496494</v>
      </c>
      <c r="E40">
        <v>143.29337999999998</v>
      </c>
      <c r="F40">
        <v>155.46608999999998</v>
      </c>
      <c r="G40">
        <v>174.65794</v>
      </c>
      <c r="H40">
        <v>191.82735</v>
      </c>
      <c r="I40">
        <v>228.77427999999998</v>
      </c>
      <c r="J40">
        <v>249.42105999999998</v>
      </c>
      <c r="K40" t="s">
        <v>17</v>
      </c>
    </row>
    <row r="41" spans="1:11" x14ac:dyDescent="0.25">
      <c r="A41" t="s">
        <v>37</v>
      </c>
      <c r="B41" t="s">
        <v>396</v>
      </c>
      <c r="C41">
        <v>0</v>
      </c>
      <c r="D41">
        <v>207.25199999999998</v>
      </c>
      <c r="E41">
        <v>234.75211400000001</v>
      </c>
      <c r="F41">
        <v>264.11520000000002</v>
      </c>
      <c r="G41">
        <v>308.13328000000001</v>
      </c>
      <c r="H41">
        <v>312.85840000000002</v>
      </c>
      <c r="I41">
        <v>433.846</v>
      </c>
      <c r="J41">
        <v>440.82279999999997</v>
      </c>
      <c r="K41" t="s">
        <v>17</v>
      </c>
    </row>
    <row r="42" spans="1:11" x14ac:dyDescent="0.25">
      <c r="A42" t="s">
        <v>37</v>
      </c>
      <c r="B42" t="s">
        <v>405</v>
      </c>
      <c r="C42">
        <v>0</v>
      </c>
      <c r="D42">
        <v>70.451999999999998</v>
      </c>
      <c r="E42">
        <v>85.21</v>
      </c>
      <c r="F42">
        <v>102.89</v>
      </c>
      <c r="G42">
        <v>113.71720000000001</v>
      </c>
      <c r="H42">
        <v>124.77200000000001</v>
      </c>
      <c r="I42">
        <v>149.56</v>
      </c>
      <c r="J42">
        <v>158.57</v>
      </c>
      <c r="K42" t="s">
        <v>17</v>
      </c>
    </row>
    <row r="43" spans="1:11" x14ac:dyDescent="0.25">
      <c r="A43" t="s">
        <v>37</v>
      </c>
      <c r="B43" t="s">
        <v>2787</v>
      </c>
      <c r="C43">
        <v>0</v>
      </c>
      <c r="D43">
        <v>85.5</v>
      </c>
      <c r="E43">
        <v>136.80000000000001</v>
      </c>
      <c r="F43">
        <v>142.5</v>
      </c>
      <c r="G43">
        <v>149.625</v>
      </c>
      <c r="H43">
        <v>161.595</v>
      </c>
      <c r="I43">
        <v>176.13855000000001</v>
      </c>
      <c r="J43">
        <v>193.75240500000004</v>
      </c>
      <c r="K43" t="s">
        <v>17</v>
      </c>
    </row>
    <row r="44" spans="1:11" x14ac:dyDescent="0.25">
      <c r="A44" t="s">
        <v>37</v>
      </c>
      <c r="B44" t="s">
        <v>414</v>
      </c>
      <c r="C44">
        <v>0</v>
      </c>
      <c r="D44">
        <v>103.62599999999999</v>
      </c>
      <c r="E44">
        <v>114.57924300000001</v>
      </c>
      <c r="F44">
        <v>123.63372</v>
      </c>
      <c r="G44">
        <v>183.42600000000002</v>
      </c>
      <c r="H44">
        <v>192.4014</v>
      </c>
      <c r="I44">
        <v>277.71287999999998</v>
      </c>
      <c r="J44">
        <v>279.55967999999996</v>
      </c>
      <c r="K44" t="s">
        <v>17</v>
      </c>
    </row>
    <row r="45" spans="1:11" x14ac:dyDescent="0.25">
      <c r="A45" t="s">
        <v>37</v>
      </c>
      <c r="B45" t="s">
        <v>423</v>
      </c>
      <c r="C45">
        <v>0</v>
      </c>
      <c r="D45">
        <v>208.19069999999999</v>
      </c>
      <c r="E45">
        <v>243.90966</v>
      </c>
      <c r="F45">
        <v>277.21911</v>
      </c>
      <c r="G45">
        <v>300.45486</v>
      </c>
      <c r="H45">
        <v>335.84399999999999</v>
      </c>
      <c r="I45">
        <v>501.92223999999999</v>
      </c>
      <c r="J45">
        <v>543.34680000000003</v>
      </c>
      <c r="K45" t="s">
        <v>17</v>
      </c>
    </row>
    <row r="46" spans="1:11" x14ac:dyDescent="0.25">
      <c r="A46" t="s">
        <v>37</v>
      </c>
      <c r="B46" t="s">
        <v>432</v>
      </c>
      <c r="C46">
        <v>0</v>
      </c>
      <c r="D46">
        <v>108.3</v>
      </c>
      <c r="E46">
        <v>137.34720000000002</v>
      </c>
      <c r="F46">
        <v>155.5872</v>
      </c>
      <c r="G46">
        <v>174.46260000000001</v>
      </c>
      <c r="H46">
        <v>191.0334</v>
      </c>
      <c r="I46">
        <v>227.68181999999999</v>
      </c>
      <c r="J46">
        <v>268.70233999999999</v>
      </c>
      <c r="K46" t="s">
        <v>17</v>
      </c>
    </row>
    <row r="47" spans="1:11" x14ac:dyDescent="0.25">
      <c r="A47" t="s">
        <v>37</v>
      </c>
      <c r="B47" t="s">
        <v>441</v>
      </c>
      <c r="C47">
        <v>0</v>
      </c>
      <c r="D47">
        <v>168.60600000000002</v>
      </c>
      <c r="E47">
        <v>228</v>
      </c>
      <c r="F47">
        <v>234.6576</v>
      </c>
      <c r="G47">
        <v>283.01639999999998</v>
      </c>
      <c r="H47">
        <v>264.40199999999999</v>
      </c>
      <c r="I47">
        <v>393.5736</v>
      </c>
      <c r="J47">
        <v>404.97359999999998</v>
      </c>
      <c r="K47" t="s">
        <v>17</v>
      </c>
    </row>
    <row r="48" spans="1:11" x14ac:dyDescent="0.25">
      <c r="A48" t="s">
        <v>37</v>
      </c>
      <c r="B48" t="s">
        <v>450</v>
      </c>
      <c r="C48">
        <v>0</v>
      </c>
      <c r="D48">
        <v>181.82999999999998</v>
      </c>
      <c r="E48">
        <v>215.9838</v>
      </c>
      <c r="F48">
        <v>233.7</v>
      </c>
      <c r="G48">
        <v>252.64680000000001</v>
      </c>
      <c r="H48">
        <v>275.65199999999999</v>
      </c>
      <c r="I48">
        <v>397.23282999999998</v>
      </c>
      <c r="J48">
        <v>455.37470999999999</v>
      </c>
      <c r="K48" t="s">
        <v>17</v>
      </c>
    </row>
    <row r="49" spans="1:11" x14ac:dyDescent="0.25">
      <c r="A49" t="s">
        <v>37</v>
      </c>
      <c r="B49" t="s">
        <v>459</v>
      </c>
      <c r="C49">
        <v>0</v>
      </c>
      <c r="D49">
        <v>202.23972000000001</v>
      </c>
      <c r="E49">
        <v>238.97592</v>
      </c>
      <c r="F49">
        <v>258.53807999999998</v>
      </c>
      <c r="G49">
        <v>286.93601999999998</v>
      </c>
      <c r="H49">
        <v>327.31560000000002</v>
      </c>
      <c r="I49">
        <v>413.15474</v>
      </c>
      <c r="J49">
        <v>478.36679999999996</v>
      </c>
      <c r="K49" t="s">
        <v>17</v>
      </c>
    </row>
    <row r="50" spans="1:11" x14ac:dyDescent="0.25">
      <c r="A50" t="s">
        <v>37</v>
      </c>
      <c r="B50" t="s">
        <v>468</v>
      </c>
      <c r="C50">
        <v>0</v>
      </c>
      <c r="D50">
        <v>226.9512</v>
      </c>
      <c r="E50">
        <v>297.60708</v>
      </c>
      <c r="F50">
        <v>284.69219999999996</v>
      </c>
      <c r="G50">
        <v>330.59242</v>
      </c>
      <c r="H50">
        <v>338.0564</v>
      </c>
      <c r="I50">
        <v>498.59039999999999</v>
      </c>
      <c r="J50">
        <v>524.76480000000004</v>
      </c>
      <c r="K50" t="s">
        <v>17</v>
      </c>
    </row>
    <row r="51" spans="1:11" x14ac:dyDescent="0.25">
      <c r="A51" t="s">
        <v>37</v>
      </c>
      <c r="B51" t="s">
        <v>477</v>
      </c>
      <c r="C51">
        <v>0</v>
      </c>
      <c r="D51">
        <v>185.15880000000001</v>
      </c>
      <c r="E51">
        <v>227.85560000000001</v>
      </c>
      <c r="F51">
        <v>238.53360000000001</v>
      </c>
      <c r="G51">
        <v>275.10608999999999</v>
      </c>
      <c r="H51">
        <v>290.62599999999998</v>
      </c>
      <c r="I51">
        <v>402.92159999999996</v>
      </c>
      <c r="J51">
        <v>423.85200000000003</v>
      </c>
      <c r="K51" t="s">
        <v>17</v>
      </c>
    </row>
    <row r="52" spans="1:11" x14ac:dyDescent="0.25">
      <c r="A52" t="s">
        <v>37</v>
      </c>
      <c r="B52" t="s">
        <v>486</v>
      </c>
      <c r="C52">
        <v>0</v>
      </c>
      <c r="D52">
        <v>117.082606</v>
      </c>
      <c r="E52">
        <v>137.02785</v>
      </c>
      <c r="F52">
        <v>151.49459999999999</v>
      </c>
      <c r="G52">
        <v>185.09040000000002</v>
      </c>
      <c r="H52">
        <v>191.0334</v>
      </c>
      <c r="I52">
        <v>250.98240000000001</v>
      </c>
      <c r="J52">
        <v>262.38240000000002</v>
      </c>
      <c r="K52" t="s">
        <v>17</v>
      </c>
    </row>
    <row r="53" spans="1:11" x14ac:dyDescent="0.25">
      <c r="A53" t="s">
        <v>37</v>
      </c>
      <c r="B53" t="s">
        <v>495</v>
      </c>
      <c r="C53">
        <v>0</v>
      </c>
      <c r="D53">
        <v>201.79140000000001</v>
      </c>
      <c r="E53">
        <v>241.39180000000002</v>
      </c>
      <c r="F53">
        <v>260.47881000000001</v>
      </c>
      <c r="G53">
        <v>288.72672</v>
      </c>
      <c r="H53">
        <v>309.60939999999999</v>
      </c>
      <c r="I53">
        <v>455.88600000000002</v>
      </c>
      <c r="J53">
        <v>486.73440000000005</v>
      </c>
      <c r="K53" t="s">
        <v>17</v>
      </c>
    </row>
    <row r="54" spans="1:11" x14ac:dyDescent="0.25">
      <c r="A54" t="s">
        <v>37</v>
      </c>
      <c r="B54" t="s">
        <v>504</v>
      </c>
      <c r="C54">
        <v>0</v>
      </c>
      <c r="D54">
        <v>190.47120000000001</v>
      </c>
      <c r="E54">
        <v>241.39180000000002</v>
      </c>
      <c r="F54">
        <v>259.92</v>
      </c>
      <c r="G54">
        <v>285.61200000000002</v>
      </c>
      <c r="H54">
        <v>293.875</v>
      </c>
      <c r="I54">
        <v>399.27359999999999</v>
      </c>
      <c r="J54">
        <v>409.73879999999997</v>
      </c>
      <c r="K54" t="s">
        <v>17</v>
      </c>
    </row>
    <row r="55" spans="1:11" x14ac:dyDescent="0.25">
      <c r="A55" t="s">
        <v>37</v>
      </c>
      <c r="B55" t="s">
        <v>513</v>
      </c>
      <c r="C55">
        <v>0</v>
      </c>
      <c r="D55">
        <v>382.17360000000002</v>
      </c>
      <c r="E55">
        <v>437.988</v>
      </c>
      <c r="F55">
        <v>457.91520000000003</v>
      </c>
      <c r="G55">
        <v>546.63</v>
      </c>
      <c r="H55">
        <v>567.60599999999999</v>
      </c>
      <c r="I55">
        <v>765.28200000000004</v>
      </c>
      <c r="J55">
        <v>784.7568</v>
      </c>
      <c r="K55" t="s">
        <v>17</v>
      </c>
    </row>
    <row r="56" spans="1:11" x14ac:dyDescent="0.25">
      <c r="A56" t="s">
        <v>37</v>
      </c>
      <c r="B56" t="s">
        <v>522</v>
      </c>
      <c r="C56">
        <v>0</v>
      </c>
      <c r="D56">
        <v>129.05939999999998</v>
      </c>
      <c r="E56">
        <v>161.86860000000001</v>
      </c>
      <c r="F56">
        <v>167.21520000000001</v>
      </c>
      <c r="G56">
        <v>194.23895999999999</v>
      </c>
      <c r="H56">
        <v>219.79079999999999</v>
      </c>
      <c r="I56">
        <v>259.39180000000005</v>
      </c>
      <c r="J56">
        <v>297.76799999999997</v>
      </c>
      <c r="K56" t="s">
        <v>17</v>
      </c>
    </row>
    <row r="57" spans="1:11" x14ac:dyDescent="0.25">
      <c r="A57" t="s">
        <v>37</v>
      </c>
      <c r="B57" t="s">
        <v>531</v>
      </c>
      <c r="C57">
        <v>0</v>
      </c>
      <c r="D57">
        <v>118.10860600000001</v>
      </c>
      <c r="E57">
        <v>137.53143</v>
      </c>
      <c r="F57">
        <v>156.28935000000001</v>
      </c>
      <c r="G57">
        <v>188.50391999999999</v>
      </c>
      <c r="H57">
        <v>196.1634</v>
      </c>
      <c r="I57">
        <v>284.24759999999998</v>
      </c>
      <c r="J57">
        <v>294.71279999999996</v>
      </c>
      <c r="K57" t="s">
        <v>17</v>
      </c>
    </row>
    <row r="58" spans="1:11" x14ac:dyDescent="0.25">
      <c r="A58" t="s">
        <v>37</v>
      </c>
      <c r="B58" t="s">
        <v>540</v>
      </c>
      <c r="C58">
        <v>0</v>
      </c>
      <c r="D58">
        <v>161.03639999999999</v>
      </c>
      <c r="E58">
        <v>221.68784000000002</v>
      </c>
      <c r="F58">
        <v>239.99976000000001</v>
      </c>
      <c r="G58">
        <v>264.56981999999999</v>
      </c>
      <c r="H58">
        <v>263.71800000000002</v>
      </c>
      <c r="I58">
        <v>373.07639999999998</v>
      </c>
      <c r="J58">
        <v>392.40088200000002</v>
      </c>
      <c r="K58" t="s">
        <v>17</v>
      </c>
    </row>
    <row r="59" spans="1:11" x14ac:dyDescent="0.25">
      <c r="A59" t="s">
        <v>37</v>
      </c>
      <c r="B59" t="s">
        <v>549</v>
      </c>
      <c r="C59">
        <v>0</v>
      </c>
      <c r="D59">
        <v>143.1156</v>
      </c>
      <c r="E59">
        <v>164.48077000000001</v>
      </c>
      <c r="F59">
        <v>178.04328000000001</v>
      </c>
      <c r="G59">
        <v>196.5402</v>
      </c>
      <c r="H59">
        <v>221.72880000000001</v>
      </c>
      <c r="I59">
        <v>315.21143999999998</v>
      </c>
      <c r="J59">
        <v>338.44319999999999</v>
      </c>
      <c r="K59" t="s">
        <v>17</v>
      </c>
    </row>
    <row r="60" spans="1:11" x14ac:dyDescent="0.25">
      <c r="A60" t="s">
        <v>37</v>
      </c>
      <c r="B60" t="s">
        <v>558</v>
      </c>
      <c r="C60">
        <v>0</v>
      </c>
      <c r="D60">
        <v>188.63580000000002</v>
      </c>
      <c r="E60">
        <v>229.2236</v>
      </c>
      <c r="F60">
        <v>245.6472</v>
      </c>
      <c r="G60">
        <v>273.20009999999996</v>
      </c>
      <c r="H60">
        <v>309.28199999999998</v>
      </c>
      <c r="I60">
        <v>378.28131999999999</v>
      </c>
      <c r="J60">
        <v>415.43880000000001</v>
      </c>
      <c r="K60" t="s">
        <v>17</v>
      </c>
    </row>
    <row r="61" spans="1:11" x14ac:dyDescent="0.25">
      <c r="A61" t="s">
        <v>37</v>
      </c>
      <c r="B61" t="s">
        <v>567</v>
      </c>
      <c r="C61">
        <v>0</v>
      </c>
      <c r="D61">
        <v>106.09748</v>
      </c>
      <c r="E61">
        <v>93.632000000000005</v>
      </c>
      <c r="F61">
        <v>104.652</v>
      </c>
      <c r="G61">
        <v>143.33699999999999</v>
      </c>
      <c r="H61">
        <v>153.55349999999999</v>
      </c>
      <c r="I61">
        <v>233.41488000000001</v>
      </c>
      <c r="J61">
        <v>252.37082000000001</v>
      </c>
      <c r="K61" t="s">
        <v>17</v>
      </c>
    </row>
    <row r="62" spans="1:11" x14ac:dyDescent="0.25">
      <c r="A62" t="s">
        <v>37</v>
      </c>
      <c r="B62" t="s">
        <v>585</v>
      </c>
      <c r="C62">
        <v>0</v>
      </c>
      <c r="D62">
        <v>189.9897</v>
      </c>
      <c r="E62">
        <v>208.89699400000001</v>
      </c>
      <c r="F62">
        <v>230.9222</v>
      </c>
      <c r="G62">
        <v>267.14249999999998</v>
      </c>
      <c r="H62">
        <v>287.4144</v>
      </c>
      <c r="I62">
        <v>381.55799999999999</v>
      </c>
      <c r="J62">
        <v>392.95799999999997</v>
      </c>
      <c r="K62" t="s">
        <v>17</v>
      </c>
    </row>
    <row r="63" spans="1:11" x14ac:dyDescent="0.25">
      <c r="A63" t="s">
        <v>37</v>
      </c>
      <c r="B63" t="s">
        <v>585</v>
      </c>
      <c r="C63">
        <v>0</v>
      </c>
      <c r="D63">
        <v>199.5</v>
      </c>
      <c r="E63">
        <v>245.1</v>
      </c>
      <c r="F63">
        <v>262.2</v>
      </c>
      <c r="G63">
        <v>279.3</v>
      </c>
      <c r="H63">
        <v>302.10000000000002</v>
      </c>
      <c r="I63">
        <v>399</v>
      </c>
      <c r="J63">
        <v>410.4</v>
      </c>
      <c r="K63" t="s">
        <v>17</v>
      </c>
    </row>
    <row r="64" spans="1:11" x14ac:dyDescent="0.25">
      <c r="A64" t="s">
        <v>37</v>
      </c>
      <c r="B64" t="s">
        <v>594</v>
      </c>
      <c r="C64">
        <v>0</v>
      </c>
      <c r="D64">
        <v>372.70699999999999</v>
      </c>
      <c r="E64">
        <v>404.77935000000002</v>
      </c>
      <c r="F64">
        <v>452.13389999999998</v>
      </c>
      <c r="G64">
        <v>509.86770000000001</v>
      </c>
      <c r="H64">
        <v>545.67920000000004</v>
      </c>
      <c r="I64">
        <v>602.39800000000002</v>
      </c>
      <c r="J64">
        <v>674.72680000000003</v>
      </c>
      <c r="K64" t="s">
        <v>17</v>
      </c>
    </row>
    <row r="65" spans="1:11" x14ac:dyDescent="0.25">
      <c r="A65" t="s">
        <v>37</v>
      </c>
      <c r="B65" t="s">
        <v>2790</v>
      </c>
      <c r="C65">
        <v>0</v>
      </c>
      <c r="D65">
        <v>68.400000000000006</v>
      </c>
      <c r="E65">
        <v>71.819999999999993</v>
      </c>
      <c r="F65">
        <v>84.36</v>
      </c>
      <c r="G65">
        <v>101.46</v>
      </c>
      <c r="H65">
        <v>111.72</v>
      </c>
      <c r="I65">
        <v>134.52000000000001</v>
      </c>
      <c r="J65">
        <v>149.34</v>
      </c>
      <c r="K65" t="s">
        <v>17</v>
      </c>
    </row>
    <row r="66" spans="1:11" x14ac:dyDescent="0.25">
      <c r="A66" t="s">
        <v>37</v>
      </c>
      <c r="B66" t="s">
        <v>603</v>
      </c>
      <c r="C66">
        <v>0</v>
      </c>
      <c r="D66">
        <v>159.83939999999998</v>
      </c>
      <c r="E66">
        <v>192.95</v>
      </c>
      <c r="F66">
        <v>216.6</v>
      </c>
      <c r="G66">
        <v>266.44080000000002</v>
      </c>
      <c r="H66">
        <v>270.31740000000002</v>
      </c>
      <c r="I66">
        <v>357.88312000000002</v>
      </c>
      <c r="J66">
        <v>383.98</v>
      </c>
      <c r="K66" t="s">
        <v>17</v>
      </c>
    </row>
    <row r="67" spans="1:11" x14ac:dyDescent="0.25">
      <c r="A67" t="s">
        <v>37</v>
      </c>
      <c r="B67" t="s">
        <v>612</v>
      </c>
      <c r="C67">
        <v>0</v>
      </c>
      <c r="D67">
        <v>106.33687999999999</v>
      </c>
      <c r="E67">
        <v>93.632000000000005</v>
      </c>
      <c r="F67">
        <v>105.74639999999999</v>
      </c>
      <c r="G67">
        <v>138.66300000000001</v>
      </c>
      <c r="H67">
        <v>147.73949999999999</v>
      </c>
      <c r="I67">
        <v>233.41488000000001</v>
      </c>
      <c r="J67">
        <v>252.37082000000001</v>
      </c>
      <c r="K67" t="s">
        <v>17</v>
      </c>
    </row>
    <row r="68" spans="1:11" x14ac:dyDescent="0.25">
      <c r="A68" t="s">
        <v>37</v>
      </c>
      <c r="B68" t="s">
        <v>621</v>
      </c>
      <c r="C68">
        <v>0</v>
      </c>
      <c r="D68">
        <v>228.66499999999999</v>
      </c>
      <c r="E68">
        <v>244.61030200000002</v>
      </c>
      <c r="F68">
        <v>272.84811000000002</v>
      </c>
      <c r="G68">
        <v>310.92881999999997</v>
      </c>
      <c r="H68">
        <v>344.38339999999999</v>
      </c>
      <c r="I68">
        <v>470.16305999999997</v>
      </c>
      <c r="J68">
        <v>519.28814</v>
      </c>
      <c r="K68" t="s">
        <v>17</v>
      </c>
    </row>
    <row r="69" spans="1:11" x14ac:dyDescent="0.25">
      <c r="A69" t="s">
        <v>37</v>
      </c>
      <c r="B69" t="s">
        <v>630</v>
      </c>
      <c r="C69">
        <v>0</v>
      </c>
      <c r="D69">
        <v>179.69819999999999</v>
      </c>
      <c r="E69">
        <v>206.89366000000001</v>
      </c>
      <c r="F69">
        <v>224.4888</v>
      </c>
      <c r="G69">
        <v>249.57239999999999</v>
      </c>
      <c r="H69">
        <v>265.428</v>
      </c>
      <c r="I69">
        <v>382.17360000000002</v>
      </c>
      <c r="J69">
        <v>409.32839999999999</v>
      </c>
      <c r="K69" t="s">
        <v>17</v>
      </c>
    </row>
    <row r="70" spans="1:11" x14ac:dyDescent="0.25">
      <c r="A70" t="s">
        <v>37</v>
      </c>
      <c r="B70" t="s">
        <v>639</v>
      </c>
      <c r="C70">
        <v>0</v>
      </c>
      <c r="D70">
        <v>181.82999999999998</v>
      </c>
      <c r="E70">
        <v>203.09100000000001</v>
      </c>
      <c r="F70">
        <v>218.994</v>
      </c>
      <c r="G70">
        <v>252.44160000000002</v>
      </c>
      <c r="H70">
        <v>301.25</v>
      </c>
      <c r="I70">
        <v>463.84068000000002</v>
      </c>
      <c r="J70">
        <v>506.7756</v>
      </c>
      <c r="K70" t="s">
        <v>17</v>
      </c>
    </row>
    <row r="71" spans="1:11" x14ac:dyDescent="0.25">
      <c r="A71" t="s">
        <v>37</v>
      </c>
      <c r="B71" t="s">
        <v>648</v>
      </c>
      <c r="C71">
        <v>0</v>
      </c>
      <c r="D71">
        <v>219.00538799999998</v>
      </c>
      <c r="E71">
        <v>243.8897</v>
      </c>
      <c r="F71">
        <v>257.05554000000001</v>
      </c>
      <c r="G71">
        <v>290.49833000000001</v>
      </c>
      <c r="H71">
        <v>340.49</v>
      </c>
      <c r="I71">
        <v>450.77249999999998</v>
      </c>
      <c r="J71">
        <v>488.98</v>
      </c>
      <c r="K71" t="s">
        <v>17</v>
      </c>
    </row>
    <row r="72" spans="1:11" x14ac:dyDescent="0.25">
      <c r="A72" t="s">
        <v>37</v>
      </c>
      <c r="B72" t="s">
        <v>657</v>
      </c>
      <c r="C72">
        <v>0</v>
      </c>
      <c r="D72">
        <v>190.26600000000002</v>
      </c>
      <c r="E72">
        <v>228.47990000000001</v>
      </c>
      <c r="F72">
        <v>244.1994</v>
      </c>
      <c r="G72">
        <v>274.35071999999997</v>
      </c>
      <c r="H72">
        <v>291.13900000000001</v>
      </c>
      <c r="I72">
        <v>397.8057</v>
      </c>
      <c r="J72">
        <v>437.988</v>
      </c>
      <c r="K72" t="s">
        <v>17</v>
      </c>
    </row>
    <row r="73" spans="1:11" x14ac:dyDescent="0.25">
      <c r="A73" t="s">
        <v>37</v>
      </c>
      <c r="B73" t="s">
        <v>666</v>
      </c>
      <c r="C73">
        <v>0</v>
      </c>
      <c r="D73">
        <v>208.83815999999999</v>
      </c>
      <c r="E73">
        <v>238.06098</v>
      </c>
      <c r="F73">
        <v>264.90538000000004</v>
      </c>
      <c r="G73">
        <v>300.02321999999998</v>
      </c>
      <c r="H73">
        <v>334.10609999999997</v>
      </c>
      <c r="I73">
        <v>514.09154999999998</v>
      </c>
      <c r="J73">
        <v>536.40419999999995</v>
      </c>
      <c r="K73" t="s">
        <v>17</v>
      </c>
    </row>
    <row r="74" spans="1:11" x14ac:dyDescent="0.25">
      <c r="A74" t="s">
        <v>37</v>
      </c>
      <c r="B74" t="s">
        <v>675</v>
      </c>
      <c r="C74">
        <v>0</v>
      </c>
      <c r="D74">
        <v>117.65940000000001</v>
      </c>
      <c r="E74">
        <v>158.4144</v>
      </c>
      <c r="F74">
        <v>160.96799999999999</v>
      </c>
      <c r="G74">
        <v>202.4</v>
      </c>
      <c r="H74">
        <v>194.74</v>
      </c>
      <c r="I74">
        <v>272.67575999999997</v>
      </c>
      <c r="J74">
        <v>293.96039999999999</v>
      </c>
      <c r="K74" t="s">
        <v>17</v>
      </c>
    </row>
    <row r="75" spans="1:11" x14ac:dyDescent="0.25">
      <c r="A75" t="s">
        <v>37</v>
      </c>
      <c r="B75" t="s">
        <v>684</v>
      </c>
      <c r="C75">
        <v>0</v>
      </c>
      <c r="D75">
        <v>193.07040000000001</v>
      </c>
      <c r="E75">
        <v>238.49939999999998</v>
      </c>
      <c r="F75">
        <v>237.71280000000002</v>
      </c>
      <c r="G75">
        <v>287.92161999999996</v>
      </c>
      <c r="H75">
        <v>306.36040000000003</v>
      </c>
      <c r="I75">
        <v>429.29208</v>
      </c>
      <c r="J75">
        <v>469.89</v>
      </c>
      <c r="K75" t="s">
        <v>17</v>
      </c>
    </row>
    <row r="76" spans="1:11" x14ac:dyDescent="0.25">
      <c r="A76" t="s">
        <v>37</v>
      </c>
      <c r="B76" t="s">
        <v>693</v>
      </c>
      <c r="C76">
        <v>0</v>
      </c>
      <c r="D76">
        <v>224.352</v>
      </c>
      <c r="E76">
        <v>284.69219999999996</v>
      </c>
      <c r="F76">
        <v>284.69219999999996</v>
      </c>
      <c r="G76">
        <v>325.76849999999996</v>
      </c>
      <c r="H76">
        <v>336.34639999999996</v>
      </c>
      <c r="I76">
        <v>459.16919999999999</v>
      </c>
      <c r="J76">
        <v>481.03440000000001</v>
      </c>
      <c r="K76" t="s">
        <v>17</v>
      </c>
    </row>
    <row r="77" spans="1:11" x14ac:dyDescent="0.25">
      <c r="A77" t="s">
        <v>37</v>
      </c>
      <c r="B77" t="s">
        <v>702</v>
      </c>
      <c r="C77">
        <v>0</v>
      </c>
      <c r="D77">
        <v>194.91720000000001</v>
      </c>
      <c r="E77">
        <v>217.94910000000002</v>
      </c>
      <c r="F77">
        <v>228.23589999999999</v>
      </c>
      <c r="G77">
        <v>279.75600000000003</v>
      </c>
      <c r="H77">
        <v>308.19</v>
      </c>
      <c r="I77">
        <v>447.78363999999999</v>
      </c>
      <c r="J77">
        <v>514.64160000000004</v>
      </c>
      <c r="K77" t="s">
        <v>17</v>
      </c>
    </row>
    <row r="78" spans="1:11" x14ac:dyDescent="0.25">
      <c r="A78" t="s">
        <v>37</v>
      </c>
      <c r="B78" t="s">
        <v>711</v>
      </c>
      <c r="C78">
        <v>0</v>
      </c>
      <c r="D78">
        <v>186.43559999999999</v>
      </c>
      <c r="E78">
        <v>238.26</v>
      </c>
      <c r="F78">
        <v>239.69639999999998</v>
      </c>
      <c r="G78">
        <v>275.214</v>
      </c>
      <c r="H78">
        <v>291.99399999999997</v>
      </c>
      <c r="I78">
        <v>407.68680000000001</v>
      </c>
      <c r="J78">
        <v>425.904</v>
      </c>
      <c r="K78" t="s">
        <v>17</v>
      </c>
    </row>
    <row r="79" spans="1:11" x14ac:dyDescent="0.25">
      <c r="A79" t="s">
        <v>37</v>
      </c>
      <c r="B79" t="s">
        <v>720</v>
      </c>
      <c r="C79">
        <v>0</v>
      </c>
      <c r="D79">
        <v>228.75064</v>
      </c>
      <c r="E79">
        <v>242.71588199999999</v>
      </c>
      <c r="F79">
        <v>271.90089999999998</v>
      </c>
      <c r="G79">
        <v>306.99610000000001</v>
      </c>
      <c r="H79">
        <v>339.3965</v>
      </c>
      <c r="I79">
        <v>429.77593999999999</v>
      </c>
      <c r="J79">
        <v>497.52857999999998</v>
      </c>
      <c r="K79" t="s">
        <v>17</v>
      </c>
    </row>
    <row r="80" spans="1:11" x14ac:dyDescent="0.25">
      <c r="A80" t="s">
        <v>37</v>
      </c>
      <c r="B80" t="s">
        <v>729</v>
      </c>
      <c r="C80">
        <v>0</v>
      </c>
      <c r="D80">
        <v>152.17931200000001</v>
      </c>
      <c r="E80">
        <v>206.31</v>
      </c>
      <c r="F80">
        <v>216.6</v>
      </c>
      <c r="G80">
        <v>252.35040000000001</v>
      </c>
      <c r="H80">
        <v>232.76219999999998</v>
      </c>
      <c r="I80">
        <v>380.07558</v>
      </c>
      <c r="J80">
        <v>402.8304</v>
      </c>
      <c r="K80" t="s">
        <v>17</v>
      </c>
    </row>
    <row r="81" spans="1:11" x14ac:dyDescent="0.25">
      <c r="A81" t="s">
        <v>37</v>
      </c>
      <c r="B81" t="s">
        <v>738</v>
      </c>
      <c r="C81">
        <v>0</v>
      </c>
      <c r="D81">
        <v>151.46111200000001</v>
      </c>
      <c r="E81">
        <v>206.56799999999998</v>
      </c>
      <c r="F81">
        <v>222.5736</v>
      </c>
      <c r="G81">
        <v>245.44218000000001</v>
      </c>
      <c r="H81">
        <v>231.22319999999999</v>
      </c>
      <c r="I81">
        <v>366.58979999999997</v>
      </c>
      <c r="J81">
        <v>382.78919999999999</v>
      </c>
      <c r="K81" t="s">
        <v>17</v>
      </c>
    </row>
    <row r="82" spans="1:11" x14ac:dyDescent="0.25">
      <c r="A82" t="s">
        <v>37</v>
      </c>
      <c r="B82" t="s">
        <v>747</v>
      </c>
      <c r="C82">
        <v>0</v>
      </c>
      <c r="D82">
        <v>178.1934</v>
      </c>
      <c r="E82">
        <v>214.32</v>
      </c>
      <c r="F82">
        <v>252.9204</v>
      </c>
      <c r="G82">
        <v>275.214</v>
      </c>
      <c r="H82">
        <v>291.48099999999999</v>
      </c>
      <c r="I82">
        <v>402.92159999999996</v>
      </c>
      <c r="J82">
        <v>415.43880000000001</v>
      </c>
      <c r="K82" t="s">
        <v>17</v>
      </c>
    </row>
    <row r="83" spans="1:11" x14ac:dyDescent="0.25">
      <c r="A83" t="s">
        <v>37</v>
      </c>
      <c r="B83" t="s">
        <v>756</v>
      </c>
      <c r="C83">
        <v>0</v>
      </c>
      <c r="D83">
        <v>265.97119800000002</v>
      </c>
      <c r="E83">
        <v>282.24356899999998</v>
      </c>
      <c r="F83">
        <v>325.07300000000004</v>
      </c>
      <c r="G83">
        <v>381.88871999999998</v>
      </c>
      <c r="H83">
        <v>396.3184</v>
      </c>
      <c r="I83">
        <v>522.12239999999997</v>
      </c>
      <c r="J83">
        <v>526.02120000000002</v>
      </c>
      <c r="K83" t="s">
        <v>17</v>
      </c>
    </row>
    <row r="84" spans="1:11" x14ac:dyDescent="0.25">
      <c r="A84" t="s">
        <v>37</v>
      </c>
      <c r="B84" t="s">
        <v>1626</v>
      </c>
      <c r="C84">
        <v>0</v>
      </c>
      <c r="D84">
        <v>723.9</v>
      </c>
      <c r="E84">
        <v>843.6</v>
      </c>
      <c r="F84">
        <v>889.2</v>
      </c>
      <c r="G84">
        <v>1105.8</v>
      </c>
      <c r="H84">
        <v>1140</v>
      </c>
      <c r="I84">
        <v>1527.6</v>
      </c>
      <c r="J84">
        <v>1596</v>
      </c>
      <c r="K84" t="s">
        <v>17</v>
      </c>
    </row>
    <row r="85" spans="1:11" x14ac:dyDescent="0.25">
      <c r="A85" t="s">
        <v>37</v>
      </c>
      <c r="B85" t="s">
        <v>765</v>
      </c>
      <c r="C85">
        <v>0</v>
      </c>
      <c r="D85">
        <v>451.42939999999999</v>
      </c>
      <c r="E85">
        <v>512.37196000000006</v>
      </c>
      <c r="F85">
        <v>562.48022000000003</v>
      </c>
      <c r="G85">
        <v>651.25155000000007</v>
      </c>
      <c r="H85">
        <v>711.34140000000002</v>
      </c>
      <c r="I85">
        <v>807.51475000000005</v>
      </c>
      <c r="J85">
        <v>884.87400000000002</v>
      </c>
      <c r="K85" t="s">
        <v>17</v>
      </c>
    </row>
    <row r="86" spans="1:11" x14ac:dyDescent="0.25">
      <c r="A86" t="s">
        <v>37</v>
      </c>
      <c r="B86" t="s">
        <v>774</v>
      </c>
      <c r="C86">
        <v>0</v>
      </c>
      <c r="D86">
        <v>226.48420000000002</v>
      </c>
      <c r="E86">
        <v>241.86563999999998</v>
      </c>
      <c r="F86">
        <v>265.01764000000003</v>
      </c>
      <c r="G86">
        <v>309.50065000000001</v>
      </c>
      <c r="H86">
        <v>368.28431999999998</v>
      </c>
      <c r="I86">
        <v>424.29545000000002</v>
      </c>
      <c r="J86">
        <v>496.73865000000001</v>
      </c>
      <c r="K86" t="s">
        <v>17</v>
      </c>
    </row>
    <row r="87" spans="1:11" x14ac:dyDescent="0.25">
      <c r="A87" t="s">
        <v>37</v>
      </c>
      <c r="B87" t="s">
        <v>783</v>
      </c>
      <c r="C87">
        <v>0</v>
      </c>
      <c r="D87">
        <v>184.9194</v>
      </c>
      <c r="E87">
        <v>211.11395999999999</v>
      </c>
      <c r="F87">
        <v>242.52984000000001</v>
      </c>
      <c r="G87">
        <v>260.24040000000002</v>
      </c>
      <c r="H87">
        <v>266.11200000000002</v>
      </c>
      <c r="I87">
        <v>387.07231999999999</v>
      </c>
      <c r="J87">
        <v>390.97112000000004</v>
      </c>
      <c r="K87" t="s">
        <v>17</v>
      </c>
    </row>
    <row r="88" spans="1:11" x14ac:dyDescent="0.25">
      <c r="A88" t="s">
        <v>37</v>
      </c>
      <c r="B88" t="s">
        <v>792</v>
      </c>
      <c r="C88">
        <v>0</v>
      </c>
      <c r="D88">
        <v>253.44480000000001</v>
      </c>
      <c r="E88">
        <v>326.88173999999998</v>
      </c>
      <c r="F88">
        <v>371.48057799999998</v>
      </c>
      <c r="G88">
        <v>398.85136</v>
      </c>
      <c r="H88">
        <v>435.52424999999999</v>
      </c>
      <c r="I88">
        <v>544.53495999999996</v>
      </c>
      <c r="J88">
        <v>606.52559999999994</v>
      </c>
      <c r="K88" t="s">
        <v>17</v>
      </c>
    </row>
    <row r="89" spans="1:11" x14ac:dyDescent="0.25">
      <c r="A89" t="s">
        <v>37</v>
      </c>
      <c r="B89" t="s">
        <v>801</v>
      </c>
      <c r="C89">
        <v>0</v>
      </c>
      <c r="D89">
        <v>188.78399999999999</v>
      </c>
      <c r="E89">
        <v>231.72344000000001</v>
      </c>
      <c r="F89">
        <v>250.62235000000001</v>
      </c>
      <c r="G89">
        <v>283.28735</v>
      </c>
      <c r="H89">
        <v>306.91863999999998</v>
      </c>
      <c r="I89">
        <v>380.55568</v>
      </c>
      <c r="J89">
        <v>426.91215999999997</v>
      </c>
      <c r="K89" t="s">
        <v>17</v>
      </c>
    </row>
    <row r="90" spans="1:11" x14ac:dyDescent="0.25">
      <c r="A90" t="s">
        <v>37</v>
      </c>
      <c r="B90" t="s">
        <v>810</v>
      </c>
      <c r="C90">
        <v>0</v>
      </c>
      <c r="D90">
        <v>123.05394</v>
      </c>
      <c r="E90">
        <v>138.79007999999999</v>
      </c>
      <c r="F90">
        <v>158.6892</v>
      </c>
      <c r="G90">
        <v>191.14722</v>
      </c>
      <c r="H90">
        <v>223.56300000000002</v>
      </c>
      <c r="I90">
        <v>320.31720000000001</v>
      </c>
      <c r="J90">
        <v>349.84320000000002</v>
      </c>
      <c r="K90" t="s">
        <v>17</v>
      </c>
    </row>
    <row r="91" spans="1:11" x14ac:dyDescent="0.25">
      <c r="A91" t="s">
        <v>37</v>
      </c>
      <c r="B91" t="s">
        <v>819</v>
      </c>
      <c r="C91">
        <v>0</v>
      </c>
      <c r="D91">
        <v>205.2</v>
      </c>
      <c r="E91">
        <v>239.63939999999999</v>
      </c>
      <c r="F91">
        <v>263.39699999999999</v>
      </c>
      <c r="G91">
        <v>287.92161999999996</v>
      </c>
      <c r="H91">
        <v>306.36040000000003</v>
      </c>
      <c r="I91">
        <v>424.96008</v>
      </c>
      <c r="J91">
        <v>472.98</v>
      </c>
      <c r="K91" t="s">
        <v>17</v>
      </c>
    </row>
    <row r="92" spans="1:11" x14ac:dyDescent="0.25">
      <c r="A92" t="s">
        <v>37</v>
      </c>
      <c r="B92" t="s">
        <v>828</v>
      </c>
      <c r="C92">
        <v>0</v>
      </c>
      <c r="D92">
        <v>148.19999999999999</v>
      </c>
      <c r="E92">
        <v>202.4982</v>
      </c>
      <c r="F92">
        <v>211.49280000000002</v>
      </c>
      <c r="G92">
        <v>227.78</v>
      </c>
      <c r="H92">
        <v>249.89</v>
      </c>
      <c r="I92">
        <v>398.7</v>
      </c>
      <c r="J92">
        <v>478.78</v>
      </c>
      <c r="K92" t="s">
        <v>17</v>
      </c>
    </row>
    <row r="93" spans="1:11" x14ac:dyDescent="0.25">
      <c r="A93" t="s">
        <v>37</v>
      </c>
      <c r="B93" t="s">
        <v>837</v>
      </c>
      <c r="C93">
        <v>0</v>
      </c>
      <c r="D93">
        <v>148.19999999999999</v>
      </c>
      <c r="E93">
        <v>201.5976</v>
      </c>
      <c r="F93">
        <v>214.49100000000001</v>
      </c>
      <c r="G93">
        <v>255.65639999999999</v>
      </c>
      <c r="H93">
        <v>266.44139999999999</v>
      </c>
      <c r="I93">
        <v>361.2432</v>
      </c>
      <c r="J93">
        <v>382.17360000000002</v>
      </c>
      <c r="K93" t="s">
        <v>17</v>
      </c>
    </row>
    <row r="94" spans="1:11" x14ac:dyDescent="0.25">
      <c r="A94" t="s">
        <v>37</v>
      </c>
      <c r="B94" t="s">
        <v>846</v>
      </c>
      <c r="C94">
        <v>0</v>
      </c>
      <c r="D94">
        <v>98.997600000000006</v>
      </c>
      <c r="E94">
        <v>97.774000000000001</v>
      </c>
      <c r="F94">
        <v>107.426</v>
      </c>
      <c r="G94">
        <v>138.66300000000001</v>
      </c>
      <c r="H94">
        <v>144.83250000000001</v>
      </c>
      <c r="I94">
        <v>231.86256</v>
      </c>
      <c r="J94">
        <v>250.57568000000001</v>
      </c>
      <c r="K94" t="s">
        <v>17</v>
      </c>
    </row>
    <row r="95" spans="1:11" x14ac:dyDescent="0.25">
      <c r="A95" t="s">
        <v>37</v>
      </c>
      <c r="B95" t="s">
        <v>855</v>
      </c>
      <c r="C95">
        <v>0</v>
      </c>
      <c r="D95">
        <v>182.58240000000001</v>
      </c>
      <c r="E95">
        <v>205.94673</v>
      </c>
      <c r="F95">
        <v>238.49939999999998</v>
      </c>
      <c r="G95">
        <v>259.83</v>
      </c>
      <c r="H95">
        <v>260.68349999999998</v>
      </c>
      <c r="I95">
        <v>362.5428</v>
      </c>
      <c r="J95">
        <v>363.15732000000003</v>
      </c>
      <c r="K95" t="s">
        <v>17</v>
      </c>
    </row>
    <row r="96" spans="1:11" x14ac:dyDescent="0.25">
      <c r="A96" t="s">
        <v>37</v>
      </c>
      <c r="B96" t="s">
        <v>864</v>
      </c>
      <c r="C96">
        <v>0</v>
      </c>
      <c r="D96">
        <v>168.80760000000001</v>
      </c>
      <c r="E96">
        <v>176.66254600000002</v>
      </c>
      <c r="F96">
        <v>186.6062</v>
      </c>
      <c r="G96">
        <v>216.6</v>
      </c>
      <c r="H96">
        <v>228</v>
      </c>
      <c r="I96">
        <v>333.03503999999998</v>
      </c>
      <c r="J96">
        <v>372.18720000000002</v>
      </c>
      <c r="K96" t="s">
        <v>17</v>
      </c>
    </row>
    <row r="97" spans="1:11" x14ac:dyDescent="0.25">
      <c r="A97" t="s">
        <v>37</v>
      </c>
      <c r="B97" t="s">
        <v>873</v>
      </c>
      <c r="C97">
        <v>0</v>
      </c>
      <c r="D97">
        <v>415.43880000000001</v>
      </c>
      <c r="E97">
        <v>481.78679999999997</v>
      </c>
      <c r="F97">
        <v>498.89820000000003</v>
      </c>
      <c r="G97">
        <v>579.89519999999993</v>
      </c>
      <c r="H97">
        <v>599.86800000000005</v>
      </c>
      <c r="I97">
        <v>789.43079999999998</v>
      </c>
      <c r="J97">
        <v>802.51799999999992</v>
      </c>
      <c r="K97" t="s">
        <v>17</v>
      </c>
    </row>
    <row r="98" spans="1:11" x14ac:dyDescent="0.25">
      <c r="A98" t="s">
        <v>37</v>
      </c>
      <c r="B98" t="s">
        <v>882</v>
      </c>
      <c r="C98">
        <v>0</v>
      </c>
      <c r="D98">
        <v>277.89030200000002</v>
      </c>
      <c r="E98">
        <v>355.25819999999999</v>
      </c>
      <c r="F98">
        <v>382.783029</v>
      </c>
      <c r="G98">
        <v>393.44367999999997</v>
      </c>
      <c r="H98">
        <v>399.56739999999996</v>
      </c>
      <c r="I98">
        <v>552.33000000000004</v>
      </c>
      <c r="J98">
        <v>579.89519999999993</v>
      </c>
      <c r="K98" t="s">
        <v>17</v>
      </c>
    </row>
    <row r="99" spans="1:11" x14ac:dyDescent="0.25">
      <c r="A99" t="s">
        <v>37</v>
      </c>
      <c r="B99" t="s">
        <v>891</v>
      </c>
      <c r="C99">
        <v>0</v>
      </c>
      <c r="D99">
        <v>128.8707</v>
      </c>
      <c r="E99">
        <v>162.10755</v>
      </c>
      <c r="F99">
        <v>176.20911000000001</v>
      </c>
      <c r="G99">
        <v>190.06359999999998</v>
      </c>
      <c r="H99">
        <v>195.61</v>
      </c>
      <c r="I99">
        <v>258.99010000000004</v>
      </c>
      <c r="J99">
        <v>303.4452</v>
      </c>
      <c r="K99" t="s">
        <v>17</v>
      </c>
    </row>
    <row r="100" spans="1:11" x14ac:dyDescent="0.25">
      <c r="A100" t="s">
        <v>37</v>
      </c>
      <c r="B100" t="s">
        <v>900</v>
      </c>
      <c r="C100">
        <v>0</v>
      </c>
      <c r="D100">
        <v>108.06583999999999</v>
      </c>
      <c r="E100">
        <v>103.833</v>
      </c>
      <c r="F100">
        <v>113.64099999999999</v>
      </c>
      <c r="G100">
        <v>147.1224</v>
      </c>
      <c r="H100">
        <v>155.34</v>
      </c>
      <c r="I100">
        <v>235.96655999999999</v>
      </c>
      <c r="J100">
        <v>273.01738</v>
      </c>
      <c r="K100" t="s">
        <v>17</v>
      </c>
    </row>
    <row r="101" spans="1:11" x14ac:dyDescent="0.25">
      <c r="A101" t="s">
        <v>37</v>
      </c>
      <c r="B101" t="s">
        <v>909</v>
      </c>
      <c r="C101">
        <v>0</v>
      </c>
      <c r="D101">
        <v>83.938199999999995</v>
      </c>
      <c r="E101">
        <v>97.720799999999997</v>
      </c>
      <c r="F101">
        <v>101.7336</v>
      </c>
      <c r="G101">
        <v>114</v>
      </c>
      <c r="H101">
        <v>120.057</v>
      </c>
      <c r="I101">
        <v>180.78</v>
      </c>
      <c r="J101">
        <v>224.4</v>
      </c>
      <c r="K101" t="s">
        <v>17</v>
      </c>
    </row>
    <row r="102" spans="1:11" x14ac:dyDescent="0.25">
      <c r="A102" t="s">
        <v>333</v>
      </c>
      <c r="B102" t="s">
        <v>47</v>
      </c>
      <c r="C102">
        <v>0</v>
      </c>
      <c r="D102">
        <v>152.80000000000001</v>
      </c>
      <c r="E102">
        <v>185.64</v>
      </c>
      <c r="F102">
        <v>195</v>
      </c>
      <c r="G102">
        <v>222.78</v>
      </c>
      <c r="H102">
        <v>228.49</v>
      </c>
      <c r="I102">
        <v>316.14999999999998</v>
      </c>
      <c r="J102">
        <v>323.35000000000002</v>
      </c>
      <c r="K102" t="s">
        <v>17</v>
      </c>
    </row>
    <row r="103" spans="1:11" x14ac:dyDescent="0.25">
      <c r="A103" t="s">
        <v>333</v>
      </c>
      <c r="B103" t="s">
        <v>56</v>
      </c>
      <c r="C103">
        <v>0</v>
      </c>
      <c r="D103">
        <v>137.46</v>
      </c>
      <c r="E103">
        <v>192.07</v>
      </c>
      <c r="F103">
        <v>206.57</v>
      </c>
      <c r="G103">
        <v>234.73</v>
      </c>
      <c r="H103">
        <v>271.81</v>
      </c>
      <c r="I103">
        <v>354.16</v>
      </c>
      <c r="J103">
        <v>374.33</v>
      </c>
      <c r="K103" t="s">
        <v>17</v>
      </c>
    </row>
    <row r="104" spans="1:11" x14ac:dyDescent="0.25">
      <c r="A104" t="s">
        <v>333</v>
      </c>
      <c r="B104" t="s">
        <v>46</v>
      </c>
      <c r="C104">
        <v>0</v>
      </c>
      <c r="D104">
        <v>273.99</v>
      </c>
      <c r="E104">
        <v>347.28</v>
      </c>
      <c r="F104">
        <v>353.11</v>
      </c>
      <c r="G104">
        <v>388.43</v>
      </c>
      <c r="H104">
        <v>398.88</v>
      </c>
      <c r="I104">
        <v>537.09</v>
      </c>
      <c r="J104">
        <v>551.55999999999995</v>
      </c>
      <c r="K104" t="s">
        <v>17</v>
      </c>
    </row>
    <row r="105" spans="1:11" x14ac:dyDescent="0.25">
      <c r="A105" t="s">
        <v>333</v>
      </c>
      <c r="B105" t="s">
        <v>73</v>
      </c>
      <c r="C105">
        <v>0</v>
      </c>
      <c r="D105">
        <v>545.29</v>
      </c>
      <c r="E105">
        <v>569.38</v>
      </c>
      <c r="F105">
        <v>591</v>
      </c>
      <c r="G105">
        <v>670.54</v>
      </c>
      <c r="H105">
        <v>671.84</v>
      </c>
      <c r="I105">
        <v>852.74</v>
      </c>
      <c r="J105">
        <v>868.91</v>
      </c>
      <c r="K105" t="s">
        <v>17</v>
      </c>
    </row>
    <row r="106" spans="1:11" x14ac:dyDescent="0.25">
      <c r="A106" t="s">
        <v>333</v>
      </c>
      <c r="B106" t="s">
        <v>82</v>
      </c>
      <c r="C106">
        <v>0</v>
      </c>
      <c r="D106">
        <v>143.69999999999999</v>
      </c>
      <c r="E106">
        <v>185.14</v>
      </c>
      <c r="F106">
        <v>200</v>
      </c>
      <c r="G106">
        <v>219.97</v>
      </c>
      <c r="H106">
        <v>226.95</v>
      </c>
      <c r="I106">
        <v>341.07</v>
      </c>
      <c r="J106">
        <v>344.46</v>
      </c>
      <c r="K106" t="s">
        <v>17</v>
      </c>
    </row>
    <row r="107" spans="1:11" x14ac:dyDescent="0.25">
      <c r="A107" t="s">
        <v>333</v>
      </c>
      <c r="B107" t="s">
        <v>91</v>
      </c>
      <c r="C107">
        <v>0</v>
      </c>
      <c r="D107">
        <v>169.14</v>
      </c>
      <c r="E107">
        <v>195.17</v>
      </c>
      <c r="F107">
        <v>207.94</v>
      </c>
      <c r="G107">
        <v>233.68</v>
      </c>
      <c r="H107">
        <v>263.38</v>
      </c>
      <c r="I107">
        <v>350</v>
      </c>
      <c r="J107">
        <v>353.49</v>
      </c>
      <c r="K107" t="s">
        <v>17</v>
      </c>
    </row>
    <row r="108" spans="1:11" x14ac:dyDescent="0.25">
      <c r="A108" t="s">
        <v>333</v>
      </c>
      <c r="B108" t="s">
        <v>100</v>
      </c>
      <c r="C108">
        <v>0</v>
      </c>
      <c r="D108">
        <v>300.41000000000003</v>
      </c>
      <c r="E108">
        <v>368.56</v>
      </c>
      <c r="F108">
        <v>385.13</v>
      </c>
      <c r="G108">
        <v>412.73</v>
      </c>
      <c r="H108">
        <v>450.02</v>
      </c>
      <c r="I108">
        <v>578.24</v>
      </c>
      <c r="J108">
        <v>596.05999999999995</v>
      </c>
      <c r="K108" t="s">
        <v>17</v>
      </c>
    </row>
    <row r="109" spans="1:11" x14ac:dyDescent="0.25">
      <c r="A109" t="s">
        <v>333</v>
      </c>
      <c r="B109" t="s">
        <v>109</v>
      </c>
      <c r="C109">
        <v>0</v>
      </c>
      <c r="D109">
        <v>196.79</v>
      </c>
      <c r="E109">
        <v>229.16</v>
      </c>
      <c r="F109">
        <v>240.36</v>
      </c>
      <c r="G109">
        <v>273.77999999999997</v>
      </c>
      <c r="H109">
        <v>289.5</v>
      </c>
      <c r="I109">
        <v>420.65</v>
      </c>
      <c r="J109">
        <v>445.81</v>
      </c>
      <c r="K109" t="s">
        <v>17</v>
      </c>
    </row>
    <row r="110" spans="1:11" x14ac:dyDescent="0.25">
      <c r="A110" t="s">
        <v>333</v>
      </c>
      <c r="B110" t="s">
        <v>118</v>
      </c>
      <c r="C110">
        <v>0</v>
      </c>
      <c r="D110">
        <v>211.45</v>
      </c>
      <c r="E110">
        <v>273.39999999999998</v>
      </c>
      <c r="F110">
        <v>280.64999999999998</v>
      </c>
      <c r="G110">
        <v>267.63</v>
      </c>
      <c r="H110">
        <v>271.58</v>
      </c>
      <c r="I110">
        <v>348.36</v>
      </c>
      <c r="J110">
        <v>378.5</v>
      </c>
      <c r="K110" t="s">
        <v>17</v>
      </c>
    </row>
    <row r="111" spans="1:11" x14ac:dyDescent="0.25">
      <c r="A111" t="s">
        <v>333</v>
      </c>
      <c r="B111" t="s">
        <v>127</v>
      </c>
      <c r="C111">
        <v>0</v>
      </c>
      <c r="D111">
        <v>250.98</v>
      </c>
      <c r="E111">
        <v>284.69</v>
      </c>
      <c r="F111">
        <v>296.64</v>
      </c>
      <c r="G111">
        <v>326.64</v>
      </c>
      <c r="H111">
        <v>334.64</v>
      </c>
      <c r="I111">
        <v>443.78</v>
      </c>
      <c r="J111">
        <v>472.3</v>
      </c>
      <c r="K111" t="s">
        <v>17</v>
      </c>
    </row>
    <row r="112" spans="1:11" x14ac:dyDescent="0.25">
      <c r="A112" t="s">
        <v>333</v>
      </c>
      <c r="B112" t="s">
        <v>136</v>
      </c>
      <c r="C112">
        <v>0</v>
      </c>
      <c r="D112">
        <v>186.32</v>
      </c>
      <c r="E112">
        <v>229.16</v>
      </c>
      <c r="F112">
        <v>238.5</v>
      </c>
      <c r="G112">
        <v>273.77999999999997</v>
      </c>
      <c r="H112">
        <v>289.5</v>
      </c>
      <c r="I112">
        <v>421.55</v>
      </c>
      <c r="J112">
        <v>449.35</v>
      </c>
      <c r="K112" t="s">
        <v>17</v>
      </c>
    </row>
    <row r="113" spans="1:11" x14ac:dyDescent="0.25">
      <c r="A113" t="s">
        <v>333</v>
      </c>
      <c r="B113" t="s">
        <v>145</v>
      </c>
      <c r="C113">
        <v>0</v>
      </c>
      <c r="D113">
        <v>339.93</v>
      </c>
      <c r="E113">
        <v>374.43</v>
      </c>
      <c r="F113">
        <v>401.37</v>
      </c>
      <c r="G113">
        <v>429.35</v>
      </c>
      <c r="H113">
        <v>464.15</v>
      </c>
      <c r="I113">
        <v>615.04999999999995</v>
      </c>
      <c r="J113">
        <v>641.07000000000005</v>
      </c>
      <c r="K113" t="s">
        <v>17</v>
      </c>
    </row>
    <row r="114" spans="1:11" x14ac:dyDescent="0.25">
      <c r="A114" t="s">
        <v>333</v>
      </c>
      <c r="B114" t="s">
        <v>154</v>
      </c>
      <c r="C114">
        <v>0</v>
      </c>
      <c r="D114">
        <v>201.65</v>
      </c>
      <c r="E114">
        <v>230.9</v>
      </c>
      <c r="F114">
        <v>246.85</v>
      </c>
      <c r="G114">
        <v>274.64</v>
      </c>
      <c r="H114">
        <v>291.82</v>
      </c>
      <c r="I114">
        <v>316.12</v>
      </c>
      <c r="J114">
        <v>331.47</v>
      </c>
      <c r="K114" t="s">
        <v>17</v>
      </c>
    </row>
    <row r="115" spans="1:11" x14ac:dyDescent="0.25">
      <c r="A115" t="s">
        <v>333</v>
      </c>
      <c r="B115" t="s">
        <v>163</v>
      </c>
      <c r="C115">
        <v>0</v>
      </c>
      <c r="D115">
        <v>492.43</v>
      </c>
      <c r="E115">
        <v>620.94000000000005</v>
      </c>
      <c r="F115">
        <v>640.79</v>
      </c>
      <c r="G115">
        <v>732.02</v>
      </c>
      <c r="H115">
        <v>742.25</v>
      </c>
      <c r="I115">
        <v>902.17</v>
      </c>
      <c r="J115">
        <v>918.34</v>
      </c>
      <c r="K115" t="s">
        <v>17</v>
      </c>
    </row>
    <row r="116" spans="1:11" x14ac:dyDescent="0.25">
      <c r="A116" t="s">
        <v>333</v>
      </c>
      <c r="B116" t="s">
        <v>172</v>
      </c>
      <c r="C116">
        <v>0</v>
      </c>
      <c r="D116">
        <v>164.8</v>
      </c>
      <c r="E116">
        <v>184.13</v>
      </c>
      <c r="F116">
        <v>195.65</v>
      </c>
      <c r="G116">
        <v>207</v>
      </c>
      <c r="H116">
        <v>220.13</v>
      </c>
      <c r="I116">
        <v>263.67</v>
      </c>
      <c r="J116">
        <v>273.95999999999998</v>
      </c>
      <c r="K116" t="s">
        <v>17</v>
      </c>
    </row>
    <row r="117" spans="1:11" x14ac:dyDescent="0.25">
      <c r="A117" t="s">
        <v>333</v>
      </c>
      <c r="B117" t="s">
        <v>181</v>
      </c>
      <c r="C117">
        <v>0</v>
      </c>
      <c r="D117">
        <v>121.92</v>
      </c>
      <c r="E117">
        <v>159.28</v>
      </c>
      <c r="F117">
        <v>161.83000000000001</v>
      </c>
      <c r="G117">
        <v>181.96</v>
      </c>
      <c r="H117">
        <v>191.03</v>
      </c>
      <c r="I117">
        <v>280.31</v>
      </c>
      <c r="J117">
        <v>294.07</v>
      </c>
      <c r="K117" t="s">
        <v>17</v>
      </c>
    </row>
    <row r="118" spans="1:11" x14ac:dyDescent="0.25">
      <c r="A118" t="s">
        <v>333</v>
      </c>
      <c r="B118" t="s">
        <v>190</v>
      </c>
      <c r="C118">
        <v>0</v>
      </c>
      <c r="D118">
        <v>115.2</v>
      </c>
      <c r="E118">
        <v>172.37</v>
      </c>
      <c r="F118">
        <v>182.4</v>
      </c>
      <c r="G118">
        <v>228</v>
      </c>
      <c r="H118">
        <v>243.33</v>
      </c>
      <c r="I118">
        <v>309.08</v>
      </c>
      <c r="J118">
        <v>325.14999999999998</v>
      </c>
      <c r="K118" t="s">
        <v>17</v>
      </c>
    </row>
    <row r="119" spans="1:11" x14ac:dyDescent="0.25">
      <c r="A119" t="s">
        <v>333</v>
      </c>
      <c r="B119" t="s">
        <v>199</v>
      </c>
      <c r="C119">
        <v>0</v>
      </c>
      <c r="D119">
        <v>151.71</v>
      </c>
      <c r="E119">
        <v>190.44</v>
      </c>
      <c r="F119">
        <v>200.7</v>
      </c>
      <c r="G119">
        <v>242.07</v>
      </c>
      <c r="H119">
        <v>260.66000000000003</v>
      </c>
      <c r="I119">
        <v>347.22</v>
      </c>
      <c r="J119">
        <v>361.24</v>
      </c>
      <c r="K119" t="s">
        <v>17</v>
      </c>
    </row>
    <row r="120" spans="1:11" x14ac:dyDescent="0.25">
      <c r="A120" t="s">
        <v>333</v>
      </c>
      <c r="B120" t="s">
        <v>208</v>
      </c>
      <c r="C120">
        <v>0</v>
      </c>
      <c r="D120">
        <v>98.1</v>
      </c>
      <c r="E120">
        <v>109.67</v>
      </c>
      <c r="F120">
        <v>129.16999999999999</v>
      </c>
      <c r="G120">
        <v>148.19999999999999</v>
      </c>
      <c r="H120">
        <v>156.01</v>
      </c>
      <c r="I120">
        <v>190.48</v>
      </c>
      <c r="J120">
        <v>198.35</v>
      </c>
      <c r="K120" t="s">
        <v>17</v>
      </c>
    </row>
    <row r="121" spans="1:11" x14ac:dyDescent="0.25">
      <c r="A121" t="s">
        <v>333</v>
      </c>
      <c r="B121" t="s">
        <v>217</v>
      </c>
      <c r="C121">
        <v>0</v>
      </c>
      <c r="D121">
        <v>142.06</v>
      </c>
      <c r="E121">
        <v>163.88</v>
      </c>
      <c r="F121">
        <v>176</v>
      </c>
      <c r="G121">
        <v>210.13</v>
      </c>
      <c r="H121">
        <v>223.04</v>
      </c>
      <c r="I121">
        <v>257.94</v>
      </c>
      <c r="J121">
        <v>274.82</v>
      </c>
      <c r="K121" t="s">
        <v>17</v>
      </c>
    </row>
    <row r="122" spans="1:11" x14ac:dyDescent="0.25">
      <c r="A122" t="s">
        <v>333</v>
      </c>
      <c r="B122" t="s">
        <v>226</v>
      </c>
      <c r="C122">
        <v>0</v>
      </c>
      <c r="D122">
        <v>187</v>
      </c>
      <c r="E122">
        <v>229.96</v>
      </c>
      <c r="F122">
        <v>240.09</v>
      </c>
      <c r="G122">
        <v>264.33999999999997</v>
      </c>
      <c r="H122">
        <v>266.8</v>
      </c>
      <c r="I122">
        <v>359.97</v>
      </c>
      <c r="J122">
        <v>380.67</v>
      </c>
      <c r="K122" t="s">
        <v>17</v>
      </c>
    </row>
    <row r="123" spans="1:11" x14ac:dyDescent="0.25">
      <c r="A123" t="s">
        <v>333</v>
      </c>
      <c r="B123" t="s">
        <v>235</v>
      </c>
      <c r="C123">
        <v>0</v>
      </c>
      <c r="D123">
        <v>266.94</v>
      </c>
      <c r="E123">
        <v>308.51</v>
      </c>
      <c r="F123">
        <v>333.82</v>
      </c>
      <c r="G123">
        <v>387.38</v>
      </c>
      <c r="H123">
        <v>396.25</v>
      </c>
      <c r="I123">
        <v>501.62</v>
      </c>
      <c r="J123">
        <v>515.64</v>
      </c>
      <c r="K123" t="s">
        <v>17</v>
      </c>
    </row>
    <row r="124" spans="1:11" x14ac:dyDescent="0.25">
      <c r="A124" t="s">
        <v>333</v>
      </c>
      <c r="B124" t="s">
        <v>244</v>
      </c>
      <c r="C124">
        <v>0</v>
      </c>
      <c r="D124">
        <v>109.3</v>
      </c>
      <c r="E124">
        <v>129.96</v>
      </c>
      <c r="F124">
        <v>149.66</v>
      </c>
      <c r="G124">
        <v>162.97999999999999</v>
      </c>
      <c r="H124">
        <v>186.99</v>
      </c>
      <c r="I124">
        <v>257.98</v>
      </c>
      <c r="J124">
        <v>271.27999999999997</v>
      </c>
      <c r="K124" t="s">
        <v>17</v>
      </c>
    </row>
    <row r="125" spans="1:11" x14ac:dyDescent="0.25">
      <c r="A125" t="s">
        <v>333</v>
      </c>
      <c r="B125" t="s">
        <v>253</v>
      </c>
      <c r="C125">
        <v>0</v>
      </c>
      <c r="D125">
        <v>109.33</v>
      </c>
      <c r="E125">
        <v>120</v>
      </c>
      <c r="F125">
        <v>126.36</v>
      </c>
      <c r="G125">
        <v>153.06</v>
      </c>
      <c r="H125">
        <v>168.95</v>
      </c>
      <c r="I125">
        <v>250.98</v>
      </c>
      <c r="J125">
        <v>262.38</v>
      </c>
      <c r="K125" t="s">
        <v>17</v>
      </c>
    </row>
    <row r="126" spans="1:11" x14ac:dyDescent="0.25">
      <c r="A126" t="s">
        <v>333</v>
      </c>
      <c r="B126" t="s">
        <v>37</v>
      </c>
      <c r="C126">
        <v>0</v>
      </c>
      <c r="D126">
        <v>114.58</v>
      </c>
      <c r="E126">
        <v>128.32</v>
      </c>
      <c r="F126">
        <v>155.97999999999999</v>
      </c>
      <c r="G126">
        <v>171.78</v>
      </c>
      <c r="H126">
        <v>181.29</v>
      </c>
      <c r="I126">
        <v>235.07</v>
      </c>
      <c r="J126">
        <v>238.38</v>
      </c>
      <c r="K126" t="s">
        <v>17</v>
      </c>
    </row>
    <row r="127" spans="1:11" x14ac:dyDescent="0.25">
      <c r="A127" t="s">
        <v>333</v>
      </c>
      <c r="B127" t="s">
        <v>270</v>
      </c>
      <c r="C127">
        <v>0</v>
      </c>
      <c r="D127">
        <v>132.94999999999999</v>
      </c>
      <c r="E127">
        <v>148.96</v>
      </c>
      <c r="F127">
        <v>155.38</v>
      </c>
      <c r="G127">
        <v>207.5</v>
      </c>
      <c r="H127">
        <v>218.25</v>
      </c>
      <c r="I127">
        <v>247.47</v>
      </c>
      <c r="J127">
        <v>260.37</v>
      </c>
      <c r="K127" t="s">
        <v>17</v>
      </c>
    </row>
    <row r="128" spans="1:11" x14ac:dyDescent="0.25">
      <c r="A128" t="s">
        <v>333</v>
      </c>
      <c r="B128" t="s">
        <v>279</v>
      </c>
      <c r="C128">
        <v>0</v>
      </c>
      <c r="D128">
        <v>148.19999999999999</v>
      </c>
      <c r="E128">
        <v>178.07</v>
      </c>
      <c r="F128">
        <v>207.17</v>
      </c>
      <c r="G128">
        <v>230.64</v>
      </c>
      <c r="H128">
        <v>255.32</v>
      </c>
      <c r="I128">
        <v>297.89999999999998</v>
      </c>
      <c r="J128">
        <v>314.25</v>
      </c>
      <c r="K128" t="s">
        <v>17</v>
      </c>
    </row>
    <row r="129" spans="1:11" x14ac:dyDescent="0.25">
      <c r="A129" t="s">
        <v>333</v>
      </c>
      <c r="B129" t="s">
        <v>288</v>
      </c>
      <c r="C129">
        <v>0</v>
      </c>
      <c r="D129">
        <v>176.56</v>
      </c>
      <c r="E129">
        <v>218.18</v>
      </c>
      <c r="F129">
        <v>239.07</v>
      </c>
      <c r="G129">
        <v>253.88</v>
      </c>
      <c r="H129">
        <v>290.99</v>
      </c>
      <c r="I129">
        <v>348.37</v>
      </c>
      <c r="J129">
        <v>360.08</v>
      </c>
      <c r="K129" t="s">
        <v>17</v>
      </c>
    </row>
    <row r="130" spans="1:11" x14ac:dyDescent="0.25">
      <c r="A130" t="s">
        <v>333</v>
      </c>
      <c r="B130" t="s">
        <v>297</v>
      </c>
      <c r="C130">
        <v>0</v>
      </c>
      <c r="D130">
        <v>157.52000000000001</v>
      </c>
      <c r="E130">
        <v>204.37</v>
      </c>
      <c r="F130">
        <v>212.39</v>
      </c>
      <c r="G130">
        <v>225.71</v>
      </c>
      <c r="H130">
        <v>229</v>
      </c>
      <c r="I130">
        <v>343.39</v>
      </c>
      <c r="J130">
        <v>368.12</v>
      </c>
      <c r="K130" t="s">
        <v>17</v>
      </c>
    </row>
    <row r="131" spans="1:11" x14ac:dyDescent="0.25">
      <c r="A131" t="s">
        <v>333</v>
      </c>
      <c r="B131" t="s">
        <v>306</v>
      </c>
      <c r="C131">
        <v>0</v>
      </c>
      <c r="D131">
        <v>104.03</v>
      </c>
      <c r="E131">
        <v>175.2</v>
      </c>
      <c r="F131">
        <v>182.88</v>
      </c>
      <c r="G131">
        <v>225.5</v>
      </c>
      <c r="H131">
        <v>229.17</v>
      </c>
      <c r="I131">
        <v>332.65</v>
      </c>
      <c r="J131">
        <v>344.14</v>
      </c>
      <c r="K131" t="s">
        <v>17</v>
      </c>
    </row>
    <row r="132" spans="1:11" x14ac:dyDescent="0.25">
      <c r="A132" t="s">
        <v>333</v>
      </c>
      <c r="B132" t="s">
        <v>315</v>
      </c>
      <c r="C132">
        <v>0</v>
      </c>
      <c r="D132">
        <v>209.1</v>
      </c>
      <c r="E132">
        <v>260.32</v>
      </c>
      <c r="F132">
        <v>286.77</v>
      </c>
      <c r="G132">
        <v>310.2</v>
      </c>
      <c r="H132">
        <v>315.48</v>
      </c>
      <c r="I132">
        <v>448.23</v>
      </c>
      <c r="J132">
        <v>469.73</v>
      </c>
      <c r="K132" t="s">
        <v>17</v>
      </c>
    </row>
    <row r="133" spans="1:11" x14ac:dyDescent="0.25">
      <c r="A133" t="s">
        <v>333</v>
      </c>
      <c r="B133" t="s">
        <v>324</v>
      </c>
      <c r="C133">
        <v>0</v>
      </c>
      <c r="D133">
        <v>364.52</v>
      </c>
      <c r="E133">
        <v>389.82</v>
      </c>
      <c r="F133">
        <v>423.82</v>
      </c>
      <c r="G133">
        <v>456.14</v>
      </c>
      <c r="H133">
        <v>492.6</v>
      </c>
      <c r="I133">
        <v>645.59</v>
      </c>
      <c r="J133">
        <v>692.25</v>
      </c>
      <c r="K133" t="s">
        <v>17</v>
      </c>
    </row>
    <row r="134" spans="1:11" x14ac:dyDescent="0.25">
      <c r="A134" t="s">
        <v>333</v>
      </c>
      <c r="B134" t="s">
        <v>333</v>
      </c>
      <c r="C134">
        <v>0</v>
      </c>
      <c r="D134">
        <v>81.180000000000007</v>
      </c>
      <c r="E134">
        <v>97.16</v>
      </c>
      <c r="F134">
        <v>97.16</v>
      </c>
      <c r="G134">
        <v>142.59</v>
      </c>
      <c r="H134">
        <v>152.82</v>
      </c>
      <c r="I134">
        <v>194.58</v>
      </c>
      <c r="J134">
        <v>180.53</v>
      </c>
      <c r="K134" t="s">
        <v>17</v>
      </c>
    </row>
    <row r="135" spans="1:11" x14ac:dyDescent="0.25">
      <c r="A135" t="s">
        <v>333</v>
      </c>
      <c r="B135" t="s">
        <v>342</v>
      </c>
      <c r="C135">
        <v>0</v>
      </c>
      <c r="D135">
        <v>92.48</v>
      </c>
      <c r="E135">
        <v>108.35</v>
      </c>
      <c r="F135">
        <v>118.79</v>
      </c>
      <c r="G135">
        <v>160.01</v>
      </c>
      <c r="H135">
        <v>173.79</v>
      </c>
      <c r="I135">
        <v>200.89</v>
      </c>
      <c r="J135">
        <v>211.66</v>
      </c>
      <c r="K135" t="s">
        <v>17</v>
      </c>
    </row>
    <row r="136" spans="1:11" x14ac:dyDescent="0.25">
      <c r="A136" t="s">
        <v>333</v>
      </c>
      <c r="B136" t="s">
        <v>351</v>
      </c>
      <c r="C136">
        <v>0</v>
      </c>
      <c r="D136">
        <v>176.88</v>
      </c>
      <c r="E136">
        <v>194.31</v>
      </c>
      <c r="F136">
        <v>204.87</v>
      </c>
      <c r="G136">
        <v>229.09</v>
      </c>
      <c r="H136">
        <v>265.33999999999997</v>
      </c>
      <c r="I136">
        <v>365.96</v>
      </c>
      <c r="J136">
        <v>387.92</v>
      </c>
      <c r="K136" t="s">
        <v>17</v>
      </c>
    </row>
    <row r="137" spans="1:11" x14ac:dyDescent="0.25">
      <c r="A137" t="s">
        <v>333</v>
      </c>
      <c r="B137" t="s">
        <v>360</v>
      </c>
      <c r="C137">
        <v>0</v>
      </c>
      <c r="D137">
        <v>284.25</v>
      </c>
      <c r="E137">
        <v>328.49</v>
      </c>
      <c r="F137">
        <v>341.1</v>
      </c>
      <c r="G137">
        <v>385.21</v>
      </c>
      <c r="H137">
        <v>409.09</v>
      </c>
      <c r="I137">
        <v>540.36</v>
      </c>
      <c r="J137">
        <v>570.51</v>
      </c>
      <c r="K137" t="s">
        <v>17</v>
      </c>
    </row>
    <row r="138" spans="1:11" x14ac:dyDescent="0.25">
      <c r="A138" t="s">
        <v>333</v>
      </c>
      <c r="B138" t="s">
        <v>369</v>
      </c>
      <c r="C138">
        <v>0</v>
      </c>
      <c r="D138">
        <v>313.10000000000002</v>
      </c>
      <c r="E138">
        <v>351.91</v>
      </c>
      <c r="F138">
        <v>380.59</v>
      </c>
      <c r="G138">
        <v>429.97</v>
      </c>
      <c r="H138">
        <v>441.24</v>
      </c>
      <c r="I138">
        <v>641.85</v>
      </c>
      <c r="J138">
        <v>658.21</v>
      </c>
      <c r="K138" t="s">
        <v>17</v>
      </c>
    </row>
    <row r="139" spans="1:11" x14ac:dyDescent="0.25">
      <c r="A139" t="s">
        <v>333</v>
      </c>
      <c r="B139" t="s">
        <v>378</v>
      </c>
      <c r="C139">
        <v>0</v>
      </c>
      <c r="D139">
        <v>169.22</v>
      </c>
      <c r="E139">
        <v>246.59</v>
      </c>
      <c r="F139">
        <v>254.7</v>
      </c>
      <c r="G139">
        <v>287.48</v>
      </c>
      <c r="H139">
        <v>289.77</v>
      </c>
      <c r="I139">
        <v>426.95</v>
      </c>
      <c r="J139">
        <v>427.98</v>
      </c>
      <c r="K139" t="s">
        <v>17</v>
      </c>
    </row>
    <row r="140" spans="1:11" x14ac:dyDescent="0.25">
      <c r="A140" t="s">
        <v>333</v>
      </c>
      <c r="B140" t="s">
        <v>387</v>
      </c>
      <c r="C140">
        <v>0</v>
      </c>
      <c r="D140">
        <v>131.19</v>
      </c>
      <c r="E140">
        <v>152.18</v>
      </c>
      <c r="F140">
        <v>147.6</v>
      </c>
      <c r="G140">
        <v>163.52000000000001</v>
      </c>
      <c r="H140">
        <v>174.65</v>
      </c>
      <c r="I140">
        <v>228.49</v>
      </c>
      <c r="J140">
        <v>239.49</v>
      </c>
      <c r="K140" t="s">
        <v>17</v>
      </c>
    </row>
    <row r="141" spans="1:11" x14ac:dyDescent="0.25">
      <c r="A141" t="s">
        <v>333</v>
      </c>
      <c r="B141" t="s">
        <v>396</v>
      </c>
      <c r="C141">
        <v>0</v>
      </c>
      <c r="D141">
        <v>160.34</v>
      </c>
      <c r="E141">
        <v>186.78</v>
      </c>
      <c r="F141">
        <v>188.2</v>
      </c>
      <c r="G141">
        <v>209.58</v>
      </c>
      <c r="H141">
        <v>213.87</v>
      </c>
      <c r="I141">
        <v>291.39999999999998</v>
      </c>
      <c r="J141">
        <v>307.04000000000002</v>
      </c>
      <c r="K141" t="s">
        <v>17</v>
      </c>
    </row>
    <row r="142" spans="1:11" x14ac:dyDescent="0.25">
      <c r="A142" t="s">
        <v>333</v>
      </c>
      <c r="B142" t="s">
        <v>405</v>
      </c>
      <c r="C142">
        <v>0</v>
      </c>
      <c r="D142">
        <v>109.5</v>
      </c>
      <c r="E142">
        <v>125.9</v>
      </c>
      <c r="F142">
        <v>132.19</v>
      </c>
      <c r="G142">
        <v>153.06</v>
      </c>
      <c r="H142">
        <v>163.25</v>
      </c>
      <c r="I142">
        <v>218.99</v>
      </c>
      <c r="J142">
        <v>228.57</v>
      </c>
      <c r="K142" t="s">
        <v>17</v>
      </c>
    </row>
    <row r="143" spans="1:11" x14ac:dyDescent="0.25">
      <c r="A143" t="s">
        <v>333</v>
      </c>
      <c r="B143" t="s">
        <v>414</v>
      </c>
      <c r="C143">
        <v>0</v>
      </c>
      <c r="D143">
        <v>120.63</v>
      </c>
      <c r="E143">
        <v>135.24</v>
      </c>
      <c r="F143">
        <v>150.12</v>
      </c>
      <c r="G143">
        <v>171.36</v>
      </c>
      <c r="H143">
        <v>179.09</v>
      </c>
      <c r="I143">
        <v>245.1</v>
      </c>
      <c r="J143">
        <v>254.45</v>
      </c>
      <c r="K143" t="s">
        <v>17</v>
      </c>
    </row>
    <row r="144" spans="1:11" x14ac:dyDescent="0.25">
      <c r="A144" t="s">
        <v>333</v>
      </c>
      <c r="B144" t="s">
        <v>423</v>
      </c>
      <c r="C144">
        <v>0</v>
      </c>
      <c r="D144">
        <v>176.88</v>
      </c>
      <c r="E144">
        <v>201.52</v>
      </c>
      <c r="F144">
        <v>225.58</v>
      </c>
      <c r="G144">
        <v>261.81</v>
      </c>
      <c r="H144">
        <v>275.99</v>
      </c>
      <c r="I144">
        <v>383.88</v>
      </c>
      <c r="J144">
        <v>397.79</v>
      </c>
      <c r="K144" t="s">
        <v>17</v>
      </c>
    </row>
    <row r="145" spans="1:11" x14ac:dyDescent="0.25">
      <c r="A145" t="s">
        <v>333</v>
      </c>
      <c r="B145" t="s">
        <v>432</v>
      </c>
      <c r="C145">
        <v>0</v>
      </c>
      <c r="D145">
        <v>109.5</v>
      </c>
      <c r="E145">
        <v>126.77</v>
      </c>
      <c r="F145">
        <v>138.16999999999999</v>
      </c>
      <c r="G145">
        <v>161.44999999999999</v>
      </c>
      <c r="H145">
        <v>181.43</v>
      </c>
      <c r="I145">
        <v>214.08</v>
      </c>
      <c r="J145">
        <v>220.47</v>
      </c>
      <c r="K145" t="s">
        <v>17</v>
      </c>
    </row>
    <row r="146" spans="1:11" x14ac:dyDescent="0.25">
      <c r="A146" t="s">
        <v>333</v>
      </c>
      <c r="B146" t="s">
        <v>441</v>
      </c>
      <c r="C146">
        <v>0</v>
      </c>
      <c r="D146">
        <v>124.47</v>
      </c>
      <c r="E146">
        <v>154.16999999999999</v>
      </c>
      <c r="F146">
        <v>164.67</v>
      </c>
      <c r="G146">
        <v>182.19</v>
      </c>
      <c r="H146">
        <v>202.49</v>
      </c>
      <c r="I146">
        <v>239.17</v>
      </c>
      <c r="J146">
        <v>248.53</v>
      </c>
      <c r="K146" t="s">
        <v>17</v>
      </c>
    </row>
    <row r="147" spans="1:11" x14ac:dyDescent="0.25">
      <c r="A147" t="s">
        <v>333</v>
      </c>
      <c r="B147" t="s">
        <v>450</v>
      </c>
      <c r="C147">
        <v>0</v>
      </c>
      <c r="D147">
        <v>180.33</v>
      </c>
      <c r="E147">
        <v>235.29</v>
      </c>
      <c r="F147">
        <v>342.98</v>
      </c>
      <c r="G147">
        <v>367.99</v>
      </c>
      <c r="H147">
        <v>401.87</v>
      </c>
      <c r="I147">
        <v>495.7</v>
      </c>
      <c r="J147">
        <v>517.15</v>
      </c>
      <c r="K147" t="s">
        <v>17</v>
      </c>
    </row>
    <row r="148" spans="1:11" x14ac:dyDescent="0.25">
      <c r="A148" t="s">
        <v>333</v>
      </c>
      <c r="B148" t="s">
        <v>459</v>
      </c>
      <c r="C148">
        <v>0</v>
      </c>
      <c r="D148">
        <v>197.09</v>
      </c>
      <c r="E148">
        <v>232.33</v>
      </c>
      <c r="F148">
        <v>249.73</v>
      </c>
      <c r="G148">
        <v>286.89</v>
      </c>
      <c r="H148">
        <v>293.7</v>
      </c>
      <c r="I148">
        <v>418.97</v>
      </c>
      <c r="J148">
        <v>427.98</v>
      </c>
      <c r="K148" t="s">
        <v>17</v>
      </c>
    </row>
    <row r="149" spans="1:11" x14ac:dyDescent="0.25">
      <c r="A149" t="s">
        <v>333</v>
      </c>
      <c r="B149" t="s">
        <v>468</v>
      </c>
      <c r="C149">
        <v>0</v>
      </c>
      <c r="D149">
        <v>191.29</v>
      </c>
      <c r="E149">
        <v>227.18</v>
      </c>
      <c r="F149">
        <v>245.31</v>
      </c>
      <c r="G149">
        <v>266.10000000000002</v>
      </c>
      <c r="H149">
        <v>300.18</v>
      </c>
      <c r="I149">
        <v>431.65</v>
      </c>
      <c r="J149">
        <v>449.59</v>
      </c>
      <c r="K149" t="s">
        <v>17</v>
      </c>
    </row>
    <row r="150" spans="1:11" x14ac:dyDescent="0.25">
      <c r="A150" t="s">
        <v>333</v>
      </c>
      <c r="B150" t="s">
        <v>477</v>
      </c>
      <c r="C150">
        <v>0</v>
      </c>
      <c r="D150">
        <v>142.80000000000001</v>
      </c>
      <c r="E150">
        <v>197.9</v>
      </c>
      <c r="F150">
        <v>209.3</v>
      </c>
      <c r="G150">
        <v>233.68</v>
      </c>
      <c r="H150">
        <v>263.38</v>
      </c>
      <c r="I150">
        <v>346.72</v>
      </c>
      <c r="J150">
        <v>376.61</v>
      </c>
      <c r="K150" t="s">
        <v>17</v>
      </c>
    </row>
    <row r="151" spans="1:11" x14ac:dyDescent="0.25">
      <c r="A151" t="s">
        <v>333</v>
      </c>
      <c r="B151" t="s">
        <v>486</v>
      </c>
      <c r="C151">
        <v>0</v>
      </c>
      <c r="D151">
        <v>142.59</v>
      </c>
      <c r="E151">
        <v>173.67</v>
      </c>
      <c r="F151">
        <v>185.03</v>
      </c>
      <c r="G151">
        <v>223.82</v>
      </c>
      <c r="H151">
        <v>232.71</v>
      </c>
      <c r="I151">
        <v>327.98</v>
      </c>
      <c r="J151">
        <v>337.42</v>
      </c>
      <c r="K151" t="s">
        <v>17</v>
      </c>
    </row>
    <row r="152" spans="1:11" x14ac:dyDescent="0.25">
      <c r="A152" t="s">
        <v>333</v>
      </c>
      <c r="B152" t="s">
        <v>495</v>
      </c>
      <c r="C152">
        <v>0</v>
      </c>
      <c r="D152">
        <v>177.16</v>
      </c>
      <c r="E152">
        <v>192.89</v>
      </c>
      <c r="F152">
        <v>205.62</v>
      </c>
      <c r="G152">
        <v>247.2</v>
      </c>
      <c r="H152">
        <v>252.56</v>
      </c>
      <c r="I152">
        <v>359.14</v>
      </c>
      <c r="J152">
        <v>385.31</v>
      </c>
      <c r="K152" t="s">
        <v>17</v>
      </c>
    </row>
    <row r="153" spans="1:11" x14ac:dyDescent="0.25">
      <c r="A153" t="s">
        <v>333</v>
      </c>
      <c r="B153" t="s">
        <v>504</v>
      </c>
      <c r="C153">
        <v>0</v>
      </c>
      <c r="D153">
        <v>147.36000000000001</v>
      </c>
      <c r="E153">
        <v>213.29</v>
      </c>
      <c r="F153">
        <v>222.3</v>
      </c>
      <c r="G153">
        <v>259.62</v>
      </c>
      <c r="H153">
        <v>263.72000000000003</v>
      </c>
      <c r="I153">
        <v>376.18</v>
      </c>
      <c r="J153">
        <v>384.59</v>
      </c>
      <c r="K153" t="s">
        <v>17</v>
      </c>
    </row>
    <row r="154" spans="1:11" x14ac:dyDescent="0.25">
      <c r="A154" t="s">
        <v>333</v>
      </c>
      <c r="B154" t="s">
        <v>513</v>
      </c>
      <c r="C154">
        <v>0</v>
      </c>
      <c r="D154">
        <v>229.12</v>
      </c>
      <c r="E154">
        <v>267.38</v>
      </c>
      <c r="F154">
        <v>293.83999999999997</v>
      </c>
      <c r="G154">
        <v>340.31</v>
      </c>
      <c r="H154">
        <v>359.21</v>
      </c>
      <c r="I154">
        <v>457.41</v>
      </c>
      <c r="J154">
        <v>491.23</v>
      </c>
      <c r="K154" t="s">
        <v>17</v>
      </c>
    </row>
    <row r="155" spans="1:11" x14ac:dyDescent="0.25">
      <c r="A155" t="s">
        <v>333</v>
      </c>
      <c r="B155" t="s">
        <v>522</v>
      </c>
      <c r="C155">
        <v>0</v>
      </c>
      <c r="D155">
        <v>191.39</v>
      </c>
      <c r="E155">
        <v>226.05</v>
      </c>
      <c r="F155">
        <v>258.27999999999997</v>
      </c>
      <c r="G155">
        <v>285.39</v>
      </c>
      <c r="H155">
        <v>298.43</v>
      </c>
      <c r="I155">
        <v>348.12</v>
      </c>
      <c r="J155">
        <v>388.35</v>
      </c>
      <c r="K155" t="s">
        <v>17</v>
      </c>
    </row>
    <row r="156" spans="1:11" x14ac:dyDescent="0.25">
      <c r="A156" t="s">
        <v>333</v>
      </c>
      <c r="B156" t="s">
        <v>531</v>
      </c>
      <c r="C156">
        <v>0</v>
      </c>
      <c r="D156">
        <v>117.08</v>
      </c>
      <c r="E156">
        <v>135.9</v>
      </c>
      <c r="F156">
        <v>138.72</v>
      </c>
      <c r="G156">
        <v>174.92</v>
      </c>
      <c r="H156">
        <v>189.41</v>
      </c>
      <c r="I156">
        <v>262.38</v>
      </c>
      <c r="J156">
        <v>276.06</v>
      </c>
      <c r="K156" t="s">
        <v>17</v>
      </c>
    </row>
    <row r="157" spans="1:11" x14ac:dyDescent="0.25">
      <c r="A157" t="s">
        <v>333</v>
      </c>
      <c r="B157" t="s">
        <v>540</v>
      </c>
      <c r="C157">
        <v>0</v>
      </c>
      <c r="D157">
        <v>136.07</v>
      </c>
      <c r="E157">
        <v>158.06</v>
      </c>
      <c r="F157">
        <v>169.46</v>
      </c>
      <c r="G157">
        <v>196.35</v>
      </c>
      <c r="H157">
        <v>210.96</v>
      </c>
      <c r="I157">
        <v>299.74</v>
      </c>
      <c r="J157">
        <v>317.38</v>
      </c>
      <c r="K157" t="s">
        <v>17</v>
      </c>
    </row>
    <row r="158" spans="1:11" x14ac:dyDescent="0.25">
      <c r="A158" t="s">
        <v>333</v>
      </c>
      <c r="B158" t="s">
        <v>549</v>
      </c>
      <c r="C158">
        <v>0</v>
      </c>
      <c r="D158">
        <v>131.19</v>
      </c>
      <c r="E158">
        <v>142.80000000000001</v>
      </c>
      <c r="F158">
        <v>150.12</v>
      </c>
      <c r="G158">
        <v>174.92</v>
      </c>
      <c r="H158">
        <v>186.05</v>
      </c>
      <c r="I158">
        <v>262.38</v>
      </c>
      <c r="J158">
        <v>278.55</v>
      </c>
      <c r="K158" t="s">
        <v>17</v>
      </c>
    </row>
    <row r="159" spans="1:11" x14ac:dyDescent="0.25">
      <c r="A159" t="s">
        <v>333</v>
      </c>
      <c r="B159" t="s">
        <v>558</v>
      </c>
      <c r="C159">
        <v>0</v>
      </c>
      <c r="D159">
        <v>155.52000000000001</v>
      </c>
      <c r="E159">
        <v>175.7</v>
      </c>
      <c r="F159">
        <v>189.24</v>
      </c>
      <c r="G159">
        <v>218.41</v>
      </c>
      <c r="H159">
        <v>245.96</v>
      </c>
      <c r="I159">
        <v>329.87</v>
      </c>
      <c r="J159">
        <v>349.77</v>
      </c>
      <c r="K159" t="s">
        <v>17</v>
      </c>
    </row>
    <row r="160" spans="1:11" x14ac:dyDescent="0.25">
      <c r="A160" t="s">
        <v>333</v>
      </c>
      <c r="B160" t="s">
        <v>567</v>
      </c>
      <c r="C160">
        <v>0</v>
      </c>
      <c r="D160">
        <v>161.96</v>
      </c>
      <c r="E160">
        <v>181.26</v>
      </c>
      <c r="F160">
        <v>208.04</v>
      </c>
      <c r="G160">
        <v>240.63</v>
      </c>
      <c r="H160">
        <v>240.11</v>
      </c>
      <c r="I160">
        <v>320.23</v>
      </c>
      <c r="J160">
        <v>336.87</v>
      </c>
      <c r="K160" t="s">
        <v>17</v>
      </c>
    </row>
    <row r="161" spans="1:11" x14ac:dyDescent="0.25">
      <c r="A161" t="s">
        <v>333</v>
      </c>
      <c r="B161" t="s">
        <v>585</v>
      </c>
      <c r="C161">
        <v>0</v>
      </c>
      <c r="D161">
        <v>273.60000000000002</v>
      </c>
      <c r="E161">
        <v>302.10000000000002</v>
      </c>
      <c r="F161">
        <v>313.5</v>
      </c>
      <c r="G161">
        <v>330.6</v>
      </c>
      <c r="H161">
        <v>347.7</v>
      </c>
      <c r="I161">
        <v>401.74</v>
      </c>
      <c r="J161">
        <v>413.31</v>
      </c>
      <c r="K161" t="s">
        <v>17</v>
      </c>
    </row>
    <row r="162" spans="1:11" x14ac:dyDescent="0.25">
      <c r="A162" t="s">
        <v>333</v>
      </c>
      <c r="B162" t="s">
        <v>585</v>
      </c>
      <c r="C162">
        <v>0</v>
      </c>
      <c r="D162">
        <v>199.76</v>
      </c>
      <c r="E162">
        <v>228.99</v>
      </c>
      <c r="F162">
        <v>250.82</v>
      </c>
      <c r="G162">
        <v>307.04000000000002</v>
      </c>
      <c r="H162">
        <v>308.69</v>
      </c>
      <c r="I162">
        <v>378.77</v>
      </c>
      <c r="J162">
        <v>391.86</v>
      </c>
      <c r="K162" t="s">
        <v>17</v>
      </c>
    </row>
    <row r="163" spans="1:11" x14ac:dyDescent="0.25">
      <c r="A163" t="s">
        <v>333</v>
      </c>
      <c r="B163" t="s">
        <v>594</v>
      </c>
      <c r="C163">
        <v>0</v>
      </c>
      <c r="D163">
        <v>296.79000000000002</v>
      </c>
      <c r="E163">
        <v>326.52</v>
      </c>
      <c r="F163">
        <v>527.89</v>
      </c>
      <c r="G163">
        <v>565.82000000000005</v>
      </c>
      <c r="H163">
        <v>637.83000000000004</v>
      </c>
      <c r="I163">
        <v>819.04</v>
      </c>
      <c r="J163">
        <v>845.23</v>
      </c>
      <c r="K163" t="s">
        <v>17</v>
      </c>
    </row>
    <row r="164" spans="1:11" x14ac:dyDescent="0.25">
      <c r="A164" t="s">
        <v>333</v>
      </c>
      <c r="B164" t="s">
        <v>603</v>
      </c>
      <c r="C164">
        <v>0</v>
      </c>
      <c r="D164">
        <v>148.75</v>
      </c>
      <c r="E164">
        <v>185.5</v>
      </c>
      <c r="F164">
        <v>193.8</v>
      </c>
      <c r="G164">
        <v>215.3</v>
      </c>
      <c r="H164">
        <v>226.09</v>
      </c>
      <c r="I164">
        <v>311.47000000000003</v>
      </c>
      <c r="J164">
        <v>336.39</v>
      </c>
      <c r="K164" t="s">
        <v>17</v>
      </c>
    </row>
    <row r="165" spans="1:11" x14ac:dyDescent="0.25">
      <c r="A165" t="s">
        <v>333</v>
      </c>
      <c r="B165" t="s">
        <v>612</v>
      </c>
      <c r="C165">
        <v>0</v>
      </c>
      <c r="D165">
        <v>165.56</v>
      </c>
      <c r="E165">
        <v>181.53</v>
      </c>
      <c r="F165">
        <v>208.7</v>
      </c>
      <c r="G165">
        <v>239.61</v>
      </c>
      <c r="H165">
        <v>236.24</v>
      </c>
      <c r="I165">
        <v>320.23</v>
      </c>
      <c r="J165">
        <v>336.87</v>
      </c>
      <c r="K165" t="s">
        <v>17</v>
      </c>
    </row>
    <row r="166" spans="1:11" x14ac:dyDescent="0.25">
      <c r="A166" t="s">
        <v>333</v>
      </c>
      <c r="B166" t="s">
        <v>621</v>
      </c>
      <c r="C166">
        <v>0</v>
      </c>
      <c r="D166">
        <v>195.03</v>
      </c>
      <c r="E166">
        <v>235.29</v>
      </c>
      <c r="F166">
        <v>256.11</v>
      </c>
      <c r="G166">
        <v>323.12</v>
      </c>
      <c r="H166">
        <v>334.64</v>
      </c>
      <c r="I166">
        <v>387.71</v>
      </c>
      <c r="J166">
        <v>402.85</v>
      </c>
      <c r="K166" t="s">
        <v>17</v>
      </c>
    </row>
    <row r="167" spans="1:11" x14ac:dyDescent="0.25">
      <c r="A167" t="s">
        <v>333</v>
      </c>
      <c r="B167" t="s">
        <v>630</v>
      </c>
      <c r="C167">
        <v>0</v>
      </c>
      <c r="D167">
        <v>156.25</v>
      </c>
      <c r="E167">
        <v>192.07</v>
      </c>
      <c r="F167">
        <v>205.2</v>
      </c>
      <c r="G167">
        <v>225.5</v>
      </c>
      <c r="H167">
        <v>230.2</v>
      </c>
      <c r="I167">
        <v>319.10000000000002</v>
      </c>
      <c r="J167">
        <v>319.10000000000002</v>
      </c>
      <c r="K167" t="s">
        <v>17</v>
      </c>
    </row>
    <row r="168" spans="1:11" x14ac:dyDescent="0.25">
      <c r="A168" t="s">
        <v>333</v>
      </c>
      <c r="B168" t="s">
        <v>639</v>
      </c>
      <c r="C168">
        <v>0</v>
      </c>
      <c r="D168">
        <v>215.55</v>
      </c>
      <c r="E168">
        <v>235.29</v>
      </c>
      <c r="F168">
        <v>359.04</v>
      </c>
      <c r="G168">
        <v>393.28</v>
      </c>
      <c r="H168">
        <v>400.24</v>
      </c>
      <c r="I168">
        <v>458.15</v>
      </c>
      <c r="J168">
        <v>503.11</v>
      </c>
      <c r="K168" t="s">
        <v>17</v>
      </c>
    </row>
    <row r="169" spans="1:11" x14ac:dyDescent="0.25">
      <c r="A169" t="s">
        <v>333</v>
      </c>
      <c r="B169" t="s">
        <v>648</v>
      </c>
      <c r="C169">
        <v>0</v>
      </c>
      <c r="D169">
        <v>174.92</v>
      </c>
      <c r="E169">
        <v>251.39</v>
      </c>
      <c r="F169">
        <v>260.39999999999998</v>
      </c>
      <c r="G169">
        <v>294.33999999999997</v>
      </c>
      <c r="H169">
        <v>306.19</v>
      </c>
      <c r="I169">
        <v>439.48</v>
      </c>
      <c r="J169">
        <v>452.42</v>
      </c>
      <c r="K169" t="s">
        <v>17</v>
      </c>
    </row>
    <row r="170" spans="1:11" x14ac:dyDescent="0.25">
      <c r="A170" t="s">
        <v>333</v>
      </c>
      <c r="B170" t="s">
        <v>657</v>
      </c>
      <c r="C170">
        <v>0</v>
      </c>
      <c r="D170">
        <v>184.66</v>
      </c>
      <c r="E170">
        <v>223.5</v>
      </c>
      <c r="F170">
        <v>228.96</v>
      </c>
      <c r="G170">
        <v>315.8</v>
      </c>
      <c r="H170">
        <v>331.4</v>
      </c>
      <c r="I170">
        <v>460.8</v>
      </c>
      <c r="J170">
        <v>473.82</v>
      </c>
      <c r="K170" t="s">
        <v>17</v>
      </c>
    </row>
    <row r="171" spans="1:11" x14ac:dyDescent="0.25">
      <c r="A171" t="s">
        <v>333</v>
      </c>
      <c r="B171" t="s">
        <v>666</v>
      </c>
      <c r="C171">
        <v>0</v>
      </c>
      <c r="D171">
        <v>275.95</v>
      </c>
      <c r="E171">
        <v>320.69</v>
      </c>
      <c r="F171">
        <v>346.8</v>
      </c>
      <c r="G171">
        <v>382.36</v>
      </c>
      <c r="H171">
        <v>434.4</v>
      </c>
      <c r="I171">
        <v>524.97</v>
      </c>
      <c r="J171">
        <v>578.66</v>
      </c>
      <c r="K171" t="s">
        <v>17</v>
      </c>
    </row>
    <row r="172" spans="1:11" x14ac:dyDescent="0.25">
      <c r="A172" t="s">
        <v>333</v>
      </c>
      <c r="B172" t="s">
        <v>675</v>
      </c>
      <c r="C172">
        <v>0</v>
      </c>
      <c r="D172">
        <v>153.13999999999999</v>
      </c>
      <c r="E172">
        <v>197.4</v>
      </c>
      <c r="F172">
        <v>207.94</v>
      </c>
      <c r="G172">
        <v>231.04</v>
      </c>
      <c r="H172">
        <v>233.45</v>
      </c>
      <c r="I172">
        <v>296.45999999999998</v>
      </c>
      <c r="J172">
        <v>310.32</v>
      </c>
      <c r="K172" t="s">
        <v>17</v>
      </c>
    </row>
    <row r="173" spans="1:11" x14ac:dyDescent="0.25">
      <c r="A173" t="s">
        <v>333</v>
      </c>
      <c r="B173" t="s">
        <v>684</v>
      </c>
      <c r="C173">
        <v>0</v>
      </c>
      <c r="D173">
        <v>187.01</v>
      </c>
      <c r="E173">
        <v>217.28</v>
      </c>
      <c r="F173">
        <v>245.53</v>
      </c>
      <c r="G173">
        <v>320.08999999999997</v>
      </c>
      <c r="H173">
        <v>334.1</v>
      </c>
      <c r="I173">
        <v>385.11</v>
      </c>
      <c r="J173">
        <v>410.78</v>
      </c>
      <c r="K173" t="s">
        <v>17</v>
      </c>
    </row>
    <row r="174" spans="1:11" x14ac:dyDescent="0.25">
      <c r="A174" t="s">
        <v>333</v>
      </c>
      <c r="B174" t="s">
        <v>693</v>
      </c>
      <c r="C174">
        <v>0</v>
      </c>
      <c r="D174">
        <v>186.32</v>
      </c>
      <c r="E174">
        <v>260.51</v>
      </c>
      <c r="F174">
        <v>271.8</v>
      </c>
      <c r="G174">
        <v>306.11</v>
      </c>
      <c r="H174">
        <v>321.5</v>
      </c>
      <c r="I174">
        <v>453.47</v>
      </c>
      <c r="J174">
        <v>463.84</v>
      </c>
      <c r="K174" t="s">
        <v>17</v>
      </c>
    </row>
    <row r="175" spans="1:11" x14ac:dyDescent="0.25">
      <c r="A175" t="s">
        <v>333</v>
      </c>
      <c r="B175" t="s">
        <v>702</v>
      </c>
      <c r="C175">
        <v>0</v>
      </c>
      <c r="D175">
        <v>207.08</v>
      </c>
      <c r="E175">
        <v>289.06</v>
      </c>
      <c r="F175">
        <v>362.07</v>
      </c>
      <c r="G175">
        <v>385.63</v>
      </c>
      <c r="H175">
        <v>422.69</v>
      </c>
      <c r="I175">
        <v>529.99</v>
      </c>
      <c r="J175">
        <v>556.14</v>
      </c>
      <c r="K175" t="s">
        <v>17</v>
      </c>
    </row>
    <row r="176" spans="1:11" x14ac:dyDescent="0.25">
      <c r="A176" t="s">
        <v>333</v>
      </c>
      <c r="B176" t="s">
        <v>711</v>
      </c>
      <c r="C176">
        <v>0</v>
      </c>
      <c r="D176">
        <v>125.9</v>
      </c>
      <c r="E176">
        <v>194.04</v>
      </c>
      <c r="F176">
        <v>205.2</v>
      </c>
      <c r="G176">
        <v>232.92</v>
      </c>
      <c r="H176">
        <v>271.81</v>
      </c>
      <c r="I176">
        <v>343.85</v>
      </c>
      <c r="J176">
        <v>358.5</v>
      </c>
      <c r="K176" t="s">
        <v>17</v>
      </c>
    </row>
    <row r="177" spans="1:11" x14ac:dyDescent="0.25">
      <c r="A177" t="s">
        <v>333</v>
      </c>
      <c r="B177" t="s">
        <v>720</v>
      </c>
      <c r="C177">
        <v>0</v>
      </c>
      <c r="D177">
        <v>146.49</v>
      </c>
      <c r="E177">
        <v>203.77</v>
      </c>
      <c r="F177">
        <v>241.93</v>
      </c>
      <c r="G177">
        <v>262.13</v>
      </c>
      <c r="H177">
        <v>302.12</v>
      </c>
      <c r="I177">
        <v>403.77</v>
      </c>
      <c r="J177">
        <v>426.18</v>
      </c>
      <c r="K177" t="s">
        <v>17</v>
      </c>
    </row>
    <row r="178" spans="1:11" x14ac:dyDescent="0.25">
      <c r="A178" t="s">
        <v>333</v>
      </c>
      <c r="B178" t="s">
        <v>729</v>
      </c>
      <c r="C178">
        <v>0</v>
      </c>
      <c r="D178">
        <v>160.32</v>
      </c>
      <c r="E178">
        <v>163.33000000000001</v>
      </c>
      <c r="F178">
        <v>201.82</v>
      </c>
      <c r="G178">
        <v>245.21</v>
      </c>
      <c r="H178">
        <v>288.79000000000002</v>
      </c>
      <c r="I178">
        <v>345.89</v>
      </c>
      <c r="J178">
        <v>364.66</v>
      </c>
      <c r="K178" t="s">
        <v>17</v>
      </c>
    </row>
    <row r="179" spans="1:11" x14ac:dyDescent="0.25">
      <c r="A179" t="s">
        <v>333</v>
      </c>
      <c r="B179" t="s">
        <v>738</v>
      </c>
      <c r="C179">
        <v>0</v>
      </c>
      <c r="D179">
        <v>148.44</v>
      </c>
      <c r="E179">
        <v>170.82</v>
      </c>
      <c r="F179">
        <v>182.98</v>
      </c>
      <c r="G179">
        <v>193.76</v>
      </c>
      <c r="H179">
        <v>227.57</v>
      </c>
      <c r="I179">
        <v>349.15</v>
      </c>
      <c r="J179">
        <v>365.09</v>
      </c>
      <c r="K179" t="s">
        <v>17</v>
      </c>
    </row>
    <row r="180" spans="1:11" x14ac:dyDescent="0.25">
      <c r="A180" t="s">
        <v>333</v>
      </c>
      <c r="B180" t="s">
        <v>747</v>
      </c>
      <c r="C180">
        <v>0</v>
      </c>
      <c r="D180">
        <v>138.04</v>
      </c>
      <c r="E180">
        <v>183.22</v>
      </c>
      <c r="F180">
        <v>199.5</v>
      </c>
      <c r="G180">
        <v>225.2</v>
      </c>
      <c r="H180">
        <v>255.78</v>
      </c>
      <c r="I180">
        <v>306.48</v>
      </c>
      <c r="J180">
        <v>319.57</v>
      </c>
      <c r="K180" t="s">
        <v>17</v>
      </c>
    </row>
    <row r="181" spans="1:11" x14ac:dyDescent="0.25">
      <c r="A181" t="s">
        <v>333</v>
      </c>
      <c r="B181" t="s">
        <v>756</v>
      </c>
      <c r="C181">
        <v>0</v>
      </c>
      <c r="D181">
        <v>169.95</v>
      </c>
      <c r="E181">
        <v>205.57</v>
      </c>
      <c r="F181">
        <v>224.82</v>
      </c>
      <c r="G181">
        <v>254.66</v>
      </c>
      <c r="H181">
        <v>287.58999999999997</v>
      </c>
      <c r="I181">
        <v>402.81</v>
      </c>
      <c r="J181">
        <v>433.71</v>
      </c>
      <c r="K181" t="s">
        <v>17</v>
      </c>
    </row>
    <row r="182" spans="1:11" x14ac:dyDescent="0.25">
      <c r="A182" t="s">
        <v>333</v>
      </c>
      <c r="B182" t="s">
        <v>1626</v>
      </c>
      <c r="C182">
        <v>0</v>
      </c>
      <c r="D182">
        <v>752.4</v>
      </c>
      <c r="E182">
        <v>980.4</v>
      </c>
      <c r="F182">
        <v>1014.6</v>
      </c>
      <c r="G182">
        <v>1140</v>
      </c>
      <c r="H182">
        <v>1168.5</v>
      </c>
      <c r="I182">
        <v>1470.6</v>
      </c>
      <c r="J182">
        <v>1499.1</v>
      </c>
      <c r="K182" t="s">
        <v>17</v>
      </c>
    </row>
    <row r="183" spans="1:11" x14ac:dyDescent="0.25">
      <c r="A183" t="s">
        <v>333</v>
      </c>
      <c r="B183" t="s">
        <v>765</v>
      </c>
      <c r="C183">
        <v>0</v>
      </c>
      <c r="D183">
        <v>301.27999999999997</v>
      </c>
      <c r="E183">
        <v>655.81</v>
      </c>
      <c r="F183">
        <v>673.57</v>
      </c>
      <c r="G183">
        <v>398.08</v>
      </c>
      <c r="H183">
        <v>386.6</v>
      </c>
      <c r="I183">
        <v>580.1</v>
      </c>
      <c r="J183">
        <v>948.31</v>
      </c>
      <c r="K183" t="s">
        <v>17</v>
      </c>
    </row>
    <row r="184" spans="1:11" x14ac:dyDescent="0.25">
      <c r="A184" t="s">
        <v>333</v>
      </c>
      <c r="B184" t="s">
        <v>774</v>
      </c>
      <c r="C184">
        <v>0</v>
      </c>
      <c r="D184">
        <v>196.71</v>
      </c>
      <c r="E184">
        <v>283.8</v>
      </c>
      <c r="F184">
        <v>292.52</v>
      </c>
      <c r="G184">
        <v>327.67</v>
      </c>
      <c r="H184">
        <v>347.73</v>
      </c>
      <c r="I184">
        <v>475.2</v>
      </c>
      <c r="J184">
        <v>485.23</v>
      </c>
      <c r="K184" t="s">
        <v>17</v>
      </c>
    </row>
    <row r="185" spans="1:11" x14ac:dyDescent="0.25">
      <c r="A185" t="s">
        <v>333</v>
      </c>
      <c r="B185" t="s">
        <v>783</v>
      </c>
      <c r="C185">
        <v>0</v>
      </c>
      <c r="D185">
        <v>132.34</v>
      </c>
      <c r="E185">
        <v>194.35</v>
      </c>
      <c r="F185">
        <v>205.79</v>
      </c>
      <c r="G185">
        <v>231.9</v>
      </c>
      <c r="H185">
        <v>271.64</v>
      </c>
      <c r="I185">
        <v>344.81</v>
      </c>
      <c r="J185">
        <v>369.66</v>
      </c>
      <c r="K185" t="s">
        <v>17</v>
      </c>
    </row>
    <row r="186" spans="1:11" x14ac:dyDescent="0.25">
      <c r="A186" t="s">
        <v>333</v>
      </c>
      <c r="B186" t="s">
        <v>792</v>
      </c>
      <c r="C186">
        <v>0</v>
      </c>
      <c r="D186">
        <v>188.42</v>
      </c>
      <c r="E186">
        <v>229.71</v>
      </c>
      <c r="F186">
        <v>246.39</v>
      </c>
      <c r="G186">
        <v>268.31</v>
      </c>
      <c r="H186">
        <v>289.95999999999998</v>
      </c>
      <c r="I186">
        <v>414.18</v>
      </c>
      <c r="J186">
        <v>444.09</v>
      </c>
      <c r="K186" t="s">
        <v>17</v>
      </c>
    </row>
    <row r="187" spans="1:11" x14ac:dyDescent="0.25">
      <c r="A187" t="s">
        <v>333</v>
      </c>
      <c r="B187" t="s">
        <v>801</v>
      </c>
      <c r="C187">
        <v>0</v>
      </c>
      <c r="D187">
        <v>162.16999999999999</v>
      </c>
      <c r="E187">
        <v>194.21</v>
      </c>
      <c r="F187">
        <v>206.23</v>
      </c>
      <c r="G187">
        <v>230.19</v>
      </c>
      <c r="H187">
        <v>272.95999999999998</v>
      </c>
      <c r="I187">
        <v>348.84</v>
      </c>
      <c r="J187">
        <v>378.77</v>
      </c>
      <c r="K187" t="s">
        <v>17</v>
      </c>
    </row>
    <row r="188" spans="1:11" x14ac:dyDescent="0.25">
      <c r="A188" t="s">
        <v>333</v>
      </c>
      <c r="B188" t="s">
        <v>810</v>
      </c>
      <c r="C188">
        <v>0</v>
      </c>
      <c r="D188">
        <v>131.4</v>
      </c>
      <c r="E188">
        <v>147.09</v>
      </c>
      <c r="F188">
        <v>154.72</v>
      </c>
      <c r="G188">
        <v>180.62</v>
      </c>
      <c r="H188">
        <v>196.48</v>
      </c>
      <c r="I188">
        <v>262.38</v>
      </c>
      <c r="J188">
        <v>273.77999999999997</v>
      </c>
      <c r="K188" t="s">
        <v>17</v>
      </c>
    </row>
    <row r="189" spans="1:11" x14ac:dyDescent="0.25">
      <c r="A189" t="s">
        <v>333</v>
      </c>
      <c r="B189" t="s">
        <v>819</v>
      </c>
      <c r="C189">
        <v>0</v>
      </c>
      <c r="D189">
        <v>264.26</v>
      </c>
      <c r="E189">
        <v>312.51</v>
      </c>
      <c r="F189">
        <v>322.49</v>
      </c>
      <c r="G189">
        <v>347.87</v>
      </c>
      <c r="H189">
        <v>362.84</v>
      </c>
      <c r="I189">
        <v>521.1</v>
      </c>
      <c r="J189">
        <v>601.95000000000005</v>
      </c>
      <c r="K189" t="s">
        <v>17</v>
      </c>
    </row>
    <row r="190" spans="1:11" x14ac:dyDescent="0.25">
      <c r="A190" t="s">
        <v>333</v>
      </c>
      <c r="B190" t="s">
        <v>828</v>
      </c>
      <c r="C190">
        <v>0</v>
      </c>
      <c r="D190">
        <v>211.47</v>
      </c>
      <c r="E190">
        <v>253.32</v>
      </c>
      <c r="F190">
        <v>262.44</v>
      </c>
      <c r="G190">
        <v>273.39</v>
      </c>
      <c r="H190">
        <v>277.8</v>
      </c>
      <c r="I190">
        <v>337.47</v>
      </c>
      <c r="J190">
        <v>343.75</v>
      </c>
      <c r="K190" t="s">
        <v>17</v>
      </c>
    </row>
    <row r="191" spans="1:11" x14ac:dyDescent="0.25">
      <c r="A191" t="s">
        <v>333</v>
      </c>
      <c r="B191" t="s">
        <v>837</v>
      </c>
      <c r="C191">
        <v>0</v>
      </c>
      <c r="D191">
        <v>149.22999999999999</v>
      </c>
      <c r="E191">
        <v>186.3</v>
      </c>
      <c r="F191">
        <v>194.1</v>
      </c>
      <c r="G191">
        <v>213.33</v>
      </c>
      <c r="H191">
        <v>221.02</v>
      </c>
      <c r="I191">
        <v>322.07</v>
      </c>
      <c r="J191">
        <v>346.56</v>
      </c>
      <c r="K191" t="s">
        <v>17</v>
      </c>
    </row>
    <row r="192" spans="1:11" x14ac:dyDescent="0.25">
      <c r="A192" t="s">
        <v>333</v>
      </c>
      <c r="B192" t="s">
        <v>846</v>
      </c>
      <c r="C192">
        <v>0</v>
      </c>
      <c r="D192">
        <v>175.94</v>
      </c>
      <c r="E192">
        <v>179.62</v>
      </c>
      <c r="F192">
        <v>208.19</v>
      </c>
      <c r="G192">
        <v>232.64</v>
      </c>
      <c r="H192">
        <v>233.49</v>
      </c>
      <c r="I192">
        <v>290.07</v>
      </c>
      <c r="J192">
        <v>303.83</v>
      </c>
      <c r="K192" t="s">
        <v>17</v>
      </c>
    </row>
    <row r="193" spans="1:11" x14ac:dyDescent="0.25">
      <c r="A193" t="s">
        <v>333</v>
      </c>
      <c r="B193" t="s">
        <v>855</v>
      </c>
      <c r="C193">
        <v>0</v>
      </c>
      <c r="D193">
        <v>196.79</v>
      </c>
      <c r="E193">
        <v>229.16</v>
      </c>
      <c r="F193">
        <v>288.87</v>
      </c>
      <c r="G193">
        <v>318.87</v>
      </c>
      <c r="H193">
        <v>348.98</v>
      </c>
      <c r="I193">
        <v>505.52</v>
      </c>
      <c r="J193">
        <v>601.14</v>
      </c>
      <c r="K193" t="s">
        <v>17</v>
      </c>
    </row>
    <row r="194" spans="1:11" x14ac:dyDescent="0.25">
      <c r="A194" t="s">
        <v>333</v>
      </c>
      <c r="B194" t="s">
        <v>864</v>
      </c>
      <c r="C194">
        <v>0</v>
      </c>
      <c r="D194">
        <v>230.7</v>
      </c>
      <c r="E194">
        <v>280.81</v>
      </c>
      <c r="F194">
        <v>283.68</v>
      </c>
      <c r="G194">
        <v>302.14</v>
      </c>
      <c r="H194">
        <v>328</v>
      </c>
      <c r="I194">
        <v>389.52</v>
      </c>
      <c r="J194">
        <v>413.38</v>
      </c>
      <c r="K194" t="s">
        <v>17</v>
      </c>
    </row>
    <row r="195" spans="1:11" x14ac:dyDescent="0.25">
      <c r="A195" t="s">
        <v>333</v>
      </c>
      <c r="B195" t="s">
        <v>873</v>
      </c>
      <c r="C195">
        <v>0</v>
      </c>
      <c r="D195">
        <v>540.92999999999995</v>
      </c>
      <c r="E195">
        <v>557.98</v>
      </c>
      <c r="F195">
        <v>579.6</v>
      </c>
      <c r="G195">
        <v>672.12</v>
      </c>
      <c r="H195">
        <v>682.46</v>
      </c>
      <c r="I195">
        <v>840.01</v>
      </c>
      <c r="J195">
        <v>853.1</v>
      </c>
      <c r="K195" t="s">
        <v>17</v>
      </c>
    </row>
    <row r="196" spans="1:11" x14ac:dyDescent="0.25">
      <c r="A196" t="s">
        <v>333</v>
      </c>
      <c r="B196" t="s">
        <v>882</v>
      </c>
      <c r="C196">
        <v>0</v>
      </c>
      <c r="D196">
        <v>256.62</v>
      </c>
      <c r="E196">
        <v>341.34</v>
      </c>
      <c r="F196">
        <v>359.34</v>
      </c>
      <c r="G196">
        <v>387.5</v>
      </c>
      <c r="H196">
        <v>395.12</v>
      </c>
      <c r="I196">
        <v>543.14</v>
      </c>
      <c r="J196">
        <v>552.33000000000004</v>
      </c>
      <c r="K196" t="s">
        <v>17</v>
      </c>
    </row>
    <row r="197" spans="1:11" x14ac:dyDescent="0.25">
      <c r="A197" t="s">
        <v>333</v>
      </c>
      <c r="B197" t="s">
        <v>891</v>
      </c>
      <c r="C197">
        <v>0</v>
      </c>
      <c r="D197">
        <v>154.86000000000001</v>
      </c>
      <c r="E197">
        <v>212.18</v>
      </c>
      <c r="F197">
        <v>218.11</v>
      </c>
      <c r="G197">
        <v>232.27</v>
      </c>
      <c r="H197">
        <v>234.99</v>
      </c>
      <c r="I197">
        <v>363.04</v>
      </c>
      <c r="J197">
        <v>367.75</v>
      </c>
      <c r="K197" t="s">
        <v>17</v>
      </c>
    </row>
    <row r="198" spans="1:11" x14ac:dyDescent="0.25">
      <c r="A198" t="s">
        <v>333</v>
      </c>
      <c r="B198" t="s">
        <v>900</v>
      </c>
      <c r="C198">
        <v>0</v>
      </c>
      <c r="D198">
        <v>179.11</v>
      </c>
      <c r="E198">
        <v>185.04</v>
      </c>
      <c r="F198">
        <v>207.22</v>
      </c>
      <c r="G198">
        <v>241.99</v>
      </c>
      <c r="H198">
        <v>246.58</v>
      </c>
      <c r="I198">
        <v>294.48</v>
      </c>
      <c r="J198">
        <v>306.27999999999997</v>
      </c>
      <c r="K198" t="s">
        <v>17</v>
      </c>
    </row>
    <row r="199" spans="1:11" x14ac:dyDescent="0.25">
      <c r="A199" t="s">
        <v>333</v>
      </c>
      <c r="B199" t="s">
        <v>909</v>
      </c>
      <c r="C199">
        <v>0</v>
      </c>
      <c r="D199">
        <v>117.14</v>
      </c>
      <c r="E199">
        <v>133.21</v>
      </c>
      <c r="F199">
        <v>172.06</v>
      </c>
      <c r="G199">
        <v>198.49</v>
      </c>
      <c r="H199">
        <v>220.86</v>
      </c>
      <c r="I199">
        <v>269.19</v>
      </c>
      <c r="J199">
        <v>281.01</v>
      </c>
      <c r="K199" t="s">
        <v>17</v>
      </c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37F33-23D3-47A1-A886-6331C285559F}">
  <sheetPr>
    <tabColor theme="8"/>
  </sheetPr>
  <dimension ref="A1:K293"/>
  <sheetViews>
    <sheetView workbookViewId="0">
      <selection activeCell="E12" sqref="E12"/>
    </sheetView>
  </sheetViews>
  <sheetFormatPr baseColWidth="10" defaultColWidth="11.42578125" defaultRowHeight="15" x14ac:dyDescent="0.25"/>
  <cols>
    <col min="1" max="1" width="10.5703125" bestFit="1" customWidth="1"/>
    <col min="2" max="2" width="23.85546875" bestFit="1" customWidth="1"/>
    <col min="3" max="5" width="11.5703125" bestFit="1" customWidth="1"/>
    <col min="6" max="6" width="12.5703125" bestFit="1" customWidth="1"/>
    <col min="7" max="9" width="13.5703125" bestFit="1" customWidth="1"/>
    <col min="10" max="10" width="14" bestFit="1" customWidth="1"/>
    <col min="11" max="11" width="13.42578125" bestFit="1" customWidth="1"/>
  </cols>
  <sheetData>
    <row r="1" spans="1:11" x14ac:dyDescent="0.25">
      <c r="A1" t="s">
        <v>1</v>
      </c>
      <c r="B1" t="s">
        <v>2</v>
      </c>
      <c r="C1" t="s">
        <v>21</v>
      </c>
      <c r="D1" t="s">
        <v>29</v>
      </c>
      <c r="E1" t="s">
        <v>31</v>
      </c>
      <c r="F1" t="s">
        <v>33</v>
      </c>
      <c r="G1" t="s">
        <v>23</v>
      </c>
      <c r="H1" t="s">
        <v>25</v>
      </c>
      <c r="I1" t="s">
        <v>27</v>
      </c>
      <c r="J1" t="s">
        <v>35</v>
      </c>
      <c r="K1" t="s">
        <v>2786</v>
      </c>
    </row>
    <row r="2" spans="1:11" x14ac:dyDescent="0.25">
      <c r="A2" t="s">
        <v>46</v>
      </c>
      <c r="B2" t="s">
        <v>47</v>
      </c>
      <c r="C2">
        <v>0</v>
      </c>
      <c r="D2">
        <v>319.03390000000002</v>
      </c>
      <c r="E2">
        <v>243.11529999999999</v>
      </c>
      <c r="F2">
        <v>245.03049999999999</v>
      </c>
      <c r="G2">
        <v>348.25700000000001</v>
      </c>
      <c r="H2">
        <v>402.35610000000003</v>
      </c>
      <c r="I2">
        <v>465.31369999999998</v>
      </c>
      <c r="J2">
        <v>478.23250000000002</v>
      </c>
      <c r="K2" t="s">
        <v>15</v>
      </c>
    </row>
    <row r="3" spans="1:11" x14ac:dyDescent="0.25">
      <c r="A3" t="s">
        <v>46</v>
      </c>
      <c r="B3" t="s">
        <v>56</v>
      </c>
      <c r="C3">
        <v>0</v>
      </c>
      <c r="D3">
        <v>361.70299999999997</v>
      </c>
      <c r="E3">
        <v>352.65030000000002</v>
      </c>
      <c r="F3">
        <v>356.36919999999998</v>
      </c>
      <c r="G3">
        <v>516.87090000000001</v>
      </c>
      <c r="H3">
        <v>547.52539999999999</v>
      </c>
      <c r="I3">
        <v>688.84230000000002</v>
      </c>
      <c r="J3">
        <v>704.16020000000003</v>
      </c>
      <c r="K3" t="s">
        <v>15</v>
      </c>
    </row>
    <row r="4" spans="1:11" x14ac:dyDescent="0.25">
      <c r="A4" t="s">
        <v>46</v>
      </c>
      <c r="B4" t="s">
        <v>46</v>
      </c>
      <c r="C4">
        <v>0</v>
      </c>
      <c r="D4">
        <v>70.195899999999995</v>
      </c>
      <c r="E4">
        <v>71.743600000000001</v>
      </c>
      <c r="F4">
        <v>83.345200000000006</v>
      </c>
      <c r="G4">
        <v>98.908600000000007</v>
      </c>
      <c r="H4">
        <v>106.53570000000001</v>
      </c>
      <c r="I4">
        <v>150.3672</v>
      </c>
      <c r="J4">
        <v>155.2722</v>
      </c>
      <c r="K4" t="s">
        <v>15</v>
      </c>
    </row>
    <row r="5" spans="1:11" x14ac:dyDescent="0.25">
      <c r="A5" t="s">
        <v>46</v>
      </c>
      <c r="B5" t="s">
        <v>73</v>
      </c>
      <c r="C5">
        <v>0</v>
      </c>
      <c r="D5">
        <v>534.90380000000005</v>
      </c>
      <c r="E5">
        <v>583.84680000000003</v>
      </c>
      <c r="F5">
        <v>585.76179999999999</v>
      </c>
      <c r="G5">
        <v>741.21939999999995</v>
      </c>
      <c r="H5">
        <v>805.10059999999999</v>
      </c>
      <c r="I5">
        <v>891.62109999999996</v>
      </c>
      <c r="J5">
        <v>894.88009999999997</v>
      </c>
      <c r="K5" t="s">
        <v>15</v>
      </c>
    </row>
    <row r="6" spans="1:11" x14ac:dyDescent="0.25">
      <c r="A6" t="s">
        <v>46</v>
      </c>
      <c r="B6" t="s">
        <v>82</v>
      </c>
      <c r="C6">
        <v>0</v>
      </c>
      <c r="D6">
        <v>340.0213</v>
      </c>
      <c r="E6">
        <v>325.33949999999999</v>
      </c>
      <c r="F6">
        <v>327.92489999999998</v>
      </c>
      <c r="G6">
        <v>473.10730000000001</v>
      </c>
      <c r="H6">
        <v>542.80989999999997</v>
      </c>
      <c r="I6">
        <v>634.3528</v>
      </c>
      <c r="J6">
        <v>652.19719999999995</v>
      </c>
      <c r="K6" t="s">
        <v>15</v>
      </c>
    </row>
    <row r="7" spans="1:11" x14ac:dyDescent="0.25">
      <c r="A7" t="s">
        <v>46</v>
      </c>
      <c r="B7" t="s">
        <v>91</v>
      </c>
      <c r="C7">
        <v>0</v>
      </c>
      <c r="D7">
        <v>363.14089999999999</v>
      </c>
      <c r="E7">
        <v>371.18819999999999</v>
      </c>
      <c r="F7">
        <v>376.31150000000002</v>
      </c>
      <c r="G7">
        <v>534.68259999999998</v>
      </c>
      <c r="H7">
        <v>550.84320000000002</v>
      </c>
      <c r="I7">
        <v>732.37310000000002</v>
      </c>
      <c r="J7">
        <v>753.11850000000004</v>
      </c>
      <c r="K7" t="s">
        <v>15</v>
      </c>
    </row>
    <row r="8" spans="1:11" x14ac:dyDescent="0.25">
      <c r="A8" t="s">
        <v>46</v>
      </c>
      <c r="B8" t="s">
        <v>100</v>
      </c>
      <c r="C8">
        <v>0</v>
      </c>
      <c r="D8">
        <v>435.70010000000002</v>
      </c>
      <c r="E8">
        <v>456.35340000000002</v>
      </c>
      <c r="F8">
        <v>458.6859</v>
      </c>
      <c r="G8">
        <v>662.83280000000002</v>
      </c>
      <c r="H8">
        <v>771.39179999999999</v>
      </c>
      <c r="I8">
        <v>866.54229999999995</v>
      </c>
      <c r="J8">
        <v>869.01769999999999</v>
      </c>
      <c r="K8" t="s">
        <v>15</v>
      </c>
    </row>
    <row r="9" spans="1:11" x14ac:dyDescent="0.25">
      <c r="A9" t="s">
        <v>46</v>
      </c>
      <c r="B9" t="s">
        <v>109</v>
      </c>
      <c r="C9">
        <v>0</v>
      </c>
      <c r="D9">
        <v>130.45590000000001</v>
      </c>
      <c r="E9">
        <v>112.486</v>
      </c>
      <c r="F9">
        <v>114.02500000000001</v>
      </c>
      <c r="G9">
        <v>168.5436</v>
      </c>
      <c r="H9">
        <v>198.405</v>
      </c>
      <c r="I9">
        <v>220.01300000000001</v>
      </c>
      <c r="J9">
        <v>258.06799999999998</v>
      </c>
      <c r="K9" t="s">
        <v>15</v>
      </c>
    </row>
    <row r="10" spans="1:11" x14ac:dyDescent="0.25">
      <c r="A10" t="s">
        <v>46</v>
      </c>
      <c r="B10" t="s">
        <v>118</v>
      </c>
      <c r="C10">
        <v>0</v>
      </c>
      <c r="D10">
        <v>164.7072</v>
      </c>
      <c r="E10">
        <v>117.616</v>
      </c>
      <c r="F10">
        <v>119.497</v>
      </c>
      <c r="G10">
        <v>177.3672</v>
      </c>
      <c r="H10">
        <v>206.613</v>
      </c>
      <c r="I10">
        <v>231.08600000000001</v>
      </c>
      <c r="J10">
        <v>269.94490000000002</v>
      </c>
      <c r="K10" t="s">
        <v>15</v>
      </c>
    </row>
    <row r="11" spans="1:11" x14ac:dyDescent="0.25">
      <c r="A11" t="s">
        <v>46</v>
      </c>
      <c r="B11" t="s">
        <v>127</v>
      </c>
      <c r="C11">
        <v>0</v>
      </c>
      <c r="D11">
        <v>160.96799999999999</v>
      </c>
      <c r="E11">
        <v>118.3</v>
      </c>
      <c r="F11">
        <v>118.813</v>
      </c>
      <c r="G11">
        <v>167.2937</v>
      </c>
      <c r="H11">
        <v>186.31960000000001</v>
      </c>
      <c r="I11">
        <v>230.672</v>
      </c>
      <c r="J11">
        <v>257.48599999999999</v>
      </c>
      <c r="K11" t="s">
        <v>15</v>
      </c>
    </row>
    <row r="12" spans="1:11" x14ac:dyDescent="0.25">
      <c r="A12" t="s">
        <v>46</v>
      </c>
      <c r="B12" t="s">
        <v>136</v>
      </c>
      <c r="C12">
        <v>0</v>
      </c>
      <c r="D12">
        <v>115.824</v>
      </c>
      <c r="E12">
        <v>109.408</v>
      </c>
      <c r="F12">
        <v>110.776</v>
      </c>
      <c r="G12">
        <v>162.12299999999999</v>
      </c>
      <c r="H12">
        <v>179.6515</v>
      </c>
      <c r="I12">
        <v>198.399</v>
      </c>
      <c r="J12">
        <v>251.22800000000001</v>
      </c>
      <c r="K12" t="s">
        <v>15</v>
      </c>
    </row>
    <row r="13" spans="1:11" x14ac:dyDescent="0.25">
      <c r="A13" t="s">
        <v>46</v>
      </c>
      <c r="B13" t="s">
        <v>145</v>
      </c>
      <c r="C13">
        <v>0</v>
      </c>
      <c r="D13">
        <v>448.85140000000001</v>
      </c>
      <c r="E13">
        <v>468.29270000000002</v>
      </c>
      <c r="F13">
        <v>469.91370000000001</v>
      </c>
      <c r="G13">
        <v>679.47619999999995</v>
      </c>
      <c r="H13">
        <v>784.9932</v>
      </c>
      <c r="I13">
        <v>868.64120000000003</v>
      </c>
      <c r="J13">
        <v>871.18209999999999</v>
      </c>
      <c r="K13" t="s">
        <v>15</v>
      </c>
    </row>
    <row r="14" spans="1:11" x14ac:dyDescent="0.25">
      <c r="A14" t="s">
        <v>46</v>
      </c>
      <c r="B14" t="s">
        <v>154</v>
      </c>
      <c r="C14">
        <v>0</v>
      </c>
      <c r="D14">
        <v>204.66419999999999</v>
      </c>
      <c r="E14">
        <v>132.97300000000001</v>
      </c>
      <c r="F14">
        <v>134.88820000000001</v>
      </c>
      <c r="G14">
        <v>194.2611</v>
      </c>
      <c r="H14">
        <v>221.04050000000001</v>
      </c>
      <c r="I14">
        <v>252.286</v>
      </c>
      <c r="J14">
        <v>261.61540000000002</v>
      </c>
      <c r="K14" t="s">
        <v>15</v>
      </c>
    </row>
    <row r="15" spans="1:11" x14ac:dyDescent="0.25">
      <c r="A15" t="s">
        <v>46</v>
      </c>
      <c r="B15" t="s">
        <v>163</v>
      </c>
      <c r="C15">
        <v>0</v>
      </c>
      <c r="D15">
        <v>526.20410000000004</v>
      </c>
      <c r="E15">
        <v>594.95399999999995</v>
      </c>
      <c r="F15">
        <v>607.7115</v>
      </c>
      <c r="G15">
        <v>689.03219999999999</v>
      </c>
      <c r="H15">
        <v>814.59979999999996</v>
      </c>
      <c r="I15">
        <v>902.47720000000004</v>
      </c>
      <c r="J15">
        <v>906.07550000000003</v>
      </c>
      <c r="K15" t="s">
        <v>15</v>
      </c>
    </row>
    <row r="16" spans="1:11" x14ac:dyDescent="0.25">
      <c r="A16" t="s">
        <v>46</v>
      </c>
      <c r="B16" t="s">
        <v>172</v>
      </c>
      <c r="C16">
        <v>0</v>
      </c>
      <c r="D16">
        <v>460.05189999999999</v>
      </c>
      <c r="E16">
        <v>474.61520000000002</v>
      </c>
      <c r="F16">
        <v>476.47800000000001</v>
      </c>
      <c r="G16">
        <v>689.04510000000005</v>
      </c>
      <c r="H16">
        <v>785.93309999999997</v>
      </c>
      <c r="I16">
        <v>869.71529999999996</v>
      </c>
      <c r="J16">
        <v>872.28980000000001</v>
      </c>
      <c r="K16" t="s">
        <v>15</v>
      </c>
    </row>
    <row r="17" spans="1:11" x14ac:dyDescent="0.25">
      <c r="A17" t="s">
        <v>46</v>
      </c>
      <c r="B17" t="s">
        <v>181</v>
      </c>
      <c r="C17">
        <v>0</v>
      </c>
      <c r="D17">
        <v>330.09190000000001</v>
      </c>
      <c r="E17">
        <v>285.5641</v>
      </c>
      <c r="F17">
        <v>289.72149999999999</v>
      </c>
      <c r="G17">
        <v>412.73750000000001</v>
      </c>
      <c r="H17">
        <v>478.22140000000002</v>
      </c>
      <c r="I17">
        <v>314.94060000000002</v>
      </c>
      <c r="J17">
        <v>327.00839999999999</v>
      </c>
      <c r="K17" t="s">
        <v>15</v>
      </c>
    </row>
    <row r="18" spans="1:11" x14ac:dyDescent="0.25">
      <c r="A18" t="s">
        <v>46</v>
      </c>
      <c r="B18" t="s">
        <v>190</v>
      </c>
      <c r="C18">
        <v>0</v>
      </c>
      <c r="D18">
        <v>359.51</v>
      </c>
      <c r="E18">
        <v>347.8236</v>
      </c>
      <c r="F18">
        <v>349.93009999999998</v>
      </c>
      <c r="G18">
        <v>508.45049999999998</v>
      </c>
      <c r="H18">
        <v>546.66999999999996</v>
      </c>
      <c r="I18">
        <v>678.95820000000003</v>
      </c>
      <c r="J18">
        <v>698.19640000000004</v>
      </c>
      <c r="K18" t="s">
        <v>15</v>
      </c>
    </row>
    <row r="19" spans="1:11" x14ac:dyDescent="0.25">
      <c r="A19" t="s">
        <v>46</v>
      </c>
      <c r="B19" t="s">
        <v>199</v>
      </c>
      <c r="C19">
        <v>0</v>
      </c>
      <c r="D19">
        <v>483.45179999999999</v>
      </c>
      <c r="E19">
        <v>447.67039999999997</v>
      </c>
      <c r="F19">
        <v>453.72120000000001</v>
      </c>
      <c r="G19">
        <v>653.7192</v>
      </c>
      <c r="H19">
        <v>677.29049999999995</v>
      </c>
      <c r="I19">
        <v>813.03800000000001</v>
      </c>
      <c r="J19">
        <v>815.48159999999996</v>
      </c>
      <c r="K19" t="s">
        <v>15</v>
      </c>
    </row>
    <row r="20" spans="1:11" x14ac:dyDescent="0.25">
      <c r="A20" t="s">
        <v>46</v>
      </c>
      <c r="B20" t="s">
        <v>208</v>
      </c>
      <c r="C20">
        <v>0</v>
      </c>
      <c r="D20">
        <v>313.72149999999999</v>
      </c>
      <c r="E20">
        <v>265.89060000000001</v>
      </c>
      <c r="F20">
        <v>268.77190000000002</v>
      </c>
      <c r="G20">
        <v>382.50099999999998</v>
      </c>
      <c r="H20">
        <v>442.74630000000002</v>
      </c>
      <c r="I20">
        <v>508.19069999999999</v>
      </c>
      <c r="J20">
        <v>522.44939999999997</v>
      </c>
      <c r="K20" t="s">
        <v>15</v>
      </c>
    </row>
    <row r="21" spans="1:11" x14ac:dyDescent="0.25">
      <c r="A21" t="s">
        <v>46</v>
      </c>
      <c r="B21" t="s">
        <v>217</v>
      </c>
      <c r="C21">
        <v>0</v>
      </c>
      <c r="D21">
        <v>226.0128</v>
      </c>
      <c r="E21">
        <v>160.3751</v>
      </c>
      <c r="F21">
        <v>165.36</v>
      </c>
      <c r="G21">
        <v>234.88900000000001</v>
      </c>
      <c r="H21">
        <v>267.58280000000002</v>
      </c>
      <c r="I21">
        <v>260.62990000000002</v>
      </c>
      <c r="J21">
        <v>276.56509999999997</v>
      </c>
      <c r="K21" t="s">
        <v>15</v>
      </c>
    </row>
    <row r="22" spans="1:11" x14ac:dyDescent="0.25">
      <c r="A22" t="s">
        <v>46</v>
      </c>
      <c r="B22" t="s">
        <v>226</v>
      </c>
      <c r="C22">
        <v>0</v>
      </c>
      <c r="D22">
        <v>175.7424</v>
      </c>
      <c r="E22">
        <v>119.497</v>
      </c>
      <c r="F22">
        <v>121.54900000000001</v>
      </c>
      <c r="G22">
        <v>176.42400000000001</v>
      </c>
      <c r="H22">
        <v>205.1875</v>
      </c>
      <c r="I22">
        <v>232.32499999999999</v>
      </c>
      <c r="J22">
        <v>266.73739999999998</v>
      </c>
      <c r="K22" t="s">
        <v>15</v>
      </c>
    </row>
    <row r="23" spans="1:11" x14ac:dyDescent="0.25">
      <c r="A23" t="s">
        <v>46</v>
      </c>
      <c r="B23" t="s">
        <v>235</v>
      </c>
      <c r="C23">
        <v>0</v>
      </c>
      <c r="D23">
        <v>494.96390000000002</v>
      </c>
      <c r="E23">
        <v>567.4701</v>
      </c>
      <c r="F23">
        <v>570.85360000000003</v>
      </c>
      <c r="G23">
        <v>701.27120000000002</v>
      </c>
      <c r="H23">
        <v>798.28750000000002</v>
      </c>
      <c r="I23">
        <v>889.39620000000002</v>
      </c>
      <c r="J23">
        <v>892.58569999999997</v>
      </c>
      <c r="K23" t="s">
        <v>15</v>
      </c>
    </row>
    <row r="24" spans="1:11" x14ac:dyDescent="0.25">
      <c r="A24" t="s">
        <v>46</v>
      </c>
      <c r="B24" t="s">
        <v>244</v>
      </c>
      <c r="C24">
        <v>0</v>
      </c>
      <c r="D24">
        <v>314.33710000000002</v>
      </c>
      <c r="E24">
        <v>276.05200000000002</v>
      </c>
      <c r="F24">
        <v>278.34949999999998</v>
      </c>
      <c r="G24">
        <v>396.3202</v>
      </c>
      <c r="H24">
        <v>458.20159999999998</v>
      </c>
      <c r="I24">
        <v>232.023</v>
      </c>
      <c r="J24">
        <v>233.97559999999999</v>
      </c>
      <c r="K24" t="s">
        <v>15</v>
      </c>
    </row>
    <row r="25" spans="1:11" x14ac:dyDescent="0.25">
      <c r="A25" t="s">
        <v>46</v>
      </c>
      <c r="B25" t="s">
        <v>253</v>
      </c>
      <c r="C25">
        <v>0</v>
      </c>
      <c r="D25">
        <v>320.6755</v>
      </c>
      <c r="E25">
        <v>254.88030000000001</v>
      </c>
      <c r="F25">
        <v>256.7955</v>
      </c>
      <c r="G25">
        <v>364.8784</v>
      </c>
      <c r="H25">
        <v>421.7978</v>
      </c>
      <c r="I25">
        <v>484.83589999999998</v>
      </c>
      <c r="J25">
        <v>498.36470000000003</v>
      </c>
      <c r="K25" t="s">
        <v>15</v>
      </c>
    </row>
    <row r="26" spans="1:11" x14ac:dyDescent="0.25">
      <c r="A26" t="s">
        <v>46</v>
      </c>
      <c r="B26" t="s">
        <v>37</v>
      </c>
      <c r="C26">
        <v>0</v>
      </c>
      <c r="D26">
        <v>263.71249999999998</v>
      </c>
      <c r="E26">
        <v>203.22300000000001</v>
      </c>
      <c r="F26">
        <v>209.07490000000001</v>
      </c>
      <c r="G26">
        <v>297.69279999999998</v>
      </c>
      <c r="H26">
        <v>335.1651</v>
      </c>
      <c r="I26">
        <v>150.5085</v>
      </c>
      <c r="J26">
        <v>151.47749999999999</v>
      </c>
      <c r="K26" t="s">
        <v>15</v>
      </c>
    </row>
    <row r="27" spans="1:11" x14ac:dyDescent="0.25">
      <c r="A27" t="s">
        <v>46</v>
      </c>
      <c r="B27" t="s">
        <v>270</v>
      </c>
      <c r="C27">
        <v>0</v>
      </c>
      <c r="D27">
        <v>226.0128</v>
      </c>
      <c r="E27">
        <v>159.72669999999999</v>
      </c>
      <c r="F27">
        <v>164.7116</v>
      </c>
      <c r="G27">
        <v>233.91630000000001</v>
      </c>
      <c r="H27">
        <v>266.40940000000001</v>
      </c>
      <c r="I27">
        <v>295.8159</v>
      </c>
      <c r="J27">
        <v>301.96429999999998</v>
      </c>
      <c r="K27" t="s">
        <v>15</v>
      </c>
    </row>
    <row r="28" spans="1:11" x14ac:dyDescent="0.25">
      <c r="A28" t="s">
        <v>46</v>
      </c>
      <c r="B28" t="s">
        <v>279</v>
      </c>
      <c r="C28">
        <v>0</v>
      </c>
      <c r="D28">
        <v>347.89870000000002</v>
      </c>
      <c r="E28">
        <v>326.6934</v>
      </c>
      <c r="F28">
        <v>328.82049999999998</v>
      </c>
      <c r="G28">
        <v>475.27140000000003</v>
      </c>
      <c r="H28">
        <v>542.97019999999998</v>
      </c>
      <c r="I28">
        <v>286.21559999999999</v>
      </c>
      <c r="J28">
        <v>288.5763</v>
      </c>
      <c r="K28" t="s">
        <v>15</v>
      </c>
    </row>
    <row r="29" spans="1:11" x14ac:dyDescent="0.25">
      <c r="A29" t="s">
        <v>46</v>
      </c>
      <c r="B29" t="s">
        <v>288</v>
      </c>
      <c r="C29">
        <v>0</v>
      </c>
      <c r="D29">
        <v>123.26730000000001</v>
      </c>
      <c r="E29">
        <v>110.16370000000001</v>
      </c>
      <c r="F29">
        <v>113.4148</v>
      </c>
      <c r="G29">
        <v>161.80340000000001</v>
      </c>
      <c r="H29">
        <v>165.66749999999999</v>
      </c>
      <c r="I29">
        <v>222.50360000000001</v>
      </c>
      <c r="J29">
        <v>248.4254</v>
      </c>
      <c r="K29" t="s">
        <v>15</v>
      </c>
    </row>
    <row r="30" spans="1:11" x14ac:dyDescent="0.25">
      <c r="A30" t="s">
        <v>46</v>
      </c>
      <c r="B30" t="s">
        <v>297</v>
      </c>
      <c r="C30">
        <v>0</v>
      </c>
      <c r="D30">
        <v>369.99189999999999</v>
      </c>
      <c r="E30">
        <v>331.51569999999998</v>
      </c>
      <c r="F30">
        <v>335.2346</v>
      </c>
      <c r="G30">
        <v>482.15640000000002</v>
      </c>
      <c r="H30">
        <v>543.74270000000001</v>
      </c>
      <c r="I30">
        <v>645.13189999999997</v>
      </c>
      <c r="J30">
        <v>663.31320000000005</v>
      </c>
      <c r="K30" t="s">
        <v>15</v>
      </c>
    </row>
    <row r="31" spans="1:11" x14ac:dyDescent="0.25">
      <c r="A31" t="s">
        <v>46</v>
      </c>
      <c r="B31" t="s">
        <v>306</v>
      </c>
      <c r="C31">
        <v>0</v>
      </c>
      <c r="D31">
        <v>359.51</v>
      </c>
      <c r="E31">
        <v>332.46409999999997</v>
      </c>
      <c r="F31">
        <v>336.62079999999997</v>
      </c>
      <c r="G31">
        <v>487.81990000000002</v>
      </c>
      <c r="H31">
        <v>543.91250000000002</v>
      </c>
      <c r="I31">
        <v>647.09349999999995</v>
      </c>
      <c r="J31">
        <v>665.33609999999999</v>
      </c>
      <c r="K31" t="s">
        <v>15</v>
      </c>
    </row>
    <row r="32" spans="1:11" x14ac:dyDescent="0.25">
      <c r="A32" t="s">
        <v>46</v>
      </c>
      <c r="B32" t="s">
        <v>315</v>
      </c>
      <c r="C32">
        <v>0</v>
      </c>
      <c r="D32">
        <v>549.42740000000003</v>
      </c>
      <c r="E32">
        <v>572.59580000000005</v>
      </c>
      <c r="F32">
        <v>575.14250000000004</v>
      </c>
      <c r="G32">
        <v>759.40660000000003</v>
      </c>
      <c r="H32">
        <v>802.74620000000004</v>
      </c>
      <c r="I32">
        <v>888.93029999999999</v>
      </c>
      <c r="J32">
        <v>892.10530000000006</v>
      </c>
      <c r="K32" t="s">
        <v>15</v>
      </c>
    </row>
    <row r="33" spans="1:11" x14ac:dyDescent="0.25">
      <c r="A33" t="s">
        <v>46</v>
      </c>
      <c r="B33" t="s">
        <v>324</v>
      </c>
      <c r="C33">
        <v>0</v>
      </c>
      <c r="D33">
        <v>461.38569999999999</v>
      </c>
      <c r="E33">
        <v>487.5532</v>
      </c>
      <c r="F33">
        <v>489.5711</v>
      </c>
      <c r="G33">
        <v>656.57489999999996</v>
      </c>
      <c r="H33">
        <v>789.23289999999997</v>
      </c>
      <c r="I33">
        <v>873.48659999999995</v>
      </c>
      <c r="J33">
        <v>876.1789</v>
      </c>
      <c r="K33" t="s">
        <v>15</v>
      </c>
    </row>
    <row r="34" spans="1:11" x14ac:dyDescent="0.25">
      <c r="A34" t="s">
        <v>46</v>
      </c>
      <c r="B34" t="s">
        <v>333</v>
      </c>
      <c r="C34">
        <v>0</v>
      </c>
      <c r="D34">
        <v>270.6533</v>
      </c>
      <c r="E34">
        <v>211.43289999999999</v>
      </c>
      <c r="F34">
        <v>217.39320000000001</v>
      </c>
      <c r="G34">
        <v>315.49849999999998</v>
      </c>
      <c r="H34">
        <v>359.81610000000001</v>
      </c>
      <c r="I34">
        <v>198.04650000000001</v>
      </c>
      <c r="J34">
        <v>201.50579999999999</v>
      </c>
      <c r="K34" t="s">
        <v>15</v>
      </c>
    </row>
    <row r="35" spans="1:11" x14ac:dyDescent="0.25">
      <c r="A35" t="s">
        <v>46</v>
      </c>
      <c r="B35" t="s">
        <v>342</v>
      </c>
      <c r="C35">
        <v>0</v>
      </c>
      <c r="D35">
        <v>320.77809999999999</v>
      </c>
      <c r="E35">
        <v>257.28460000000001</v>
      </c>
      <c r="F35">
        <v>259.33659999999998</v>
      </c>
      <c r="G35">
        <v>368.5532</v>
      </c>
      <c r="H35">
        <v>426.10649999999998</v>
      </c>
      <c r="I35">
        <v>489.52550000000002</v>
      </c>
      <c r="J35">
        <v>503.20100000000002</v>
      </c>
      <c r="K35" t="s">
        <v>15</v>
      </c>
    </row>
    <row r="36" spans="1:11" x14ac:dyDescent="0.25">
      <c r="A36" t="s">
        <v>46</v>
      </c>
      <c r="B36" t="s">
        <v>351</v>
      </c>
      <c r="C36">
        <v>0</v>
      </c>
      <c r="D36">
        <v>91.484999999999999</v>
      </c>
      <c r="E36">
        <v>95.338800000000006</v>
      </c>
      <c r="F36">
        <v>100.0128</v>
      </c>
      <c r="G36">
        <v>112.974</v>
      </c>
      <c r="H36">
        <v>162.07339999999999</v>
      </c>
      <c r="I36">
        <v>223.40430000000001</v>
      </c>
      <c r="J36">
        <v>248.50569999999999</v>
      </c>
      <c r="K36" t="s">
        <v>15</v>
      </c>
    </row>
    <row r="37" spans="1:11" x14ac:dyDescent="0.25">
      <c r="A37" t="s">
        <v>46</v>
      </c>
      <c r="B37" t="s">
        <v>360</v>
      </c>
      <c r="C37">
        <v>0</v>
      </c>
      <c r="D37">
        <v>131.38499999999999</v>
      </c>
      <c r="E37">
        <v>149.4768</v>
      </c>
      <c r="F37">
        <v>158.82480000000001</v>
      </c>
      <c r="G37">
        <v>210.9228</v>
      </c>
      <c r="H37">
        <v>220.70400000000001</v>
      </c>
      <c r="I37">
        <v>317.97449999999998</v>
      </c>
      <c r="J37">
        <v>337.22910000000002</v>
      </c>
      <c r="K37" t="s">
        <v>15</v>
      </c>
    </row>
    <row r="38" spans="1:11" x14ac:dyDescent="0.25">
      <c r="A38" t="s">
        <v>46</v>
      </c>
      <c r="B38" t="s">
        <v>369</v>
      </c>
      <c r="C38">
        <v>0</v>
      </c>
      <c r="D38">
        <v>505.85660000000001</v>
      </c>
      <c r="E38">
        <v>508.08069999999998</v>
      </c>
      <c r="F38">
        <v>510.2697</v>
      </c>
      <c r="G38">
        <v>720.75030000000004</v>
      </c>
      <c r="H38">
        <v>791.82370000000003</v>
      </c>
      <c r="I38">
        <v>876.46680000000003</v>
      </c>
      <c r="J38">
        <v>879.25220000000002</v>
      </c>
      <c r="K38" t="s">
        <v>15</v>
      </c>
    </row>
    <row r="39" spans="1:11" x14ac:dyDescent="0.25">
      <c r="A39" t="s">
        <v>46</v>
      </c>
      <c r="B39" t="s">
        <v>378</v>
      </c>
      <c r="C39">
        <v>0</v>
      </c>
      <c r="D39">
        <v>377.66449999999998</v>
      </c>
      <c r="E39">
        <v>341.67930000000001</v>
      </c>
      <c r="F39">
        <v>349.3381</v>
      </c>
      <c r="G39">
        <v>502.27289999999999</v>
      </c>
      <c r="H39">
        <v>545.56179999999995</v>
      </c>
      <c r="I39">
        <v>666.15229999999997</v>
      </c>
      <c r="J39">
        <v>684.99040000000002</v>
      </c>
      <c r="K39" t="s">
        <v>15</v>
      </c>
    </row>
    <row r="40" spans="1:11" x14ac:dyDescent="0.25">
      <c r="A40" t="s">
        <v>46</v>
      </c>
      <c r="B40" t="s">
        <v>387</v>
      </c>
      <c r="C40">
        <v>0</v>
      </c>
      <c r="D40">
        <v>271.01240000000001</v>
      </c>
      <c r="E40">
        <v>221.04179999999999</v>
      </c>
      <c r="F40">
        <v>227.00210000000001</v>
      </c>
      <c r="G40">
        <v>330.45909999999998</v>
      </c>
      <c r="H40">
        <v>377.20490000000001</v>
      </c>
      <c r="I40">
        <v>437.46910000000003</v>
      </c>
      <c r="J40">
        <v>449.68</v>
      </c>
      <c r="K40" t="s">
        <v>15</v>
      </c>
    </row>
    <row r="41" spans="1:11" x14ac:dyDescent="0.25">
      <c r="A41" t="s">
        <v>46</v>
      </c>
      <c r="B41" t="s">
        <v>396</v>
      </c>
      <c r="C41">
        <v>0</v>
      </c>
      <c r="D41">
        <v>101.175</v>
      </c>
      <c r="E41">
        <v>104.68680000000001</v>
      </c>
      <c r="F41">
        <v>109.0792</v>
      </c>
      <c r="G41">
        <v>123.4855</v>
      </c>
      <c r="H41">
        <v>163.44139999999999</v>
      </c>
      <c r="I41">
        <v>223.40430000000001</v>
      </c>
      <c r="J41">
        <v>248.50569999999999</v>
      </c>
      <c r="K41" t="s">
        <v>15</v>
      </c>
    </row>
    <row r="42" spans="1:11" x14ac:dyDescent="0.25">
      <c r="A42" t="s">
        <v>46</v>
      </c>
      <c r="B42" t="s">
        <v>405</v>
      </c>
      <c r="C42">
        <v>0</v>
      </c>
      <c r="D42">
        <v>269.21690000000001</v>
      </c>
      <c r="E42">
        <v>212.43809999999999</v>
      </c>
      <c r="F42">
        <v>218.39840000000001</v>
      </c>
      <c r="G42">
        <v>316.596</v>
      </c>
      <c r="H42">
        <v>361.63529999999997</v>
      </c>
      <c r="I42">
        <v>419.67520000000002</v>
      </c>
      <c r="J42">
        <v>431.33</v>
      </c>
      <c r="K42" t="s">
        <v>15</v>
      </c>
    </row>
    <row r="43" spans="1:11" x14ac:dyDescent="0.25">
      <c r="A43" t="s">
        <v>46</v>
      </c>
      <c r="B43" t="s">
        <v>414</v>
      </c>
      <c r="C43">
        <v>0</v>
      </c>
      <c r="D43">
        <v>226.93620000000001</v>
      </c>
      <c r="E43">
        <v>172.36279999999999</v>
      </c>
      <c r="F43">
        <v>177.3477</v>
      </c>
      <c r="G43">
        <v>252.87049999999999</v>
      </c>
      <c r="H43">
        <v>288.48669999999998</v>
      </c>
      <c r="I43">
        <v>339.3526</v>
      </c>
      <c r="J43">
        <v>348.75689999999997</v>
      </c>
      <c r="K43" t="s">
        <v>15</v>
      </c>
    </row>
    <row r="44" spans="1:11" x14ac:dyDescent="0.25">
      <c r="A44" t="s">
        <v>46</v>
      </c>
      <c r="B44" t="s">
        <v>423</v>
      </c>
      <c r="C44">
        <v>0</v>
      </c>
      <c r="D44">
        <v>90.287999999999997</v>
      </c>
      <c r="E44">
        <v>94.838999999999999</v>
      </c>
      <c r="F44">
        <v>99.683999999999997</v>
      </c>
      <c r="G44">
        <v>111.60599999999999</v>
      </c>
      <c r="H44">
        <v>162.09630000000001</v>
      </c>
      <c r="I44">
        <v>223.40430000000001</v>
      </c>
      <c r="J44">
        <v>248.50569999999999</v>
      </c>
      <c r="K44" t="s">
        <v>15</v>
      </c>
    </row>
    <row r="45" spans="1:11" x14ac:dyDescent="0.25">
      <c r="A45" t="s">
        <v>46</v>
      </c>
      <c r="B45" t="s">
        <v>432</v>
      </c>
      <c r="C45">
        <v>0</v>
      </c>
      <c r="D45">
        <v>323.89600000000002</v>
      </c>
      <c r="E45">
        <v>255.52250000000001</v>
      </c>
      <c r="F45">
        <v>257.5745</v>
      </c>
      <c r="G45">
        <v>366.11529999999999</v>
      </c>
      <c r="H45">
        <v>423.3347</v>
      </c>
      <c r="I45">
        <v>487.29579999999999</v>
      </c>
      <c r="J45">
        <v>500.9015</v>
      </c>
      <c r="K45" t="s">
        <v>15</v>
      </c>
    </row>
    <row r="46" spans="1:11" x14ac:dyDescent="0.25">
      <c r="A46" t="s">
        <v>46</v>
      </c>
      <c r="B46" t="s">
        <v>441</v>
      </c>
      <c r="C46">
        <v>0</v>
      </c>
      <c r="D46">
        <v>355.87909999999999</v>
      </c>
      <c r="E46">
        <v>352.42689999999999</v>
      </c>
      <c r="F46">
        <v>357.45920000000001</v>
      </c>
      <c r="G46">
        <v>518.39440000000002</v>
      </c>
      <c r="H46">
        <v>547.48540000000003</v>
      </c>
      <c r="I46">
        <v>688.38040000000001</v>
      </c>
      <c r="J46">
        <v>704.11310000000003</v>
      </c>
      <c r="K46" t="s">
        <v>15</v>
      </c>
    </row>
    <row r="47" spans="1:11" x14ac:dyDescent="0.25">
      <c r="A47" t="s">
        <v>46</v>
      </c>
      <c r="B47" t="s">
        <v>450</v>
      </c>
      <c r="C47">
        <v>0</v>
      </c>
      <c r="D47">
        <v>149.91</v>
      </c>
      <c r="E47">
        <v>120.3652</v>
      </c>
      <c r="F47">
        <v>121.18600000000001</v>
      </c>
      <c r="G47">
        <v>167.2937</v>
      </c>
      <c r="H47">
        <v>186.31960000000001</v>
      </c>
      <c r="I47">
        <v>230.672</v>
      </c>
      <c r="J47">
        <v>257.48599999999999</v>
      </c>
      <c r="K47" t="s">
        <v>15</v>
      </c>
    </row>
    <row r="48" spans="1:11" x14ac:dyDescent="0.25">
      <c r="A48" t="s">
        <v>46</v>
      </c>
      <c r="B48" t="s">
        <v>459</v>
      </c>
      <c r="C48">
        <v>0</v>
      </c>
      <c r="D48">
        <v>399.44990000000001</v>
      </c>
      <c r="E48">
        <v>393.24360000000001</v>
      </c>
      <c r="F48">
        <v>402.56330000000003</v>
      </c>
      <c r="G48">
        <v>547.29570000000001</v>
      </c>
      <c r="H48">
        <v>554.79060000000004</v>
      </c>
      <c r="I48">
        <v>763.01890000000003</v>
      </c>
      <c r="J48">
        <v>765.21159999999998</v>
      </c>
      <c r="K48" t="s">
        <v>15</v>
      </c>
    </row>
    <row r="49" spans="1:11" x14ac:dyDescent="0.25">
      <c r="A49" t="s">
        <v>46</v>
      </c>
      <c r="B49" t="s">
        <v>468</v>
      </c>
      <c r="C49">
        <v>0</v>
      </c>
      <c r="D49">
        <v>394.3811</v>
      </c>
      <c r="E49">
        <v>383.6225</v>
      </c>
      <c r="F49">
        <v>392.15679999999998</v>
      </c>
      <c r="G49">
        <v>545.32780000000002</v>
      </c>
      <c r="H49">
        <v>553.06870000000004</v>
      </c>
      <c r="I49">
        <v>758.08950000000004</v>
      </c>
      <c r="J49">
        <v>763.18219999999997</v>
      </c>
      <c r="K49" t="s">
        <v>15</v>
      </c>
    </row>
    <row r="50" spans="1:11" x14ac:dyDescent="0.25">
      <c r="A50" t="s">
        <v>46</v>
      </c>
      <c r="B50" t="s">
        <v>477</v>
      </c>
      <c r="C50">
        <v>0</v>
      </c>
      <c r="D50">
        <v>363.14089999999999</v>
      </c>
      <c r="E50">
        <v>362.10879999999997</v>
      </c>
      <c r="F50">
        <v>367.14100000000002</v>
      </c>
      <c r="G50">
        <v>532.9171</v>
      </c>
      <c r="H50">
        <v>549.21820000000002</v>
      </c>
      <c r="I50">
        <v>713.59529999999995</v>
      </c>
      <c r="J50">
        <v>733.75379999999996</v>
      </c>
      <c r="K50" t="s">
        <v>15</v>
      </c>
    </row>
    <row r="51" spans="1:11" x14ac:dyDescent="0.25">
      <c r="A51" t="s">
        <v>46</v>
      </c>
      <c r="B51" t="s">
        <v>486</v>
      </c>
      <c r="C51">
        <v>0</v>
      </c>
      <c r="D51">
        <v>270.67869999999999</v>
      </c>
      <c r="E51">
        <v>194.8219</v>
      </c>
      <c r="F51">
        <v>200.78210000000001</v>
      </c>
      <c r="G51">
        <v>287.98270000000002</v>
      </c>
      <c r="H51">
        <v>329.75580000000002</v>
      </c>
      <c r="I51">
        <v>383.24149999999997</v>
      </c>
      <c r="J51">
        <v>393.75779999999997</v>
      </c>
      <c r="K51" t="s">
        <v>15</v>
      </c>
    </row>
    <row r="52" spans="1:11" x14ac:dyDescent="0.25">
      <c r="A52" t="s">
        <v>46</v>
      </c>
      <c r="B52" t="s">
        <v>495</v>
      </c>
      <c r="C52">
        <v>0</v>
      </c>
      <c r="D52">
        <v>403.08080000000001</v>
      </c>
      <c r="E52">
        <v>382.7715</v>
      </c>
      <c r="F52">
        <v>392.09109999999998</v>
      </c>
      <c r="G52">
        <v>545.15369999999996</v>
      </c>
      <c r="H52">
        <v>552.91639999999995</v>
      </c>
      <c r="I52">
        <v>756.32950000000005</v>
      </c>
      <c r="J52">
        <v>763.0027</v>
      </c>
      <c r="K52" t="s">
        <v>15</v>
      </c>
    </row>
    <row r="53" spans="1:11" x14ac:dyDescent="0.25">
      <c r="A53" t="s">
        <v>46</v>
      </c>
      <c r="B53" t="s">
        <v>504</v>
      </c>
      <c r="C53">
        <v>0</v>
      </c>
      <c r="D53">
        <v>365.33390000000003</v>
      </c>
      <c r="E53">
        <v>361.64760000000001</v>
      </c>
      <c r="F53">
        <v>368.43079999999998</v>
      </c>
      <c r="G53">
        <v>532.22529999999995</v>
      </c>
      <c r="H53">
        <v>549.13570000000004</v>
      </c>
      <c r="I53">
        <v>712.64149999999995</v>
      </c>
      <c r="J53">
        <v>732.77020000000005</v>
      </c>
      <c r="K53" t="s">
        <v>15</v>
      </c>
    </row>
    <row r="54" spans="1:11" x14ac:dyDescent="0.25">
      <c r="A54" t="s">
        <v>46</v>
      </c>
      <c r="B54" t="s">
        <v>513</v>
      </c>
      <c r="C54">
        <v>0</v>
      </c>
      <c r="D54">
        <v>511.68049999999999</v>
      </c>
      <c r="E54">
        <v>586.11620000000005</v>
      </c>
      <c r="F54">
        <v>589.66010000000006</v>
      </c>
      <c r="G54">
        <v>722.86080000000004</v>
      </c>
      <c r="H54">
        <v>806.26840000000004</v>
      </c>
      <c r="I54">
        <v>892.95569999999998</v>
      </c>
      <c r="J54">
        <v>896.25649999999996</v>
      </c>
      <c r="K54" t="s">
        <v>15</v>
      </c>
    </row>
    <row r="55" spans="1:11" x14ac:dyDescent="0.25">
      <c r="A55" t="s">
        <v>46</v>
      </c>
      <c r="B55" t="s">
        <v>522</v>
      </c>
      <c r="C55">
        <v>0</v>
      </c>
      <c r="D55">
        <v>206.87280000000001</v>
      </c>
      <c r="E55">
        <v>135.06319999999999</v>
      </c>
      <c r="F55">
        <v>136.97839999999999</v>
      </c>
      <c r="G55">
        <v>199.49289999999999</v>
      </c>
      <c r="H55">
        <v>226.20070000000001</v>
      </c>
      <c r="I55">
        <v>253.56440000000001</v>
      </c>
      <c r="J55">
        <v>264.87619999999998</v>
      </c>
      <c r="K55" t="s">
        <v>15</v>
      </c>
    </row>
    <row r="56" spans="1:11" x14ac:dyDescent="0.25">
      <c r="A56" t="s">
        <v>46</v>
      </c>
      <c r="B56" t="s">
        <v>531</v>
      </c>
      <c r="C56">
        <v>0</v>
      </c>
      <c r="D56">
        <v>324.81939999999997</v>
      </c>
      <c r="E56">
        <v>263.5104</v>
      </c>
      <c r="F56">
        <v>265.56240000000003</v>
      </c>
      <c r="G56">
        <v>377.55009999999999</v>
      </c>
      <c r="H56">
        <v>436.54689999999999</v>
      </c>
      <c r="I56">
        <v>500.98719999999997</v>
      </c>
      <c r="J56">
        <v>515.02080000000001</v>
      </c>
      <c r="K56" t="s">
        <v>15</v>
      </c>
    </row>
    <row r="57" spans="1:11" x14ac:dyDescent="0.25">
      <c r="A57" t="s">
        <v>46</v>
      </c>
      <c r="B57" t="s">
        <v>540</v>
      </c>
      <c r="C57">
        <v>0</v>
      </c>
      <c r="D57">
        <v>129.45269999999999</v>
      </c>
      <c r="E57">
        <v>112.14400000000001</v>
      </c>
      <c r="F57">
        <v>113.68300000000001</v>
      </c>
      <c r="G57">
        <v>167.19</v>
      </c>
      <c r="H57">
        <v>197.55359999999999</v>
      </c>
      <c r="I57">
        <v>219.8</v>
      </c>
      <c r="J57">
        <v>258.7208</v>
      </c>
      <c r="K57" t="s">
        <v>15</v>
      </c>
    </row>
    <row r="58" spans="1:11" x14ac:dyDescent="0.25">
      <c r="A58" t="s">
        <v>46</v>
      </c>
      <c r="B58" t="s">
        <v>549</v>
      </c>
      <c r="C58">
        <v>0</v>
      </c>
      <c r="D58">
        <v>331.77199999999999</v>
      </c>
      <c r="E58">
        <v>278.2319</v>
      </c>
      <c r="F58">
        <v>281.59739999999999</v>
      </c>
      <c r="G58">
        <v>400.78179999999998</v>
      </c>
      <c r="H58">
        <v>464.23439999999999</v>
      </c>
      <c r="I58">
        <v>538.02300000000002</v>
      </c>
      <c r="J58">
        <v>552.98689999999999</v>
      </c>
      <c r="K58" t="s">
        <v>15</v>
      </c>
    </row>
    <row r="59" spans="1:11" x14ac:dyDescent="0.25">
      <c r="A59" t="s">
        <v>46</v>
      </c>
      <c r="B59" t="s">
        <v>558</v>
      </c>
      <c r="C59">
        <v>0</v>
      </c>
      <c r="D59">
        <v>370.40269999999998</v>
      </c>
      <c r="E59">
        <v>385.24930000000001</v>
      </c>
      <c r="F59">
        <v>392.47030000000001</v>
      </c>
      <c r="G59">
        <v>545.34040000000005</v>
      </c>
      <c r="H59">
        <v>553.35979999999995</v>
      </c>
      <c r="I59">
        <v>761.38369999999998</v>
      </c>
      <c r="J59">
        <v>763.52530000000002</v>
      </c>
      <c r="K59" t="s">
        <v>15</v>
      </c>
    </row>
    <row r="60" spans="1:11" x14ac:dyDescent="0.25">
      <c r="A60" t="s">
        <v>46</v>
      </c>
      <c r="B60" t="s">
        <v>567</v>
      </c>
      <c r="C60">
        <v>0</v>
      </c>
      <c r="D60">
        <v>269.65269999999998</v>
      </c>
      <c r="E60">
        <v>188.05760000000001</v>
      </c>
      <c r="F60">
        <v>194.01779999999999</v>
      </c>
      <c r="G60">
        <v>276.4683</v>
      </c>
      <c r="H60">
        <v>317.5147</v>
      </c>
      <c r="I60">
        <v>369.25170000000003</v>
      </c>
      <c r="J60">
        <v>379.33089999999999</v>
      </c>
      <c r="K60" t="s">
        <v>15</v>
      </c>
    </row>
    <row r="61" spans="1:11" x14ac:dyDescent="0.25">
      <c r="A61" t="s">
        <v>46</v>
      </c>
      <c r="B61" t="s">
        <v>585</v>
      </c>
      <c r="C61">
        <v>0</v>
      </c>
      <c r="D61">
        <v>98.04</v>
      </c>
      <c r="E61">
        <v>101.46</v>
      </c>
      <c r="F61">
        <v>109.44</v>
      </c>
      <c r="G61">
        <v>147.06</v>
      </c>
      <c r="H61">
        <v>161.88</v>
      </c>
      <c r="I61">
        <v>182.6592</v>
      </c>
      <c r="J61">
        <v>232.7304</v>
      </c>
      <c r="K61" t="s">
        <v>15</v>
      </c>
    </row>
    <row r="62" spans="1:11" x14ac:dyDescent="0.25">
      <c r="A62" t="s">
        <v>46</v>
      </c>
      <c r="B62" t="s">
        <v>594</v>
      </c>
      <c r="C62">
        <v>0</v>
      </c>
      <c r="D62">
        <v>526.20410000000004</v>
      </c>
      <c r="E62">
        <v>530.43399999999997</v>
      </c>
      <c r="F62">
        <v>532.98069999999996</v>
      </c>
      <c r="G62">
        <v>749.23919999999998</v>
      </c>
      <c r="H62">
        <v>793.7731</v>
      </c>
      <c r="I62">
        <v>880.30629999999996</v>
      </c>
      <c r="J62">
        <v>883.21180000000004</v>
      </c>
      <c r="K62" t="s">
        <v>15</v>
      </c>
    </row>
    <row r="63" spans="1:11" x14ac:dyDescent="0.25">
      <c r="A63" t="s">
        <v>46</v>
      </c>
      <c r="B63" t="s">
        <v>603</v>
      </c>
      <c r="C63">
        <v>0</v>
      </c>
      <c r="D63">
        <v>347.38569999999999</v>
      </c>
      <c r="E63">
        <v>321.4794</v>
      </c>
      <c r="F63">
        <v>324.76060000000001</v>
      </c>
      <c r="G63">
        <v>465.8707</v>
      </c>
      <c r="H63">
        <v>539.70939999999996</v>
      </c>
      <c r="I63">
        <v>624.37509999999997</v>
      </c>
      <c r="J63">
        <v>641.9076</v>
      </c>
      <c r="K63" t="s">
        <v>15</v>
      </c>
    </row>
    <row r="64" spans="1:11" x14ac:dyDescent="0.25">
      <c r="A64" t="s">
        <v>46</v>
      </c>
      <c r="B64" t="s">
        <v>612</v>
      </c>
      <c r="C64">
        <v>0</v>
      </c>
      <c r="D64">
        <v>269.96050000000002</v>
      </c>
      <c r="E64">
        <v>192.31870000000001</v>
      </c>
      <c r="F64">
        <v>198.279</v>
      </c>
      <c r="G64">
        <v>283.2704</v>
      </c>
      <c r="H64">
        <v>325.226</v>
      </c>
      <c r="I64">
        <v>378.06459999999998</v>
      </c>
      <c r="J64">
        <v>388.41919999999999</v>
      </c>
      <c r="K64" t="s">
        <v>15</v>
      </c>
    </row>
    <row r="65" spans="1:11" x14ac:dyDescent="0.25">
      <c r="A65" t="s">
        <v>46</v>
      </c>
      <c r="B65" t="s">
        <v>621</v>
      </c>
      <c r="C65">
        <v>0</v>
      </c>
      <c r="D65">
        <v>394.3811</v>
      </c>
      <c r="E65">
        <v>380.5822</v>
      </c>
      <c r="F65">
        <v>389.90190000000001</v>
      </c>
      <c r="G65">
        <v>544.70590000000004</v>
      </c>
      <c r="H65">
        <v>552.52449999999999</v>
      </c>
      <c r="I65">
        <v>751.80169999999998</v>
      </c>
      <c r="J65">
        <v>762.54089999999997</v>
      </c>
      <c r="K65" t="s">
        <v>15</v>
      </c>
    </row>
    <row r="66" spans="1:11" x14ac:dyDescent="0.25">
      <c r="A66" t="s">
        <v>46</v>
      </c>
      <c r="B66" t="s">
        <v>630</v>
      </c>
      <c r="C66">
        <v>0</v>
      </c>
      <c r="D66">
        <v>359.50959999999998</v>
      </c>
      <c r="E66">
        <v>338.3168</v>
      </c>
      <c r="F66">
        <v>342.4735</v>
      </c>
      <c r="G66">
        <v>493.1789</v>
      </c>
      <c r="H66">
        <v>544.96</v>
      </c>
      <c r="I66">
        <v>358.46839999999997</v>
      </c>
      <c r="J66">
        <v>360.9239</v>
      </c>
      <c r="K66" t="s">
        <v>15</v>
      </c>
    </row>
    <row r="67" spans="1:11" x14ac:dyDescent="0.25">
      <c r="A67" t="s">
        <v>46</v>
      </c>
      <c r="B67" t="s">
        <v>639</v>
      </c>
      <c r="C67">
        <v>0</v>
      </c>
      <c r="D67">
        <v>102.14400000000001</v>
      </c>
      <c r="E67">
        <v>102.8172</v>
      </c>
      <c r="F67">
        <v>109.0792</v>
      </c>
      <c r="G67">
        <v>149.08439999999999</v>
      </c>
      <c r="H67">
        <v>165.28440000000001</v>
      </c>
      <c r="I67">
        <v>184.13399999999999</v>
      </c>
      <c r="J67">
        <v>233.9556</v>
      </c>
      <c r="K67" t="s">
        <v>15</v>
      </c>
    </row>
    <row r="68" spans="1:11" x14ac:dyDescent="0.25">
      <c r="A68" t="s">
        <v>46</v>
      </c>
      <c r="B68" t="s">
        <v>648</v>
      </c>
      <c r="C68">
        <v>0</v>
      </c>
      <c r="D68">
        <v>399.44990000000001</v>
      </c>
      <c r="E68">
        <v>361.81799999999998</v>
      </c>
      <c r="F68">
        <v>371.13760000000002</v>
      </c>
      <c r="G68">
        <v>532.48080000000004</v>
      </c>
      <c r="H68">
        <v>549.1662</v>
      </c>
      <c r="I68">
        <v>712.99379999999996</v>
      </c>
      <c r="J68">
        <v>733.13340000000005</v>
      </c>
      <c r="K68" t="s">
        <v>15</v>
      </c>
    </row>
    <row r="69" spans="1:11" x14ac:dyDescent="0.25">
      <c r="A69" t="s">
        <v>46</v>
      </c>
      <c r="B69" t="s">
        <v>657</v>
      </c>
      <c r="C69">
        <v>0</v>
      </c>
      <c r="D69">
        <v>112.4268</v>
      </c>
      <c r="E69">
        <v>109.7368</v>
      </c>
      <c r="F69">
        <v>110.6944</v>
      </c>
      <c r="G69">
        <v>163.71600000000001</v>
      </c>
      <c r="H69">
        <v>183.642</v>
      </c>
      <c r="I69">
        <v>202.72319999999999</v>
      </c>
      <c r="J69">
        <v>251.8064</v>
      </c>
      <c r="K69" t="s">
        <v>15</v>
      </c>
    </row>
    <row r="70" spans="1:11" x14ac:dyDescent="0.25">
      <c r="A70" t="s">
        <v>46</v>
      </c>
      <c r="B70" t="s">
        <v>666</v>
      </c>
      <c r="C70">
        <v>0</v>
      </c>
      <c r="D70">
        <v>91.484999999999999</v>
      </c>
      <c r="E70">
        <v>95.338800000000006</v>
      </c>
      <c r="F70">
        <v>100.0128</v>
      </c>
      <c r="G70">
        <v>113.3844</v>
      </c>
      <c r="H70">
        <v>162.41540000000001</v>
      </c>
      <c r="I70">
        <v>223.40430000000001</v>
      </c>
      <c r="J70">
        <v>248.50569999999999</v>
      </c>
      <c r="K70" t="s">
        <v>15</v>
      </c>
    </row>
    <row r="71" spans="1:11" x14ac:dyDescent="0.25">
      <c r="A71" t="s">
        <v>46</v>
      </c>
      <c r="B71" t="s">
        <v>675</v>
      </c>
      <c r="C71">
        <v>0</v>
      </c>
      <c r="D71">
        <v>224.679</v>
      </c>
      <c r="E71">
        <v>151.1199</v>
      </c>
      <c r="F71">
        <v>155.45590000000001</v>
      </c>
      <c r="G71">
        <v>223.3038</v>
      </c>
      <c r="H71">
        <v>252.07259999999999</v>
      </c>
      <c r="I71">
        <v>282.42360000000002</v>
      </c>
      <c r="J71">
        <v>292.66140000000001</v>
      </c>
      <c r="K71" t="s">
        <v>15</v>
      </c>
    </row>
    <row r="72" spans="1:11" x14ac:dyDescent="0.25">
      <c r="A72" t="s">
        <v>46</v>
      </c>
      <c r="B72" t="s">
        <v>684</v>
      </c>
      <c r="C72">
        <v>0</v>
      </c>
      <c r="D72">
        <v>114.41370000000001</v>
      </c>
      <c r="E72">
        <v>110.3965</v>
      </c>
      <c r="F72">
        <v>114.2978</v>
      </c>
      <c r="G72">
        <v>161.86330000000001</v>
      </c>
      <c r="H72">
        <v>166.70840000000001</v>
      </c>
      <c r="I72">
        <v>223.40430000000001</v>
      </c>
      <c r="J72">
        <v>248.50569999999999</v>
      </c>
      <c r="K72" t="s">
        <v>15</v>
      </c>
    </row>
    <row r="73" spans="1:11" x14ac:dyDescent="0.25">
      <c r="A73" t="s">
        <v>46</v>
      </c>
      <c r="B73" t="s">
        <v>693</v>
      </c>
      <c r="C73">
        <v>0</v>
      </c>
      <c r="D73">
        <v>388.55720000000002</v>
      </c>
      <c r="E73">
        <v>384.9615</v>
      </c>
      <c r="F73">
        <v>393.49579999999997</v>
      </c>
      <c r="G73">
        <v>545.60170000000005</v>
      </c>
      <c r="H73">
        <v>553.30830000000003</v>
      </c>
      <c r="I73">
        <v>760.85889999999995</v>
      </c>
      <c r="J73">
        <v>763.46460000000002</v>
      </c>
      <c r="K73" t="s">
        <v>15</v>
      </c>
    </row>
    <row r="74" spans="1:11" x14ac:dyDescent="0.25">
      <c r="A74" t="s">
        <v>46</v>
      </c>
      <c r="B74" t="s">
        <v>702</v>
      </c>
      <c r="C74">
        <v>0</v>
      </c>
      <c r="D74">
        <v>117.7953</v>
      </c>
      <c r="E74">
        <v>110.16370000000001</v>
      </c>
      <c r="F74">
        <v>113.4148</v>
      </c>
      <c r="G74">
        <v>161.80340000000001</v>
      </c>
      <c r="H74">
        <v>163.87469999999999</v>
      </c>
      <c r="I74">
        <v>223.40430000000001</v>
      </c>
      <c r="J74">
        <v>248.50569999999999</v>
      </c>
      <c r="K74" t="s">
        <v>15</v>
      </c>
    </row>
    <row r="75" spans="1:11" x14ac:dyDescent="0.25">
      <c r="A75" t="s">
        <v>46</v>
      </c>
      <c r="B75" t="s">
        <v>711</v>
      </c>
      <c r="C75">
        <v>0</v>
      </c>
      <c r="D75">
        <v>365.33390000000003</v>
      </c>
      <c r="E75">
        <v>356.52620000000002</v>
      </c>
      <c r="F75">
        <v>362.08730000000003</v>
      </c>
      <c r="G75">
        <v>524.54319999999996</v>
      </c>
      <c r="H75">
        <v>548.21910000000003</v>
      </c>
      <c r="I75">
        <v>696.85839999999996</v>
      </c>
      <c r="J75">
        <v>704.9778</v>
      </c>
      <c r="K75" t="s">
        <v>15</v>
      </c>
    </row>
    <row r="76" spans="1:11" x14ac:dyDescent="0.25">
      <c r="A76" t="s">
        <v>46</v>
      </c>
      <c r="B76" t="s">
        <v>720</v>
      </c>
      <c r="C76">
        <v>0</v>
      </c>
      <c r="D76">
        <v>403.08080000000001</v>
      </c>
      <c r="E76">
        <v>392.99119999999999</v>
      </c>
      <c r="F76">
        <v>402.31079999999997</v>
      </c>
      <c r="G76">
        <v>547.2441</v>
      </c>
      <c r="H76">
        <v>554.74549999999999</v>
      </c>
      <c r="I76">
        <v>762.96730000000002</v>
      </c>
      <c r="J76">
        <v>765.15840000000003</v>
      </c>
      <c r="K76" t="s">
        <v>15</v>
      </c>
    </row>
    <row r="77" spans="1:11" x14ac:dyDescent="0.25">
      <c r="A77" t="s">
        <v>46</v>
      </c>
      <c r="B77" t="s">
        <v>729</v>
      </c>
      <c r="C77">
        <v>0</v>
      </c>
      <c r="D77">
        <v>342.3184</v>
      </c>
      <c r="E77">
        <v>303.28320000000002</v>
      </c>
      <c r="F77">
        <v>309.65820000000002</v>
      </c>
      <c r="G77">
        <v>441.505</v>
      </c>
      <c r="H77">
        <v>511.0428</v>
      </c>
      <c r="I77">
        <v>369.93310000000002</v>
      </c>
      <c r="J77">
        <v>372.11989999999997</v>
      </c>
      <c r="K77" t="s">
        <v>15</v>
      </c>
    </row>
    <row r="78" spans="1:11" x14ac:dyDescent="0.25">
      <c r="A78" t="s">
        <v>46</v>
      </c>
      <c r="B78" t="s">
        <v>738</v>
      </c>
      <c r="C78">
        <v>0</v>
      </c>
      <c r="D78">
        <v>343.79329999999999</v>
      </c>
      <c r="E78">
        <v>293.85539999999997</v>
      </c>
      <c r="F78">
        <v>299.13600000000002</v>
      </c>
      <c r="G78">
        <v>426.13209999999998</v>
      </c>
      <c r="H78">
        <v>493.98180000000002</v>
      </c>
      <c r="I78">
        <v>570.33510000000001</v>
      </c>
      <c r="J78">
        <v>586.30859999999996</v>
      </c>
      <c r="K78" t="s">
        <v>15</v>
      </c>
    </row>
    <row r="79" spans="1:11" x14ac:dyDescent="0.25">
      <c r="A79" t="s">
        <v>46</v>
      </c>
      <c r="B79" t="s">
        <v>747</v>
      </c>
      <c r="C79">
        <v>0</v>
      </c>
      <c r="D79">
        <v>370.40269999999998</v>
      </c>
      <c r="E79">
        <v>358.11610000000002</v>
      </c>
      <c r="F79">
        <v>365.3372</v>
      </c>
      <c r="G79">
        <v>526.92819999999995</v>
      </c>
      <c r="H79">
        <v>548.50360000000001</v>
      </c>
      <c r="I79">
        <v>705.33789999999999</v>
      </c>
      <c r="J79">
        <v>725.23839999999996</v>
      </c>
      <c r="K79" t="s">
        <v>15</v>
      </c>
    </row>
    <row r="80" spans="1:11" x14ac:dyDescent="0.25">
      <c r="A80" t="s">
        <v>46</v>
      </c>
      <c r="B80" t="s">
        <v>756</v>
      </c>
      <c r="C80">
        <v>0</v>
      </c>
      <c r="D80">
        <v>428.98829999999998</v>
      </c>
      <c r="E80">
        <v>413.59879999999998</v>
      </c>
      <c r="F80">
        <v>418.42739999999998</v>
      </c>
      <c r="G80">
        <v>602.61180000000002</v>
      </c>
      <c r="H80">
        <v>671.1925</v>
      </c>
      <c r="I80">
        <v>792.84699999999998</v>
      </c>
      <c r="J80">
        <v>808.29459999999995</v>
      </c>
      <c r="K80" t="s">
        <v>15</v>
      </c>
    </row>
    <row r="81" spans="1:11" x14ac:dyDescent="0.25">
      <c r="A81" t="s">
        <v>46</v>
      </c>
      <c r="B81" t="s">
        <v>765</v>
      </c>
      <c r="C81">
        <v>0</v>
      </c>
      <c r="D81">
        <v>563.95100000000002</v>
      </c>
      <c r="E81">
        <v>636.03629999999998</v>
      </c>
      <c r="F81">
        <v>679.94560000000001</v>
      </c>
      <c r="G81">
        <v>787.73249999999996</v>
      </c>
      <c r="H81">
        <v>821.80119999999999</v>
      </c>
      <c r="I81">
        <v>910.70740000000001</v>
      </c>
      <c r="J81">
        <v>914.56290000000001</v>
      </c>
      <c r="K81" t="s">
        <v>15</v>
      </c>
    </row>
    <row r="82" spans="1:11" x14ac:dyDescent="0.25">
      <c r="A82" t="s">
        <v>46</v>
      </c>
      <c r="B82" t="s">
        <v>774</v>
      </c>
      <c r="C82">
        <v>0</v>
      </c>
      <c r="D82">
        <v>394.3811</v>
      </c>
      <c r="E82">
        <v>393.96879999999999</v>
      </c>
      <c r="F82">
        <v>402.50310000000002</v>
      </c>
      <c r="G82">
        <v>547.44410000000005</v>
      </c>
      <c r="H82">
        <v>554.92039999999997</v>
      </c>
      <c r="I82">
        <v>763.16729999999995</v>
      </c>
      <c r="J82">
        <v>765.3646</v>
      </c>
      <c r="K82" t="s">
        <v>15</v>
      </c>
    </row>
    <row r="83" spans="1:11" x14ac:dyDescent="0.25">
      <c r="A83" t="s">
        <v>46</v>
      </c>
      <c r="B83" t="s">
        <v>783</v>
      </c>
      <c r="C83">
        <v>0</v>
      </c>
      <c r="D83">
        <v>363.14089999999999</v>
      </c>
      <c r="E83">
        <v>351.1164</v>
      </c>
      <c r="F83">
        <v>356.67739999999998</v>
      </c>
      <c r="G83">
        <v>516.42840000000001</v>
      </c>
      <c r="H83">
        <v>547.25080000000003</v>
      </c>
      <c r="I83">
        <v>685.66970000000003</v>
      </c>
      <c r="J83">
        <v>703.83659999999998</v>
      </c>
      <c r="K83" t="s">
        <v>15</v>
      </c>
    </row>
    <row r="84" spans="1:11" x14ac:dyDescent="0.25">
      <c r="A84" t="s">
        <v>46</v>
      </c>
      <c r="B84" t="s">
        <v>792</v>
      </c>
      <c r="C84">
        <v>0</v>
      </c>
      <c r="D84">
        <v>439.6388</v>
      </c>
      <c r="E84">
        <v>460.81259999999997</v>
      </c>
      <c r="F84">
        <v>463.12470000000002</v>
      </c>
      <c r="G84">
        <v>669.25149999999996</v>
      </c>
      <c r="H84">
        <v>778.63220000000001</v>
      </c>
      <c r="I84">
        <v>867.36069999999995</v>
      </c>
      <c r="J84">
        <v>869.86159999999995</v>
      </c>
      <c r="K84" t="s">
        <v>15</v>
      </c>
    </row>
    <row r="85" spans="1:11" x14ac:dyDescent="0.25">
      <c r="A85" t="s">
        <v>46</v>
      </c>
      <c r="B85" t="s">
        <v>801</v>
      </c>
      <c r="C85">
        <v>0</v>
      </c>
      <c r="D85">
        <v>424.67660000000001</v>
      </c>
      <c r="E85">
        <v>346.00450000000001</v>
      </c>
      <c r="F85">
        <v>352.99430000000001</v>
      </c>
      <c r="G85">
        <v>511.32229999999998</v>
      </c>
      <c r="H85">
        <v>546.76300000000003</v>
      </c>
      <c r="I85">
        <v>680.03250000000003</v>
      </c>
      <c r="J85">
        <v>699.30449999999996</v>
      </c>
      <c r="K85" t="s">
        <v>15</v>
      </c>
    </row>
    <row r="86" spans="1:11" x14ac:dyDescent="0.25">
      <c r="A86" t="s">
        <v>46</v>
      </c>
      <c r="B86" t="s">
        <v>810</v>
      </c>
      <c r="C86">
        <v>0</v>
      </c>
      <c r="D86">
        <v>357.90789999999998</v>
      </c>
      <c r="E86">
        <v>268.98340000000002</v>
      </c>
      <c r="F86">
        <v>271.03539999999998</v>
      </c>
      <c r="G86">
        <v>385.48579999999998</v>
      </c>
      <c r="H86">
        <v>445.46069999999997</v>
      </c>
      <c r="I86">
        <v>511.17439999999999</v>
      </c>
      <c r="J86">
        <v>525.52629999999999</v>
      </c>
      <c r="K86" t="s">
        <v>15</v>
      </c>
    </row>
    <row r="87" spans="1:11" x14ac:dyDescent="0.25">
      <c r="A87" t="s">
        <v>46</v>
      </c>
      <c r="B87" t="s">
        <v>819</v>
      </c>
      <c r="C87">
        <v>0</v>
      </c>
      <c r="D87">
        <v>114.331</v>
      </c>
      <c r="E87">
        <v>110.16370000000001</v>
      </c>
      <c r="F87">
        <v>113.4148</v>
      </c>
      <c r="G87">
        <v>161.86330000000001</v>
      </c>
      <c r="H87">
        <v>166.70840000000001</v>
      </c>
      <c r="I87">
        <v>223.40430000000001</v>
      </c>
      <c r="J87">
        <v>248.50569999999999</v>
      </c>
      <c r="K87" t="s">
        <v>15</v>
      </c>
    </row>
    <row r="88" spans="1:11" x14ac:dyDescent="0.25">
      <c r="A88" t="s">
        <v>46</v>
      </c>
      <c r="B88" t="s">
        <v>828</v>
      </c>
      <c r="C88">
        <v>0</v>
      </c>
      <c r="D88">
        <v>195.0198</v>
      </c>
      <c r="E88">
        <v>126.0908</v>
      </c>
      <c r="F88">
        <v>128.006</v>
      </c>
      <c r="G88">
        <v>185.3057</v>
      </c>
      <c r="H88">
        <v>211.0616</v>
      </c>
      <c r="I88">
        <v>242.7081</v>
      </c>
      <c r="J88">
        <v>249.7851</v>
      </c>
      <c r="K88" t="s">
        <v>15</v>
      </c>
    </row>
    <row r="89" spans="1:11" x14ac:dyDescent="0.25">
      <c r="A89" t="s">
        <v>46</v>
      </c>
      <c r="B89" t="s">
        <v>837</v>
      </c>
      <c r="C89">
        <v>0</v>
      </c>
      <c r="D89">
        <v>349.06580000000002</v>
      </c>
      <c r="E89">
        <v>320.13650000000001</v>
      </c>
      <c r="F89">
        <v>324.29320000000001</v>
      </c>
      <c r="G89">
        <v>463.17239999999998</v>
      </c>
      <c r="H89">
        <v>537.27930000000003</v>
      </c>
      <c r="I89">
        <v>621.59780000000001</v>
      </c>
      <c r="J89">
        <v>639.04349999999999</v>
      </c>
      <c r="K89" t="s">
        <v>15</v>
      </c>
    </row>
    <row r="90" spans="1:11" x14ac:dyDescent="0.25">
      <c r="A90" t="s">
        <v>46</v>
      </c>
      <c r="B90" t="s">
        <v>846</v>
      </c>
      <c r="C90">
        <v>0</v>
      </c>
      <c r="D90">
        <v>269.65269999999998</v>
      </c>
      <c r="E90">
        <v>187.19890000000001</v>
      </c>
      <c r="F90">
        <v>193.1591</v>
      </c>
      <c r="G90">
        <v>277.71480000000003</v>
      </c>
      <c r="H90">
        <v>318.47500000000002</v>
      </c>
      <c r="I90">
        <v>332.22219999999999</v>
      </c>
      <c r="J90">
        <v>333.54399999999998</v>
      </c>
      <c r="K90" t="s">
        <v>15</v>
      </c>
    </row>
    <row r="91" spans="1:11" x14ac:dyDescent="0.25">
      <c r="A91" t="s">
        <v>46</v>
      </c>
      <c r="B91" t="s">
        <v>855</v>
      </c>
      <c r="C91">
        <v>0</v>
      </c>
      <c r="D91">
        <v>126.4431</v>
      </c>
      <c r="E91">
        <v>111.80200000000001</v>
      </c>
      <c r="F91">
        <v>113.34099999999999</v>
      </c>
      <c r="G91">
        <v>167.10720000000001</v>
      </c>
      <c r="H91">
        <v>197.208</v>
      </c>
      <c r="I91">
        <v>218.774</v>
      </c>
      <c r="J91">
        <v>257.69479999999999</v>
      </c>
      <c r="K91" t="s">
        <v>15</v>
      </c>
    </row>
    <row r="92" spans="1:11" x14ac:dyDescent="0.25">
      <c r="A92" t="s">
        <v>46</v>
      </c>
      <c r="B92" t="s">
        <v>864</v>
      </c>
      <c r="C92">
        <v>0</v>
      </c>
      <c r="D92">
        <v>156.6816</v>
      </c>
      <c r="E92">
        <v>116.248</v>
      </c>
      <c r="F92">
        <v>117.958</v>
      </c>
      <c r="G92">
        <v>174.90479999999999</v>
      </c>
      <c r="H92">
        <v>204.39</v>
      </c>
      <c r="I92">
        <v>228.2132</v>
      </c>
      <c r="J92">
        <v>269.59640000000002</v>
      </c>
      <c r="K92" t="s">
        <v>15</v>
      </c>
    </row>
    <row r="93" spans="1:11" x14ac:dyDescent="0.25">
      <c r="A93" t="s">
        <v>46</v>
      </c>
      <c r="B93" t="s">
        <v>873</v>
      </c>
      <c r="C93">
        <v>0</v>
      </c>
      <c r="D93">
        <v>534.90380000000005</v>
      </c>
      <c r="E93">
        <v>602.15530000000001</v>
      </c>
      <c r="F93">
        <v>604.07029999999997</v>
      </c>
      <c r="G93">
        <v>741.21939999999995</v>
      </c>
      <c r="H93">
        <v>808.37739999999997</v>
      </c>
      <c r="I93">
        <v>895.36599999999999</v>
      </c>
      <c r="J93">
        <v>898.74210000000005</v>
      </c>
      <c r="K93" t="s">
        <v>15</v>
      </c>
    </row>
    <row r="94" spans="1:11" x14ac:dyDescent="0.25">
      <c r="A94" t="s">
        <v>46</v>
      </c>
      <c r="B94" t="s">
        <v>882</v>
      </c>
      <c r="C94">
        <v>0</v>
      </c>
      <c r="D94">
        <v>468.9282</v>
      </c>
      <c r="E94">
        <v>424.36489999999998</v>
      </c>
      <c r="F94">
        <v>428.31790000000001</v>
      </c>
      <c r="G94">
        <v>618.76089999999999</v>
      </c>
      <c r="H94">
        <v>673.11940000000004</v>
      </c>
      <c r="I94">
        <v>808.27099999999996</v>
      </c>
      <c r="J94">
        <v>810.56560000000002</v>
      </c>
      <c r="K94" t="s">
        <v>15</v>
      </c>
    </row>
    <row r="95" spans="1:11" x14ac:dyDescent="0.25">
      <c r="A95" t="s">
        <v>46</v>
      </c>
      <c r="B95" t="s">
        <v>891</v>
      </c>
      <c r="C95">
        <v>0</v>
      </c>
      <c r="D95">
        <v>220.35900000000001</v>
      </c>
      <c r="E95">
        <v>144.0487</v>
      </c>
      <c r="F95">
        <v>146.6063</v>
      </c>
      <c r="G95">
        <v>209.4442</v>
      </c>
      <c r="H95">
        <v>238.0377</v>
      </c>
      <c r="I95">
        <v>278.18650000000002</v>
      </c>
      <c r="J95">
        <v>288.36829999999998</v>
      </c>
      <c r="K95" t="s">
        <v>15</v>
      </c>
    </row>
    <row r="96" spans="1:11" x14ac:dyDescent="0.25">
      <c r="A96" t="s">
        <v>46</v>
      </c>
      <c r="B96" t="s">
        <v>900</v>
      </c>
      <c r="C96">
        <v>0</v>
      </c>
      <c r="D96">
        <v>270.5761</v>
      </c>
      <c r="E96">
        <v>200.3031</v>
      </c>
      <c r="F96">
        <v>206.26339999999999</v>
      </c>
      <c r="G96">
        <v>296.2047</v>
      </c>
      <c r="H96">
        <v>339.67500000000001</v>
      </c>
      <c r="I96">
        <v>394.57780000000002</v>
      </c>
      <c r="J96">
        <v>405.44830000000002</v>
      </c>
      <c r="K96" t="s">
        <v>15</v>
      </c>
    </row>
    <row r="97" spans="1:11" x14ac:dyDescent="0.25">
      <c r="A97" t="s">
        <v>46</v>
      </c>
      <c r="B97" t="s">
        <v>909</v>
      </c>
      <c r="C97">
        <v>0</v>
      </c>
      <c r="D97">
        <v>269.93509999999998</v>
      </c>
      <c r="E97">
        <v>207.69120000000001</v>
      </c>
      <c r="F97">
        <v>213.6515</v>
      </c>
      <c r="G97">
        <v>311.33839999999998</v>
      </c>
      <c r="H97">
        <v>354.33670000000001</v>
      </c>
      <c r="I97">
        <v>297.68299999999999</v>
      </c>
      <c r="J97">
        <v>299.17939999999999</v>
      </c>
      <c r="K97" t="s">
        <v>15</v>
      </c>
    </row>
    <row r="98" spans="1:11" x14ac:dyDescent="0.25">
      <c r="A98" t="s">
        <v>37</v>
      </c>
      <c r="B98" t="s">
        <v>47</v>
      </c>
      <c r="C98">
        <v>0</v>
      </c>
      <c r="D98">
        <v>130.7808</v>
      </c>
      <c r="E98">
        <v>148.91820000000001</v>
      </c>
      <c r="F98">
        <v>155.3364</v>
      </c>
      <c r="G98">
        <v>190.02119999999999</v>
      </c>
      <c r="H98">
        <v>205.2</v>
      </c>
      <c r="I98">
        <v>284.24759999999998</v>
      </c>
      <c r="J98">
        <v>306.11279999999999</v>
      </c>
      <c r="K98" t="s">
        <v>15</v>
      </c>
    </row>
    <row r="99" spans="1:11" x14ac:dyDescent="0.25">
      <c r="A99" t="s">
        <v>37</v>
      </c>
      <c r="B99" t="s">
        <v>56</v>
      </c>
      <c r="C99">
        <v>0</v>
      </c>
      <c r="D99">
        <v>184.9194</v>
      </c>
      <c r="E99">
        <v>204.53649999999999</v>
      </c>
      <c r="F99">
        <v>222.3</v>
      </c>
      <c r="G99">
        <v>242.91120000000001</v>
      </c>
      <c r="H99">
        <v>262.00799999999998</v>
      </c>
      <c r="I99">
        <v>387.07229999999998</v>
      </c>
      <c r="J99">
        <v>391.99709999999999</v>
      </c>
      <c r="K99" t="s">
        <v>15</v>
      </c>
    </row>
    <row r="100" spans="1:11" x14ac:dyDescent="0.25">
      <c r="A100" t="s">
        <v>37</v>
      </c>
      <c r="B100" t="s">
        <v>46</v>
      </c>
      <c r="C100">
        <v>0</v>
      </c>
      <c r="D100">
        <v>192.11279999999999</v>
      </c>
      <c r="E100">
        <v>241.3152</v>
      </c>
      <c r="F100">
        <v>262.2</v>
      </c>
      <c r="G100">
        <v>306.20049999999998</v>
      </c>
      <c r="H100">
        <v>337.37240000000003</v>
      </c>
      <c r="I100">
        <v>498.34309999999999</v>
      </c>
      <c r="J100">
        <v>519.31439999999998</v>
      </c>
      <c r="K100" t="s">
        <v>15</v>
      </c>
    </row>
    <row r="101" spans="1:11" x14ac:dyDescent="0.25">
      <c r="A101" t="s">
        <v>37</v>
      </c>
      <c r="B101" t="s">
        <v>73</v>
      </c>
      <c r="C101">
        <v>0</v>
      </c>
      <c r="D101">
        <v>415.43880000000001</v>
      </c>
      <c r="E101">
        <v>481.78680000000003</v>
      </c>
      <c r="F101">
        <v>498.89819999999997</v>
      </c>
      <c r="G101">
        <v>579.89520000000005</v>
      </c>
      <c r="H101">
        <v>599.86800000000005</v>
      </c>
      <c r="I101">
        <v>792.34550000000002</v>
      </c>
      <c r="J101">
        <v>809.01239999999996</v>
      </c>
      <c r="K101" t="s">
        <v>15</v>
      </c>
    </row>
    <row r="102" spans="1:11" x14ac:dyDescent="0.25">
      <c r="A102" t="s">
        <v>37</v>
      </c>
      <c r="B102" t="s">
        <v>82</v>
      </c>
      <c r="C102">
        <v>0</v>
      </c>
      <c r="D102">
        <v>143.63999999999999</v>
      </c>
      <c r="E102">
        <v>184.68</v>
      </c>
      <c r="F102">
        <v>191.1096</v>
      </c>
      <c r="G102">
        <v>259.07639999999998</v>
      </c>
      <c r="H102">
        <v>270.31740000000002</v>
      </c>
      <c r="I102">
        <v>380.1216</v>
      </c>
      <c r="J102">
        <v>404.97359999999998</v>
      </c>
      <c r="K102" t="s">
        <v>15</v>
      </c>
    </row>
    <row r="103" spans="1:11" x14ac:dyDescent="0.25">
      <c r="A103" t="s">
        <v>37</v>
      </c>
      <c r="B103" t="s">
        <v>91</v>
      </c>
      <c r="C103">
        <v>0</v>
      </c>
      <c r="D103">
        <v>177.41820000000001</v>
      </c>
      <c r="E103">
        <v>206.56800000000001</v>
      </c>
      <c r="F103">
        <v>219.33600000000001</v>
      </c>
      <c r="G103">
        <v>258.05040000000002</v>
      </c>
      <c r="H103">
        <v>287.44799999999998</v>
      </c>
      <c r="I103">
        <v>413.3578</v>
      </c>
      <c r="J103">
        <v>437.09879999999998</v>
      </c>
      <c r="K103" t="s">
        <v>15</v>
      </c>
    </row>
    <row r="104" spans="1:11" x14ac:dyDescent="0.25">
      <c r="A104" t="s">
        <v>37</v>
      </c>
      <c r="B104" t="s">
        <v>100</v>
      </c>
      <c r="C104">
        <v>0</v>
      </c>
      <c r="D104">
        <v>273.7824</v>
      </c>
      <c r="E104">
        <v>349.1859</v>
      </c>
      <c r="F104">
        <v>376.26859999999999</v>
      </c>
      <c r="G104">
        <v>401.7242</v>
      </c>
      <c r="H104">
        <v>461.96980000000002</v>
      </c>
      <c r="I104">
        <v>546.79219999999998</v>
      </c>
      <c r="J104">
        <v>600.82560000000001</v>
      </c>
      <c r="K104" t="s">
        <v>15</v>
      </c>
    </row>
    <row r="105" spans="1:11" x14ac:dyDescent="0.25">
      <c r="A105" t="s">
        <v>37</v>
      </c>
      <c r="B105" t="s">
        <v>109</v>
      </c>
      <c r="C105">
        <v>0</v>
      </c>
      <c r="D105">
        <v>173.69040000000001</v>
      </c>
      <c r="E105">
        <v>215.6994</v>
      </c>
      <c r="F105">
        <v>224.69399999999999</v>
      </c>
      <c r="G105">
        <v>230.05199999999999</v>
      </c>
      <c r="H105">
        <v>259.92</v>
      </c>
      <c r="I105">
        <v>395.4325</v>
      </c>
      <c r="J105">
        <v>436.803</v>
      </c>
      <c r="K105" t="s">
        <v>15</v>
      </c>
    </row>
    <row r="106" spans="1:11" x14ac:dyDescent="0.25">
      <c r="A106" t="s">
        <v>37</v>
      </c>
      <c r="B106" t="s">
        <v>118</v>
      </c>
      <c r="C106">
        <v>0</v>
      </c>
      <c r="D106">
        <v>141.5994</v>
      </c>
      <c r="E106">
        <v>155.36680000000001</v>
      </c>
      <c r="F106">
        <v>166.1284</v>
      </c>
      <c r="G106">
        <v>184.6344</v>
      </c>
      <c r="H106">
        <v>190.43700000000001</v>
      </c>
      <c r="I106">
        <v>311.35680000000002</v>
      </c>
      <c r="J106">
        <v>333.06240000000003</v>
      </c>
      <c r="K106" t="s">
        <v>15</v>
      </c>
    </row>
    <row r="107" spans="1:11" x14ac:dyDescent="0.25">
      <c r="A107" t="s">
        <v>37</v>
      </c>
      <c r="B107" t="s">
        <v>127</v>
      </c>
      <c r="C107">
        <v>0</v>
      </c>
      <c r="D107">
        <v>166.64519999999999</v>
      </c>
      <c r="E107">
        <v>205.91820000000001</v>
      </c>
      <c r="F107">
        <v>212.09700000000001</v>
      </c>
      <c r="G107">
        <v>230.05199999999999</v>
      </c>
      <c r="H107">
        <v>241.11</v>
      </c>
      <c r="I107">
        <v>389.81689999999998</v>
      </c>
      <c r="J107">
        <v>441.23930000000001</v>
      </c>
      <c r="K107" t="s">
        <v>15</v>
      </c>
    </row>
    <row r="108" spans="1:11" x14ac:dyDescent="0.25">
      <c r="A108" t="s">
        <v>37</v>
      </c>
      <c r="B108" t="s">
        <v>136</v>
      </c>
      <c r="C108">
        <v>0</v>
      </c>
      <c r="D108">
        <v>170.47559999999999</v>
      </c>
      <c r="E108">
        <v>202.22329999999999</v>
      </c>
      <c r="F108">
        <v>220.79519999999999</v>
      </c>
      <c r="G108">
        <v>250.8</v>
      </c>
      <c r="H108">
        <v>274.79700000000003</v>
      </c>
      <c r="I108">
        <v>398.11079999999998</v>
      </c>
      <c r="J108">
        <v>427.27199999999999</v>
      </c>
      <c r="K108" t="s">
        <v>15</v>
      </c>
    </row>
    <row r="109" spans="1:11" x14ac:dyDescent="0.25">
      <c r="A109" t="s">
        <v>37</v>
      </c>
      <c r="B109" t="s">
        <v>145</v>
      </c>
      <c r="C109">
        <v>0</v>
      </c>
      <c r="D109">
        <v>289.94760000000002</v>
      </c>
      <c r="E109">
        <v>377.62290000000002</v>
      </c>
      <c r="F109">
        <v>399.39440000000002</v>
      </c>
      <c r="G109">
        <v>430.47489999999999</v>
      </c>
      <c r="H109">
        <v>477.71879999999999</v>
      </c>
      <c r="I109">
        <v>554.12040000000002</v>
      </c>
      <c r="J109">
        <v>617.92560000000003</v>
      </c>
      <c r="K109" t="s">
        <v>15</v>
      </c>
    </row>
    <row r="110" spans="1:11" x14ac:dyDescent="0.25">
      <c r="A110" t="s">
        <v>37</v>
      </c>
      <c r="B110" t="s">
        <v>154</v>
      </c>
      <c r="C110">
        <v>0</v>
      </c>
      <c r="D110">
        <v>116.8728</v>
      </c>
      <c r="E110">
        <v>164.69579999999999</v>
      </c>
      <c r="F110">
        <v>182.4</v>
      </c>
      <c r="G110">
        <v>196.6728</v>
      </c>
      <c r="H110">
        <v>217.8528</v>
      </c>
      <c r="I110">
        <v>286.36799999999999</v>
      </c>
      <c r="J110">
        <v>302.92079999999999</v>
      </c>
      <c r="K110" t="s">
        <v>15</v>
      </c>
    </row>
    <row r="111" spans="1:11" x14ac:dyDescent="0.25">
      <c r="A111" t="s">
        <v>37</v>
      </c>
      <c r="B111" t="s">
        <v>163</v>
      </c>
      <c r="C111">
        <v>0</v>
      </c>
      <c r="D111">
        <v>404.97359999999998</v>
      </c>
      <c r="E111">
        <v>443.68799999999999</v>
      </c>
      <c r="F111">
        <v>456.29640000000001</v>
      </c>
      <c r="G111">
        <v>492.43439999999998</v>
      </c>
      <c r="H111">
        <v>529.64400000000001</v>
      </c>
      <c r="I111">
        <v>799.09630000000004</v>
      </c>
      <c r="J111">
        <v>874.60799999999995</v>
      </c>
      <c r="K111" t="s">
        <v>15</v>
      </c>
    </row>
    <row r="112" spans="1:11" x14ac:dyDescent="0.25">
      <c r="A112" t="s">
        <v>37</v>
      </c>
      <c r="B112" t="s">
        <v>172</v>
      </c>
      <c r="C112">
        <v>0</v>
      </c>
      <c r="D112">
        <v>302.34460000000001</v>
      </c>
      <c r="E112">
        <v>378.58049999999997</v>
      </c>
      <c r="F112">
        <v>400.35199999999998</v>
      </c>
      <c r="G112">
        <v>435.14890000000003</v>
      </c>
      <c r="H112">
        <v>482.56380000000001</v>
      </c>
      <c r="I112">
        <v>554.12040000000002</v>
      </c>
      <c r="J112">
        <v>633.55999999999995</v>
      </c>
      <c r="K112" t="s">
        <v>15</v>
      </c>
    </row>
    <row r="113" spans="1:11" x14ac:dyDescent="0.25">
      <c r="A113" t="s">
        <v>37</v>
      </c>
      <c r="B113" t="s">
        <v>181</v>
      </c>
      <c r="C113">
        <v>0</v>
      </c>
      <c r="D113">
        <v>142.79640000000001</v>
      </c>
      <c r="E113">
        <v>173.72579999999999</v>
      </c>
      <c r="F113">
        <v>182.94720000000001</v>
      </c>
      <c r="G113">
        <v>190.34030000000001</v>
      </c>
      <c r="H113">
        <v>191.08959999999999</v>
      </c>
      <c r="I113">
        <v>296.065</v>
      </c>
      <c r="J113">
        <v>298.21960000000001</v>
      </c>
      <c r="K113" t="s">
        <v>15</v>
      </c>
    </row>
    <row r="114" spans="1:11" x14ac:dyDescent="0.25">
      <c r="A114" t="s">
        <v>37</v>
      </c>
      <c r="B114" t="s">
        <v>190</v>
      </c>
      <c r="C114">
        <v>0</v>
      </c>
      <c r="D114">
        <v>179.9376</v>
      </c>
      <c r="E114">
        <v>195.21360000000001</v>
      </c>
      <c r="F114">
        <v>205.2</v>
      </c>
      <c r="G114">
        <v>231.62520000000001</v>
      </c>
      <c r="H114">
        <v>260.46899999999999</v>
      </c>
      <c r="I114">
        <v>382.85680000000002</v>
      </c>
      <c r="J114">
        <v>416.08859999999999</v>
      </c>
      <c r="K114" t="s">
        <v>15</v>
      </c>
    </row>
    <row r="115" spans="1:11" x14ac:dyDescent="0.25">
      <c r="A115" t="s">
        <v>37</v>
      </c>
      <c r="B115" t="s">
        <v>199</v>
      </c>
      <c r="C115">
        <v>0</v>
      </c>
      <c r="D115">
        <v>328.16419999999999</v>
      </c>
      <c r="E115">
        <v>356.51220000000001</v>
      </c>
      <c r="F115">
        <v>392.20960000000002</v>
      </c>
      <c r="G115">
        <v>417.89089999999999</v>
      </c>
      <c r="H115">
        <v>460.50299999999999</v>
      </c>
      <c r="I115">
        <v>574.1952</v>
      </c>
      <c r="J115">
        <v>600.82560000000001</v>
      </c>
      <c r="K115" t="s">
        <v>15</v>
      </c>
    </row>
    <row r="116" spans="1:11" x14ac:dyDescent="0.25">
      <c r="A116" t="s">
        <v>37</v>
      </c>
      <c r="B116" t="s">
        <v>208</v>
      </c>
      <c r="C116">
        <v>0</v>
      </c>
      <c r="D116">
        <v>97.618200000000002</v>
      </c>
      <c r="E116">
        <v>125.4</v>
      </c>
      <c r="F116">
        <v>127.90560000000001</v>
      </c>
      <c r="G116">
        <v>161.28299999999999</v>
      </c>
      <c r="H116">
        <v>166.041</v>
      </c>
      <c r="I116">
        <v>246.90110000000001</v>
      </c>
      <c r="J116">
        <v>281.14679999999998</v>
      </c>
      <c r="K116" t="s">
        <v>15</v>
      </c>
    </row>
    <row r="117" spans="1:11" x14ac:dyDescent="0.25">
      <c r="A117" t="s">
        <v>37</v>
      </c>
      <c r="B117" t="s">
        <v>217</v>
      </c>
      <c r="C117">
        <v>0</v>
      </c>
      <c r="D117">
        <v>112.8486</v>
      </c>
      <c r="E117">
        <v>143.4067</v>
      </c>
      <c r="F117">
        <v>154.66059999999999</v>
      </c>
      <c r="G117">
        <v>170.14750000000001</v>
      </c>
      <c r="H117">
        <v>184.76259999999999</v>
      </c>
      <c r="I117">
        <v>219.7449</v>
      </c>
      <c r="J117">
        <v>244.90010000000001</v>
      </c>
      <c r="K117" t="s">
        <v>15</v>
      </c>
    </row>
    <row r="118" spans="1:11" x14ac:dyDescent="0.25">
      <c r="A118" t="s">
        <v>37</v>
      </c>
      <c r="B118" t="s">
        <v>226</v>
      </c>
      <c r="C118">
        <v>0</v>
      </c>
      <c r="D118">
        <v>162.80670000000001</v>
      </c>
      <c r="E118">
        <v>198.80950000000001</v>
      </c>
      <c r="F118">
        <v>219.0026</v>
      </c>
      <c r="G118">
        <v>246.73580000000001</v>
      </c>
      <c r="H118">
        <v>271.81360000000001</v>
      </c>
      <c r="I118">
        <v>337.51760000000002</v>
      </c>
      <c r="J118">
        <v>369.81200000000001</v>
      </c>
      <c r="K118" t="s">
        <v>15</v>
      </c>
    </row>
    <row r="119" spans="1:11" x14ac:dyDescent="0.25">
      <c r="A119" t="s">
        <v>37</v>
      </c>
      <c r="B119" t="s">
        <v>235</v>
      </c>
      <c r="C119">
        <v>0</v>
      </c>
      <c r="D119">
        <v>353.49119999999999</v>
      </c>
      <c r="E119">
        <v>410.63940000000002</v>
      </c>
      <c r="F119">
        <v>435.59399999999999</v>
      </c>
      <c r="G119">
        <v>493.48320000000001</v>
      </c>
      <c r="H119">
        <v>536.65499999999997</v>
      </c>
      <c r="I119">
        <v>701.37360000000001</v>
      </c>
      <c r="J119">
        <v>724.17359999999996</v>
      </c>
      <c r="K119" t="s">
        <v>15</v>
      </c>
    </row>
    <row r="120" spans="1:11" x14ac:dyDescent="0.25">
      <c r="A120" t="s">
        <v>37</v>
      </c>
      <c r="B120" t="s">
        <v>244</v>
      </c>
      <c r="C120">
        <v>0</v>
      </c>
      <c r="D120">
        <v>106.79519999999999</v>
      </c>
      <c r="E120">
        <v>143.86799999999999</v>
      </c>
      <c r="F120">
        <v>160.42080000000001</v>
      </c>
      <c r="G120">
        <v>179.05250000000001</v>
      </c>
      <c r="H120">
        <v>187.1566</v>
      </c>
      <c r="I120">
        <v>259.19099999999997</v>
      </c>
      <c r="J120">
        <v>290.52159999999998</v>
      </c>
      <c r="K120" t="s">
        <v>15</v>
      </c>
    </row>
    <row r="121" spans="1:11" x14ac:dyDescent="0.25">
      <c r="A121" t="s">
        <v>37</v>
      </c>
      <c r="B121" t="s">
        <v>253</v>
      </c>
      <c r="C121">
        <v>0</v>
      </c>
      <c r="D121">
        <v>126.0305</v>
      </c>
      <c r="E121">
        <v>137.63589999999999</v>
      </c>
      <c r="F121">
        <v>152.16720000000001</v>
      </c>
      <c r="G121">
        <v>184.59469999999999</v>
      </c>
      <c r="H121">
        <v>190.40559999999999</v>
      </c>
      <c r="I121">
        <v>327.56760000000003</v>
      </c>
      <c r="J121">
        <v>337.62240000000003</v>
      </c>
      <c r="K121" t="s">
        <v>15</v>
      </c>
    </row>
    <row r="122" spans="1:11" x14ac:dyDescent="0.25">
      <c r="A122" t="s">
        <v>37</v>
      </c>
      <c r="B122" t="s">
        <v>37</v>
      </c>
      <c r="C122">
        <v>0</v>
      </c>
      <c r="D122">
        <v>63.998199999999997</v>
      </c>
      <c r="E122">
        <v>72.435599999999994</v>
      </c>
      <c r="F122">
        <v>79.8</v>
      </c>
      <c r="G122">
        <v>91.2</v>
      </c>
      <c r="H122">
        <v>87.92</v>
      </c>
      <c r="I122">
        <v>110.81100000000001</v>
      </c>
      <c r="J122">
        <v>110.4007</v>
      </c>
      <c r="K122" t="s">
        <v>15</v>
      </c>
    </row>
    <row r="123" spans="1:11" x14ac:dyDescent="0.25">
      <c r="A123" t="s">
        <v>37</v>
      </c>
      <c r="B123" t="s">
        <v>270</v>
      </c>
      <c r="C123">
        <v>0</v>
      </c>
      <c r="D123">
        <v>103.626</v>
      </c>
      <c r="E123">
        <v>115.197</v>
      </c>
      <c r="F123">
        <v>127.5475</v>
      </c>
      <c r="G123">
        <v>173.8184</v>
      </c>
      <c r="H123">
        <v>186.92449999999999</v>
      </c>
      <c r="I123">
        <v>231.524</v>
      </c>
      <c r="J123">
        <v>252.8476</v>
      </c>
      <c r="K123" t="s">
        <v>15</v>
      </c>
    </row>
    <row r="124" spans="1:11" x14ac:dyDescent="0.25">
      <c r="A124" t="s">
        <v>37</v>
      </c>
      <c r="B124" t="s">
        <v>279</v>
      </c>
      <c r="C124">
        <v>0</v>
      </c>
      <c r="D124">
        <v>139.19399999999999</v>
      </c>
      <c r="E124">
        <v>178.06800000000001</v>
      </c>
      <c r="F124">
        <v>189.46799999999999</v>
      </c>
      <c r="G124">
        <v>242.09039999999999</v>
      </c>
      <c r="H124">
        <v>271.12959999999998</v>
      </c>
      <c r="I124">
        <v>348.8818</v>
      </c>
      <c r="J124">
        <v>369.89580000000001</v>
      </c>
      <c r="K124" t="s">
        <v>15</v>
      </c>
    </row>
    <row r="125" spans="1:11" x14ac:dyDescent="0.25">
      <c r="A125" t="s">
        <v>37</v>
      </c>
      <c r="B125" t="s">
        <v>288</v>
      </c>
      <c r="C125">
        <v>0</v>
      </c>
      <c r="D125">
        <v>199.59119999999999</v>
      </c>
      <c r="E125">
        <v>248.81639999999999</v>
      </c>
      <c r="F125">
        <v>260.39879999999999</v>
      </c>
      <c r="G125">
        <v>303.92399999999998</v>
      </c>
      <c r="H125">
        <v>295.41399999999999</v>
      </c>
      <c r="I125">
        <v>421.3218</v>
      </c>
      <c r="J125">
        <v>435.72570000000002</v>
      </c>
      <c r="K125" t="s">
        <v>15</v>
      </c>
    </row>
    <row r="126" spans="1:11" x14ac:dyDescent="0.25">
      <c r="A126" t="s">
        <v>37</v>
      </c>
      <c r="B126" t="s">
        <v>297</v>
      </c>
      <c r="C126">
        <v>0</v>
      </c>
      <c r="D126">
        <v>176.7638</v>
      </c>
      <c r="E126">
        <v>194.39060000000001</v>
      </c>
      <c r="F126">
        <v>206.02250000000001</v>
      </c>
      <c r="G126">
        <v>228.04560000000001</v>
      </c>
      <c r="H126">
        <v>270.31740000000002</v>
      </c>
      <c r="I126">
        <v>353.74200000000002</v>
      </c>
      <c r="J126">
        <v>382.17360000000002</v>
      </c>
      <c r="K126" t="s">
        <v>15</v>
      </c>
    </row>
    <row r="127" spans="1:11" x14ac:dyDescent="0.25">
      <c r="A127" t="s">
        <v>37</v>
      </c>
      <c r="B127" t="s">
        <v>306</v>
      </c>
      <c r="C127">
        <v>0</v>
      </c>
      <c r="D127">
        <v>164.0232</v>
      </c>
      <c r="E127">
        <v>205.7928</v>
      </c>
      <c r="F127">
        <v>217.55760000000001</v>
      </c>
      <c r="G127">
        <v>268.4753</v>
      </c>
      <c r="H127">
        <v>273.52359999999999</v>
      </c>
      <c r="I127">
        <v>384.59039999999999</v>
      </c>
      <c r="J127">
        <v>399.27359999999999</v>
      </c>
      <c r="K127" t="s">
        <v>15</v>
      </c>
    </row>
    <row r="128" spans="1:11" x14ac:dyDescent="0.25">
      <c r="A128" t="s">
        <v>37</v>
      </c>
      <c r="B128" t="s">
        <v>315</v>
      </c>
      <c r="C128">
        <v>0</v>
      </c>
      <c r="D128">
        <v>437.30399999999997</v>
      </c>
      <c r="E128">
        <v>509.38619999999997</v>
      </c>
      <c r="F128">
        <v>526.49760000000003</v>
      </c>
      <c r="G128">
        <v>605.71510000000001</v>
      </c>
      <c r="H128">
        <v>643.00319999999999</v>
      </c>
      <c r="I128">
        <v>808.26880000000006</v>
      </c>
      <c r="J128">
        <v>811.34680000000003</v>
      </c>
      <c r="K128" t="s">
        <v>15</v>
      </c>
    </row>
    <row r="129" spans="1:11" x14ac:dyDescent="0.25">
      <c r="A129" t="s">
        <v>37</v>
      </c>
      <c r="B129" t="s">
        <v>324</v>
      </c>
      <c r="C129">
        <v>0</v>
      </c>
      <c r="D129">
        <v>302.34460000000001</v>
      </c>
      <c r="E129">
        <v>379.15469999999999</v>
      </c>
      <c r="F129">
        <v>398.67619999999999</v>
      </c>
      <c r="G129">
        <v>439.87189999999998</v>
      </c>
      <c r="H129">
        <v>458.45100000000002</v>
      </c>
      <c r="I129">
        <v>562.3356</v>
      </c>
      <c r="J129">
        <v>641.97320000000002</v>
      </c>
      <c r="K129" t="s">
        <v>15</v>
      </c>
    </row>
    <row r="130" spans="1:11" x14ac:dyDescent="0.25">
      <c r="A130" t="s">
        <v>37</v>
      </c>
      <c r="B130" t="s">
        <v>333</v>
      </c>
      <c r="C130">
        <v>0</v>
      </c>
      <c r="D130">
        <v>96.717600000000004</v>
      </c>
      <c r="E130">
        <v>118.8323</v>
      </c>
      <c r="F130">
        <v>136.80000000000001</v>
      </c>
      <c r="G130">
        <v>159.9427</v>
      </c>
      <c r="H130">
        <v>163.4384</v>
      </c>
      <c r="I130">
        <v>213.5471</v>
      </c>
      <c r="J130">
        <v>241.46979999999999</v>
      </c>
      <c r="K130" t="s">
        <v>15</v>
      </c>
    </row>
    <row r="131" spans="1:11" x14ac:dyDescent="0.25">
      <c r="A131" t="s">
        <v>37</v>
      </c>
      <c r="B131" t="s">
        <v>342</v>
      </c>
      <c r="C131">
        <v>0</v>
      </c>
      <c r="D131">
        <v>126.2208</v>
      </c>
      <c r="E131">
        <v>149.45230000000001</v>
      </c>
      <c r="F131">
        <v>165.2954</v>
      </c>
      <c r="G131">
        <v>191.38319999999999</v>
      </c>
      <c r="H131">
        <v>190.74760000000001</v>
      </c>
      <c r="I131">
        <v>317.51280000000003</v>
      </c>
      <c r="J131">
        <v>327.97800000000001</v>
      </c>
      <c r="K131" t="s">
        <v>15</v>
      </c>
    </row>
    <row r="132" spans="1:11" x14ac:dyDescent="0.25">
      <c r="A132" t="s">
        <v>37</v>
      </c>
      <c r="B132" t="s">
        <v>351</v>
      </c>
      <c r="C132">
        <v>0</v>
      </c>
      <c r="D132">
        <v>208.19069999999999</v>
      </c>
      <c r="E132">
        <v>243.90969999999999</v>
      </c>
      <c r="F132">
        <v>277.21910000000003</v>
      </c>
      <c r="G132">
        <v>300.45490000000001</v>
      </c>
      <c r="H132">
        <v>335.84399999999999</v>
      </c>
      <c r="I132">
        <v>514.0915</v>
      </c>
      <c r="J132">
        <v>540.5652</v>
      </c>
      <c r="K132" t="s">
        <v>15</v>
      </c>
    </row>
    <row r="133" spans="1:11" x14ac:dyDescent="0.25">
      <c r="A133" t="s">
        <v>37</v>
      </c>
      <c r="B133" t="s">
        <v>360</v>
      </c>
      <c r="C133">
        <v>0</v>
      </c>
      <c r="D133">
        <v>208.19069999999999</v>
      </c>
      <c r="E133">
        <v>227.03890000000001</v>
      </c>
      <c r="F133">
        <v>233.78479999999999</v>
      </c>
      <c r="G133">
        <v>280.32600000000002</v>
      </c>
      <c r="H133">
        <v>275.82299999999998</v>
      </c>
      <c r="I133">
        <v>502.31450000000001</v>
      </c>
      <c r="J133">
        <v>543.57770000000005</v>
      </c>
      <c r="K133" t="s">
        <v>15</v>
      </c>
    </row>
    <row r="134" spans="1:11" x14ac:dyDescent="0.25">
      <c r="A134" t="s">
        <v>37</v>
      </c>
      <c r="B134" t="s">
        <v>369</v>
      </c>
      <c r="C134">
        <v>0</v>
      </c>
      <c r="D134">
        <v>261.91219999999998</v>
      </c>
      <c r="E134">
        <v>337.53429999999997</v>
      </c>
      <c r="F134">
        <v>400.11259999999999</v>
      </c>
      <c r="G134">
        <v>432.34449999999998</v>
      </c>
      <c r="H134">
        <v>479.61</v>
      </c>
      <c r="I134">
        <v>551.87040000000002</v>
      </c>
      <c r="J134">
        <v>661.44939999999997</v>
      </c>
      <c r="K134" t="s">
        <v>15</v>
      </c>
    </row>
    <row r="135" spans="1:11" x14ac:dyDescent="0.25">
      <c r="A135" t="s">
        <v>37</v>
      </c>
      <c r="B135" t="s">
        <v>378</v>
      </c>
      <c r="C135">
        <v>0</v>
      </c>
      <c r="D135">
        <v>196.21119999999999</v>
      </c>
      <c r="E135">
        <v>209.4417</v>
      </c>
      <c r="F135">
        <v>235.68879999999999</v>
      </c>
      <c r="G135">
        <v>278.04340000000002</v>
      </c>
      <c r="H135">
        <v>295.41399999999999</v>
      </c>
      <c r="I135">
        <v>411.92070000000001</v>
      </c>
      <c r="J135">
        <v>423.35539999999997</v>
      </c>
      <c r="K135" t="s">
        <v>15</v>
      </c>
    </row>
    <row r="136" spans="1:11" x14ac:dyDescent="0.25">
      <c r="A136" t="s">
        <v>37</v>
      </c>
      <c r="B136" t="s">
        <v>387</v>
      </c>
      <c r="C136">
        <v>0</v>
      </c>
      <c r="D136">
        <v>114.4965</v>
      </c>
      <c r="E136">
        <v>143.29339999999999</v>
      </c>
      <c r="F136">
        <v>155.46610000000001</v>
      </c>
      <c r="G136">
        <v>174.65790000000001</v>
      </c>
      <c r="H136">
        <v>191.82730000000001</v>
      </c>
      <c r="I136">
        <v>228.77430000000001</v>
      </c>
      <c r="J136">
        <v>249.4211</v>
      </c>
      <c r="K136" t="s">
        <v>15</v>
      </c>
    </row>
    <row r="137" spans="1:11" x14ac:dyDescent="0.25">
      <c r="A137" t="s">
        <v>37</v>
      </c>
      <c r="B137" t="s">
        <v>396</v>
      </c>
      <c r="C137">
        <v>0</v>
      </c>
      <c r="D137">
        <v>207.25200000000001</v>
      </c>
      <c r="E137">
        <v>234.75210000000001</v>
      </c>
      <c r="F137">
        <v>264.11520000000002</v>
      </c>
      <c r="G137">
        <v>308.13330000000002</v>
      </c>
      <c r="H137">
        <v>312.85840000000002</v>
      </c>
      <c r="I137">
        <v>433.846</v>
      </c>
      <c r="J137">
        <v>440.82279999999997</v>
      </c>
      <c r="K137" t="s">
        <v>15</v>
      </c>
    </row>
    <row r="138" spans="1:11" x14ac:dyDescent="0.25">
      <c r="A138" t="s">
        <v>37</v>
      </c>
      <c r="B138" t="s">
        <v>405</v>
      </c>
      <c r="C138">
        <v>0</v>
      </c>
      <c r="D138">
        <v>70.451999999999998</v>
      </c>
      <c r="E138">
        <v>82.210999999999999</v>
      </c>
      <c r="F138">
        <v>93.540400000000005</v>
      </c>
      <c r="G138">
        <v>101.46</v>
      </c>
      <c r="H138">
        <v>111.72</v>
      </c>
      <c r="I138">
        <v>135.16</v>
      </c>
      <c r="J138">
        <v>140</v>
      </c>
      <c r="K138" t="s">
        <v>15</v>
      </c>
    </row>
    <row r="139" spans="1:11" x14ac:dyDescent="0.25">
      <c r="A139" t="s">
        <v>37</v>
      </c>
      <c r="B139" t="s">
        <v>2787</v>
      </c>
      <c r="C139">
        <v>0</v>
      </c>
      <c r="D139">
        <v>85.5</v>
      </c>
      <c r="E139">
        <v>136.80000000000001</v>
      </c>
      <c r="F139">
        <v>142.5</v>
      </c>
      <c r="G139">
        <v>101.46</v>
      </c>
      <c r="H139">
        <v>111.72</v>
      </c>
      <c r="I139">
        <v>135.16</v>
      </c>
      <c r="J139">
        <v>140</v>
      </c>
      <c r="K139" t="s">
        <v>15</v>
      </c>
    </row>
    <row r="140" spans="1:11" x14ac:dyDescent="0.25">
      <c r="A140" t="s">
        <v>37</v>
      </c>
      <c r="B140" t="s">
        <v>414</v>
      </c>
      <c r="C140">
        <v>0</v>
      </c>
      <c r="D140">
        <v>103.626</v>
      </c>
      <c r="E140">
        <v>114.5792</v>
      </c>
      <c r="F140">
        <v>123.6337</v>
      </c>
      <c r="G140">
        <v>183.42599999999999</v>
      </c>
      <c r="H140">
        <v>192.4014</v>
      </c>
      <c r="I140">
        <v>277.71289999999999</v>
      </c>
      <c r="J140">
        <v>279.55970000000002</v>
      </c>
      <c r="K140" t="s">
        <v>15</v>
      </c>
    </row>
    <row r="141" spans="1:11" x14ac:dyDescent="0.25">
      <c r="A141" t="s">
        <v>37</v>
      </c>
      <c r="B141" t="s">
        <v>423</v>
      </c>
      <c r="C141">
        <v>0</v>
      </c>
      <c r="D141">
        <v>208.19069999999999</v>
      </c>
      <c r="E141">
        <v>243.90969999999999</v>
      </c>
      <c r="F141">
        <v>277.21910000000003</v>
      </c>
      <c r="G141">
        <v>300.45490000000001</v>
      </c>
      <c r="H141">
        <v>335.84399999999999</v>
      </c>
      <c r="I141">
        <v>501.92219999999998</v>
      </c>
      <c r="J141">
        <v>543.34680000000003</v>
      </c>
      <c r="K141" t="s">
        <v>15</v>
      </c>
    </row>
    <row r="142" spans="1:11" x14ac:dyDescent="0.25">
      <c r="A142" t="s">
        <v>37</v>
      </c>
      <c r="B142" t="s">
        <v>432</v>
      </c>
      <c r="C142">
        <v>0</v>
      </c>
      <c r="D142">
        <v>108.3</v>
      </c>
      <c r="E142">
        <v>137.34719999999999</v>
      </c>
      <c r="F142">
        <v>155.5872</v>
      </c>
      <c r="G142">
        <v>174.46260000000001</v>
      </c>
      <c r="H142">
        <v>191.0334</v>
      </c>
      <c r="I142">
        <v>227.68180000000001</v>
      </c>
      <c r="J142">
        <v>268.70229999999998</v>
      </c>
      <c r="K142" t="s">
        <v>15</v>
      </c>
    </row>
    <row r="143" spans="1:11" x14ac:dyDescent="0.25">
      <c r="A143" t="s">
        <v>37</v>
      </c>
      <c r="B143" t="s">
        <v>441</v>
      </c>
      <c r="C143">
        <v>0</v>
      </c>
      <c r="D143">
        <v>168.60599999999999</v>
      </c>
      <c r="E143">
        <v>228</v>
      </c>
      <c r="F143">
        <v>234.6576</v>
      </c>
      <c r="G143">
        <v>283.01639999999998</v>
      </c>
      <c r="H143">
        <v>264.40199999999999</v>
      </c>
      <c r="I143">
        <v>393.5736</v>
      </c>
      <c r="J143">
        <v>404.97359999999998</v>
      </c>
      <c r="K143" t="s">
        <v>15</v>
      </c>
    </row>
    <row r="144" spans="1:11" x14ac:dyDescent="0.25">
      <c r="A144" t="s">
        <v>37</v>
      </c>
      <c r="B144" t="s">
        <v>450</v>
      </c>
      <c r="C144">
        <v>0</v>
      </c>
      <c r="D144">
        <v>181.83</v>
      </c>
      <c r="E144">
        <v>215.9838</v>
      </c>
      <c r="F144">
        <v>233.7</v>
      </c>
      <c r="G144">
        <v>252.64680000000001</v>
      </c>
      <c r="H144">
        <v>275.65199999999999</v>
      </c>
      <c r="I144">
        <v>397.2328</v>
      </c>
      <c r="J144">
        <v>455.37470000000002</v>
      </c>
      <c r="K144" t="s">
        <v>15</v>
      </c>
    </row>
    <row r="145" spans="1:11" x14ac:dyDescent="0.25">
      <c r="A145" t="s">
        <v>37</v>
      </c>
      <c r="B145" t="s">
        <v>459</v>
      </c>
      <c r="C145">
        <v>0</v>
      </c>
      <c r="D145">
        <v>202.2397</v>
      </c>
      <c r="E145">
        <v>238.9759</v>
      </c>
      <c r="F145">
        <v>258.53809999999999</v>
      </c>
      <c r="G145">
        <v>286.93599999999998</v>
      </c>
      <c r="H145">
        <v>327.31560000000002</v>
      </c>
      <c r="I145">
        <v>413.15469999999999</v>
      </c>
      <c r="J145">
        <v>478.36680000000001</v>
      </c>
      <c r="K145" t="s">
        <v>15</v>
      </c>
    </row>
    <row r="146" spans="1:11" x14ac:dyDescent="0.25">
      <c r="A146" t="s">
        <v>37</v>
      </c>
      <c r="B146" t="s">
        <v>468</v>
      </c>
      <c r="C146">
        <v>0</v>
      </c>
      <c r="D146">
        <v>226.9512</v>
      </c>
      <c r="E146">
        <v>297.6071</v>
      </c>
      <c r="F146">
        <v>284.69220000000001</v>
      </c>
      <c r="G146">
        <v>330.5924</v>
      </c>
      <c r="H146">
        <v>338.0564</v>
      </c>
      <c r="I146">
        <v>498.59039999999999</v>
      </c>
      <c r="J146">
        <v>524.76480000000004</v>
      </c>
      <c r="K146" t="s">
        <v>15</v>
      </c>
    </row>
    <row r="147" spans="1:11" x14ac:dyDescent="0.25">
      <c r="A147" t="s">
        <v>37</v>
      </c>
      <c r="B147" t="s">
        <v>477</v>
      </c>
      <c r="C147">
        <v>0</v>
      </c>
      <c r="D147">
        <v>185.15880000000001</v>
      </c>
      <c r="E147">
        <v>227.85560000000001</v>
      </c>
      <c r="F147">
        <v>238.53360000000001</v>
      </c>
      <c r="G147">
        <v>275.10610000000003</v>
      </c>
      <c r="H147">
        <v>290.62599999999998</v>
      </c>
      <c r="I147">
        <v>402.92160000000001</v>
      </c>
      <c r="J147">
        <v>423.85199999999998</v>
      </c>
      <c r="K147" t="s">
        <v>15</v>
      </c>
    </row>
    <row r="148" spans="1:11" x14ac:dyDescent="0.25">
      <c r="A148" t="s">
        <v>37</v>
      </c>
      <c r="B148" t="s">
        <v>486</v>
      </c>
      <c r="C148">
        <v>0</v>
      </c>
      <c r="D148">
        <v>117.0826</v>
      </c>
      <c r="E148">
        <v>137.02789999999999</v>
      </c>
      <c r="F148">
        <v>151.49459999999999</v>
      </c>
      <c r="G148">
        <v>185.09039999999999</v>
      </c>
      <c r="H148">
        <v>191.0334</v>
      </c>
      <c r="I148">
        <v>250.98240000000001</v>
      </c>
      <c r="J148">
        <v>262.38240000000002</v>
      </c>
      <c r="K148" t="s">
        <v>15</v>
      </c>
    </row>
    <row r="149" spans="1:11" x14ac:dyDescent="0.25">
      <c r="A149" t="s">
        <v>37</v>
      </c>
      <c r="B149" t="s">
        <v>495</v>
      </c>
      <c r="C149">
        <v>0</v>
      </c>
      <c r="D149">
        <v>201.79140000000001</v>
      </c>
      <c r="E149">
        <v>241.39179999999999</v>
      </c>
      <c r="F149">
        <v>260.47879999999998</v>
      </c>
      <c r="G149">
        <v>288.72669999999999</v>
      </c>
      <c r="H149">
        <v>309.60939999999999</v>
      </c>
      <c r="I149">
        <v>455.88600000000002</v>
      </c>
      <c r="J149">
        <v>486.73439999999999</v>
      </c>
      <c r="K149" t="s">
        <v>15</v>
      </c>
    </row>
    <row r="150" spans="1:11" x14ac:dyDescent="0.25">
      <c r="A150" t="s">
        <v>37</v>
      </c>
      <c r="B150" t="s">
        <v>504</v>
      </c>
      <c r="C150">
        <v>0</v>
      </c>
      <c r="D150">
        <v>190.47120000000001</v>
      </c>
      <c r="E150">
        <v>241.39179999999999</v>
      </c>
      <c r="F150">
        <v>259.92</v>
      </c>
      <c r="G150">
        <v>285.61200000000002</v>
      </c>
      <c r="H150">
        <v>293.875</v>
      </c>
      <c r="I150">
        <v>399.27359999999999</v>
      </c>
      <c r="J150">
        <v>409.73880000000003</v>
      </c>
      <c r="K150" t="s">
        <v>15</v>
      </c>
    </row>
    <row r="151" spans="1:11" x14ac:dyDescent="0.25">
      <c r="A151" t="s">
        <v>37</v>
      </c>
      <c r="B151" t="s">
        <v>513</v>
      </c>
      <c r="C151">
        <v>0</v>
      </c>
      <c r="D151">
        <v>382.17360000000002</v>
      </c>
      <c r="E151">
        <v>437.988</v>
      </c>
      <c r="F151">
        <v>457.91520000000003</v>
      </c>
      <c r="G151">
        <v>546.63</v>
      </c>
      <c r="H151">
        <v>567.60599999999999</v>
      </c>
      <c r="I151">
        <v>765.28200000000004</v>
      </c>
      <c r="J151">
        <v>784.7568</v>
      </c>
      <c r="K151" t="s">
        <v>15</v>
      </c>
    </row>
    <row r="152" spans="1:11" x14ac:dyDescent="0.25">
      <c r="A152" t="s">
        <v>37</v>
      </c>
      <c r="B152" t="s">
        <v>522</v>
      </c>
      <c r="C152">
        <v>0</v>
      </c>
      <c r="D152">
        <v>129.05940000000001</v>
      </c>
      <c r="E152">
        <v>161.86859999999999</v>
      </c>
      <c r="F152">
        <v>167.21520000000001</v>
      </c>
      <c r="G152">
        <v>194.239</v>
      </c>
      <c r="H152">
        <v>219.79079999999999</v>
      </c>
      <c r="I152">
        <v>259.39179999999999</v>
      </c>
      <c r="J152">
        <v>297.76799999999997</v>
      </c>
      <c r="K152" t="s">
        <v>15</v>
      </c>
    </row>
    <row r="153" spans="1:11" x14ac:dyDescent="0.25">
      <c r="A153" t="s">
        <v>37</v>
      </c>
      <c r="B153" t="s">
        <v>531</v>
      </c>
      <c r="C153">
        <v>0</v>
      </c>
      <c r="D153">
        <v>118.1086</v>
      </c>
      <c r="E153">
        <v>137.53139999999999</v>
      </c>
      <c r="F153">
        <v>156.2894</v>
      </c>
      <c r="G153">
        <v>188.50389999999999</v>
      </c>
      <c r="H153">
        <v>196.1634</v>
      </c>
      <c r="I153">
        <v>284.24759999999998</v>
      </c>
      <c r="J153">
        <v>294.71280000000002</v>
      </c>
      <c r="K153" t="s">
        <v>15</v>
      </c>
    </row>
    <row r="154" spans="1:11" x14ac:dyDescent="0.25">
      <c r="A154" t="s">
        <v>37</v>
      </c>
      <c r="B154" t="s">
        <v>540</v>
      </c>
      <c r="C154">
        <v>0</v>
      </c>
      <c r="D154">
        <v>161.03639999999999</v>
      </c>
      <c r="E154">
        <v>221.68780000000001</v>
      </c>
      <c r="F154">
        <v>239.99979999999999</v>
      </c>
      <c r="G154">
        <v>264.56979999999999</v>
      </c>
      <c r="H154">
        <v>263.71800000000002</v>
      </c>
      <c r="I154">
        <v>373.07639999999998</v>
      </c>
      <c r="J154">
        <v>392.40089999999998</v>
      </c>
      <c r="K154" t="s">
        <v>15</v>
      </c>
    </row>
    <row r="155" spans="1:11" x14ac:dyDescent="0.25">
      <c r="A155" t="s">
        <v>37</v>
      </c>
      <c r="B155" t="s">
        <v>549</v>
      </c>
      <c r="C155">
        <v>0</v>
      </c>
      <c r="D155">
        <v>143.1156</v>
      </c>
      <c r="E155">
        <v>164.48079999999999</v>
      </c>
      <c r="F155">
        <v>178.04329999999999</v>
      </c>
      <c r="G155">
        <v>196.5402</v>
      </c>
      <c r="H155">
        <v>221.72880000000001</v>
      </c>
      <c r="I155">
        <v>315.21140000000003</v>
      </c>
      <c r="J155">
        <v>338.44319999999999</v>
      </c>
      <c r="K155" t="s">
        <v>15</v>
      </c>
    </row>
    <row r="156" spans="1:11" x14ac:dyDescent="0.25">
      <c r="A156" t="s">
        <v>37</v>
      </c>
      <c r="B156" t="s">
        <v>558</v>
      </c>
      <c r="C156">
        <v>0</v>
      </c>
      <c r="D156">
        <v>188.63579999999999</v>
      </c>
      <c r="E156">
        <v>229.2236</v>
      </c>
      <c r="F156">
        <v>245.6472</v>
      </c>
      <c r="G156">
        <v>273.20010000000002</v>
      </c>
      <c r="H156">
        <v>309.28199999999998</v>
      </c>
      <c r="I156">
        <v>378.28129999999999</v>
      </c>
      <c r="J156">
        <v>415.43880000000001</v>
      </c>
      <c r="K156" t="s">
        <v>15</v>
      </c>
    </row>
    <row r="157" spans="1:11" x14ac:dyDescent="0.25">
      <c r="A157" t="s">
        <v>37</v>
      </c>
      <c r="B157" t="s">
        <v>567</v>
      </c>
      <c r="C157">
        <v>0</v>
      </c>
      <c r="D157">
        <v>106.0975</v>
      </c>
      <c r="E157">
        <v>93.632000000000005</v>
      </c>
      <c r="F157">
        <v>104.652</v>
      </c>
      <c r="G157">
        <v>143.33699999999999</v>
      </c>
      <c r="H157">
        <v>153.55350000000001</v>
      </c>
      <c r="I157">
        <v>233.41489999999999</v>
      </c>
      <c r="J157">
        <v>252.3708</v>
      </c>
      <c r="K157" t="s">
        <v>15</v>
      </c>
    </row>
    <row r="158" spans="1:11" x14ac:dyDescent="0.25">
      <c r="A158" t="s">
        <v>37</v>
      </c>
      <c r="B158" t="s">
        <v>585</v>
      </c>
      <c r="C158">
        <v>0</v>
      </c>
      <c r="D158">
        <v>199.5</v>
      </c>
      <c r="E158">
        <v>245.1</v>
      </c>
      <c r="F158">
        <v>262.2</v>
      </c>
      <c r="G158">
        <v>279.3</v>
      </c>
      <c r="H158">
        <v>302.10000000000002</v>
      </c>
      <c r="I158">
        <v>399</v>
      </c>
      <c r="J158">
        <v>410.4</v>
      </c>
      <c r="K158" t="s">
        <v>15</v>
      </c>
    </row>
    <row r="159" spans="1:11" x14ac:dyDescent="0.25">
      <c r="A159" t="s">
        <v>37</v>
      </c>
      <c r="B159" t="s">
        <v>594</v>
      </c>
      <c r="C159">
        <v>0</v>
      </c>
      <c r="D159">
        <v>372.70699999999999</v>
      </c>
      <c r="E159">
        <v>404.77940000000001</v>
      </c>
      <c r="F159">
        <v>452.13389999999998</v>
      </c>
      <c r="G159">
        <v>509.86770000000001</v>
      </c>
      <c r="H159">
        <v>545.67920000000004</v>
      </c>
      <c r="I159">
        <v>602.39800000000002</v>
      </c>
      <c r="J159">
        <v>674.72680000000003</v>
      </c>
      <c r="K159" t="s">
        <v>15</v>
      </c>
    </row>
    <row r="160" spans="1:11" x14ac:dyDescent="0.25">
      <c r="A160" t="s">
        <v>37</v>
      </c>
      <c r="B160" t="s">
        <v>2790</v>
      </c>
      <c r="C160">
        <v>0</v>
      </c>
      <c r="D160">
        <v>68.400000000000006</v>
      </c>
      <c r="E160">
        <v>71.819999999999993</v>
      </c>
      <c r="F160">
        <v>84.36</v>
      </c>
      <c r="G160">
        <v>101.46</v>
      </c>
      <c r="H160">
        <v>111.72</v>
      </c>
      <c r="I160">
        <v>134.52000000000001</v>
      </c>
      <c r="J160">
        <v>149.34</v>
      </c>
      <c r="K160" t="s">
        <v>15</v>
      </c>
    </row>
    <row r="161" spans="1:11" x14ac:dyDescent="0.25">
      <c r="A161" t="s">
        <v>37</v>
      </c>
      <c r="B161" t="s">
        <v>603</v>
      </c>
      <c r="C161">
        <v>0</v>
      </c>
      <c r="D161">
        <v>159.83940000000001</v>
      </c>
      <c r="E161">
        <v>189.74709999999999</v>
      </c>
      <c r="F161">
        <v>216.6</v>
      </c>
      <c r="G161">
        <v>266.44080000000002</v>
      </c>
      <c r="H161">
        <v>270.31740000000002</v>
      </c>
      <c r="I161">
        <v>357.88310000000001</v>
      </c>
      <c r="J161">
        <v>361.37150000000003</v>
      </c>
      <c r="K161" t="s">
        <v>15</v>
      </c>
    </row>
    <row r="162" spans="1:11" x14ac:dyDescent="0.25">
      <c r="A162" t="s">
        <v>37</v>
      </c>
      <c r="B162" t="s">
        <v>612</v>
      </c>
      <c r="C162">
        <v>0</v>
      </c>
      <c r="D162">
        <v>106.3369</v>
      </c>
      <c r="E162">
        <v>93.632000000000005</v>
      </c>
      <c r="F162">
        <v>105.74639999999999</v>
      </c>
      <c r="G162">
        <v>138.66300000000001</v>
      </c>
      <c r="H162">
        <v>147.73949999999999</v>
      </c>
      <c r="I162">
        <v>233.41489999999999</v>
      </c>
      <c r="J162">
        <v>252.3708</v>
      </c>
      <c r="K162" t="s">
        <v>15</v>
      </c>
    </row>
    <row r="163" spans="1:11" x14ac:dyDescent="0.25">
      <c r="A163" t="s">
        <v>37</v>
      </c>
      <c r="B163" t="s">
        <v>621</v>
      </c>
      <c r="C163">
        <v>0</v>
      </c>
      <c r="D163">
        <v>228.66499999999999</v>
      </c>
      <c r="E163">
        <v>244.6103</v>
      </c>
      <c r="F163">
        <v>272.84809999999999</v>
      </c>
      <c r="G163">
        <v>310.92880000000002</v>
      </c>
      <c r="H163">
        <v>344.38339999999999</v>
      </c>
      <c r="I163">
        <v>470.16309999999999</v>
      </c>
      <c r="J163">
        <v>519.28809999999999</v>
      </c>
      <c r="K163" t="s">
        <v>15</v>
      </c>
    </row>
    <row r="164" spans="1:11" x14ac:dyDescent="0.25">
      <c r="A164" t="s">
        <v>37</v>
      </c>
      <c r="B164" t="s">
        <v>630</v>
      </c>
      <c r="C164">
        <v>0</v>
      </c>
      <c r="D164">
        <v>179.69820000000001</v>
      </c>
      <c r="E164">
        <v>206.8937</v>
      </c>
      <c r="F164">
        <v>224.4888</v>
      </c>
      <c r="G164">
        <v>249.57239999999999</v>
      </c>
      <c r="H164">
        <v>265.428</v>
      </c>
      <c r="I164">
        <v>382.17360000000002</v>
      </c>
      <c r="J164">
        <v>409.32839999999999</v>
      </c>
      <c r="K164" t="s">
        <v>15</v>
      </c>
    </row>
    <row r="165" spans="1:11" x14ac:dyDescent="0.25">
      <c r="A165" t="s">
        <v>37</v>
      </c>
      <c r="B165" t="s">
        <v>639</v>
      </c>
      <c r="C165">
        <v>0</v>
      </c>
      <c r="D165">
        <v>181.83</v>
      </c>
      <c r="E165">
        <v>203.09100000000001</v>
      </c>
      <c r="F165">
        <v>218.994</v>
      </c>
      <c r="G165">
        <v>252.44159999999999</v>
      </c>
      <c r="H165">
        <v>275.82</v>
      </c>
      <c r="I165">
        <v>463.84070000000003</v>
      </c>
      <c r="J165">
        <v>506.7756</v>
      </c>
      <c r="K165" t="s">
        <v>15</v>
      </c>
    </row>
    <row r="166" spans="1:11" x14ac:dyDescent="0.25">
      <c r="A166" t="s">
        <v>37</v>
      </c>
      <c r="B166" t="s">
        <v>648</v>
      </c>
      <c r="C166">
        <v>0</v>
      </c>
      <c r="D166">
        <v>219.00540000000001</v>
      </c>
      <c r="E166">
        <v>243.8897</v>
      </c>
      <c r="F166">
        <v>257.05549999999999</v>
      </c>
      <c r="G166">
        <v>290.49829999999997</v>
      </c>
      <c r="H166">
        <v>316.62040000000002</v>
      </c>
      <c r="I166">
        <v>450.77249999999998</v>
      </c>
      <c r="J166">
        <v>478.8</v>
      </c>
      <c r="K166" t="s">
        <v>15</v>
      </c>
    </row>
    <row r="167" spans="1:11" x14ac:dyDescent="0.25">
      <c r="A167" t="s">
        <v>37</v>
      </c>
      <c r="B167" t="s">
        <v>657</v>
      </c>
      <c r="C167">
        <v>0</v>
      </c>
      <c r="D167">
        <v>190.26599999999999</v>
      </c>
      <c r="E167">
        <v>228.47989999999999</v>
      </c>
      <c r="F167">
        <v>244.1994</v>
      </c>
      <c r="G167">
        <v>274.35070000000002</v>
      </c>
      <c r="H167">
        <v>291.13900000000001</v>
      </c>
      <c r="I167">
        <v>397.8057</v>
      </c>
      <c r="J167">
        <v>437.988</v>
      </c>
      <c r="K167" t="s">
        <v>15</v>
      </c>
    </row>
    <row r="168" spans="1:11" x14ac:dyDescent="0.25">
      <c r="A168" t="s">
        <v>37</v>
      </c>
      <c r="B168" t="s">
        <v>666</v>
      </c>
      <c r="C168">
        <v>0</v>
      </c>
      <c r="D168">
        <v>208.8382</v>
      </c>
      <c r="E168">
        <v>238.06100000000001</v>
      </c>
      <c r="F168">
        <v>264.90539999999999</v>
      </c>
      <c r="G168">
        <v>300.02319999999997</v>
      </c>
      <c r="H168">
        <v>334.10610000000003</v>
      </c>
      <c r="I168">
        <v>514.0915</v>
      </c>
      <c r="J168">
        <v>536.40419999999995</v>
      </c>
      <c r="K168" t="s">
        <v>15</v>
      </c>
    </row>
    <row r="169" spans="1:11" x14ac:dyDescent="0.25">
      <c r="A169" t="s">
        <v>37</v>
      </c>
      <c r="B169" t="s">
        <v>675</v>
      </c>
      <c r="C169">
        <v>0</v>
      </c>
      <c r="D169">
        <v>117.65940000000001</v>
      </c>
      <c r="E169">
        <v>158.4144</v>
      </c>
      <c r="F169">
        <v>160.96799999999999</v>
      </c>
      <c r="G169">
        <v>202.3956</v>
      </c>
      <c r="H169">
        <v>189.37960000000001</v>
      </c>
      <c r="I169">
        <v>272.67579999999998</v>
      </c>
      <c r="J169">
        <v>293.96039999999999</v>
      </c>
      <c r="K169" t="s">
        <v>15</v>
      </c>
    </row>
    <row r="170" spans="1:11" x14ac:dyDescent="0.25">
      <c r="A170" t="s">
        <v>37</v>
      </c>
      <c r="B170" t="s">
        <v>684</v>
      </c>
      <c r="C170">
        <v>0</v>
      </c>
      <c r="D170">
        <v>193.07040000000001</v>
      </c>
      <c r="E170">
        <v>238.49940000000001</v>
      </c>
      <c r="F170">
        <v>237.71279999999999</v>
      </c>
      <c r="G170">
        <v>287.92160000000001</v>
      </c>
      <c r="H170">
        <v>306.36040000000003</v>
      </c>
      <c r="I170">
        <v>429.2921</v>
      </c>
      <c r="J170">
        <v>450.072</v>
      </c>
      <c r="K170" t="s">
        <v>15</v>
      </c>
    </row>
    <row r="171" spans="1:11" x14ac:dyDescent="0.25">
      <c r="A171" t="s">
        <v>37</v>
      </c>
      <c r="B171" t="s">
        <v>693</v>
      </c>
      <c r="C171">
        <v>0</v>
      </c>
      <c r="D171">
        <v>224.352</v>
      </c>
      <c r="E171">
        <v>284.69220000000001</v>
      </c>
      <c r="F171">
        <v>284.69220000000001</v>
      </c>
      <c r="G171">
        <v>325.76850000000002</v>
      </c>
      <c r="H171">
        <v>336.34640000000002</v>
      </c>
      <c r="I171">
        <v>459.16919999999999</v>
      </c>
      <c r="J171">
        <v>481.03440000000001</v>
      </c>
      <c r="K171" t="s">
        <v>15</v>
      </c>
    </row>
    <row r="172" spans="1:11" x14ac:dyDescent="0.25">
      <c r="A172" t="s">
        <v>37</v>
      </c>
      <c r="B172" t="s">
        <v>702</v>
      </c>
      <c r="C172">
        <v>0</v>
      </c>
      <c r="D172">
        <v>194.91720000000001</v>
      </c>
      <c r="E172">
        <v>217.94909999999999</v>
      </c>
      <c r="F172">
        <v>228.23589999999999</v>
      </c>
      <c r="G172">
        <v>279.75599999999997</v>
      </c>
      <c r="H172">
        <v>275.31</v>
      </c>
      <c r="I172">
        <v>447.78359999999998</v>
      </c>
      <c r="J172">
        <v>514.64160000000004</v>
      </c>
      <c r="K172" t="s">
        <v>15</v>
      </c>
    </row>
    <row r="173" spans="1:11" x14ac:dyDescent="0.25">
      <c r="A173" t="s">
        <v>37</v>
      </c>
      <c r="B173" t="s">
        <v>711</v>
      </c>
      <c r="C173">
        <v>0</v>
      </c>
      <c r="D173">
        <v>186.43559999999999</v>
      </c>
      <c r="E173">
        <v>238.26</v>
      </c>
      <c r="F173">
        <v>239.69640000000001</v>
      </c>
      <c r="G173">
        <v>275.214</v>
      </c>
      <c r="H173">
        <v>291.99400000000003</v>
      </c>
      <c r="I173">
        <v>407.68680000000001</v>
      </c>
      <c r="J173">
        <v>425.904</v>
      </c>
      <c r="K173" t="s">
        <v>15</v>
      </c>
    </row>
    <row r="174" spans="1:11" x14ac:dyDescent="0.25">
      <c r="A174" t="s">
        <v>37</v>
      </c>
      <c r="B174" t="s">
        <v>720</v>
      </c>
      <c r="C174">
        <v>0</v>
      </c>
      <c r="D174">
        <v>228.75059999999999</v>
      </c>
      <c r="E174">
        <v>242.7159</v>
      </c>
      <c r="F174">
        <v>271.90089999999998</v>
      </c>
      <c r="G174">
        <v>306.99610000000001</v>
      </c>
      <c r="H174">
        <v>339.3965</v>
      </c>
      <c r="I174">
        <v>429.77589999999998</v>
      </c>
      <c r="J174">
        <v>497.52859999999998</v>
      </c>
      <c r="K174" t="s">
        <v>15</v>
      </c>
    </row>
    <row r="175" spans="1:11" x14ac:dyDescent="0.25">
      <c r="A175" t="s">
        <v>37</v>
      </c>
      <c r="B175" t="s">
        <v>729</v>
      </c>
      <c r="C175">
        <v>0</v>
      </c>
      <c r="D175">
        <v>152.17930000000001</v>
      </c>
      <c r="E175">
        <v>206.31</v>
      </c>
      <c r="F175">
        <v>216.6</v>
      </c>
      <c r="G175">
        <v>252.35040000000001</v>
      </c>
      <c r="H175">
        <v>232.76220000000001</v>
      </c>
      <c r="I175">
        <v>380.07560000000001</v>
      </c>
      <c r="J175">
        <v>402.8304</v>
      </c>
      <c r="K175" t="s">
        <v>15</v>
      </c>
    </row>
    <row r="176" spans="1:11" x14ac:dyDescent="0.25">
      <c r="A176" t="s">
        <v>37</v>
      </c>
      <c r="B176" t="s">
        <v>738</v>
      </c>
      <c r="C176">
        <v>0</v>
      </c>
      <c r="D176">
        <v>151.46109999999999</v>
      </c>
      <c r="E176">
        <v>206.56800000000001</v>
      </c>
      <c r="F176">
        <v>222.5736</v>
      </c>
      <c r="G176">
        <v>245.44220000000001</v>
      </c>
      <c r="H176">
        <v>231.22319999999999</v>
      </c>
      <c r="I176">
        <v>366.58980000000003</v>
      </c>
      <c r="J176">
        <v>382.78919999999999</v>
      </c>
      <c r="K176" t="s">
        <v>15</v>
      </c>
    </row>
    <row r="177" spans="1:11" x14ac:dyDescent="0.25">
      <c r="A177" t="s">
        <v>37</v>
      </c>
      <c r="B177" t="s">
        <v>747</v>
      </c>
      <c r="C177">
        <v>0</v>
      </c>
      <c r="D177">
        <v>178.1934</v>
      </c>
      <c r="E177">
        <v>214.32</v>
      </c>
      <c r="F177">
        <v>252.9204</v>
      </c>
      <c r="G177">
        <v>275.214</v>
      </c>
      <c r="H177">
        <v>291.48099999999999</v>
      </c>
      <c r="I177">
        <v>402.92160000000001</v>
      </c>
      <c r="J177">
        <v>415.43880000000001</v>
      </c>
      <c r="K177" t="s">
        <v>15</v>
      </c>
    </row>
    <row r="178" spans="1:11" x14ac:dyDescent="0.25">
      <c r="A178" t="s">
        <v>37</v>
      </c>
      <c r="B178" t="s">
        <v>756</v>
      </c>
      <c r="C178">
        <v>0</v>
      </c>
      <c r="D178">
        <v>265.97120000000001</v>
      </c>
      <c r="E178">
        <v>282.24360000000001</v>
      </c>
      <c r="F178">
        <v>325.07299999999998</v>
      </c>
      <c r="G178">
        <v>381.88869999999997</v>
      </c>
      <c r="H178">
        <v>396.3184</v>
      </c>
      <c r="I178">
        <v>522.12239999999997</v>
      </c>
      <c r="J178">
        <v>526.02120000000002</v>
      </c>
      <c r="K178" t="s">
        <v>15</v>
      </c>
    </row>
    <row r="179" spans="1:11" x14ac:dyDescent="0.25">
      <c r="A179" t="s">
        <v>37</v>
      </c>
      <c r="B179" t="s">
        <v>1626</v>
      </c>
      <c r="C179">
        <v>0</v>
      </c>
      <c r="D179">
        <v>723.9</v>
      </c>
      <c r="E179">
        <v>843.6</v>
      </c>
      <c r="F179">
        <v>889.2</v>
      </c>
      <c r="G179">
        <v>1105.8</v>
      </c>
      <c r="H179">
        <v>1140</v>
      </c>
      <c r="I179">
        <v>1527.6</v>
      </c>
      <c r="J179">
        <v>1596</v>
      </c>
      <c r="K179" t="s">
        <v>15</v>
      </c>
    </row>
    <row r="180" spans="1:11" x14ac:dyDescent="0.25">
      <c r="A180" t="s">
        <v>37</v>
      </c>
      <c r="B180" t="s">
        <v>765</v>
      </c>
      <c r="C180">
        <v>0</v>
      </c>
      <c r="D180">
        <v>451.42939999999999</v>
      </c>
      <c r="E180">
        <v>512.37199999999996</v>
      </c>
      <c r="F180">
        <v>562.48019999999997</v>
      </c>
      <c r="G180">
        <v>651.25160000000005</v>
      </c>
      <c r="H180">
        <v>711.34140000000002</v>
      </c>
      <c r="I180">
        <v>807.51480000000004</v>
      </c>
      <c r="J180">
        <v>884.87400000000002</v>
      </c>
      <c r="K180" t="s">
        <v>15</v>
      </c>
    </row>
    <row r="181" spans="1:11" x14ac:dyDescent="0.25">
      <c r="A181" t="s">
        <v>37</v>
      </c>
      <c r="B181" t="s">
        <v>774</v>
      </c>
      <c r="C181">
        <v>0</v>
      </c>
      <c r="D181">
        <v>226.48419999999999</v>
      </c>
      <c r="E181">
        <v>241.8656</v>
      </c>
      <c r="F181">
        <v>265.01760000000002</v>
      </c>
      <c r="G181">
        <v>309.50069999999999</v>
      </c>
      <c r="H181">
        <v>368.28429999999997</v>
      </c>
      <c r="I181">
        <v>424.2955</v>
      </c>
      <c r="J181">
        <v>496.73869999999999</v>
      </c>
      <c r="K181" t="s">
        <v>15</v>
      </c>
    </row>
    <row r="182" spans="1:11" x14ac:dyDescent="0.25">
      <c r="A182" t="s">
        <v>37</v>
      </c>
      <c r="B182" t="s">
        <v>783</v>
      </c>
      <c r="C182">
        <v>0</v>
      </c>
      <c r="D182">
        <v>184.9194</v>
      </c>
      <c r="E182">
        <v>211.114</v>
      </c>
      <c r="F182">
        <v>242.52979999999999</v>
      </c>
      <c r="G182">
        <v>260.24040000000002</v>
      </c>
      <c r="H182">
        <v>266.11200000000002</v>
      </c>
      <c r="I182">
        <v>387.07229999999998</v>
      </c>
      <c r="J182">
        <v>390.97109999999998</v>
      </c>
      <c r="K182" t="s">
        <v>15</v>
      </c>
    </row>
    <row r="183" spans="1:11" x14ac:dyDescent="0.25">
      <c r="A183" t="s">
        <v>37</v>
      </c>
      <c r="B183" t="s">
        <v>792</v>
      </c>
      <c r="C183">
        <v>0</v>
      </c>
      <c r="D183">
        <v>253.44479999999999</v>
      </c>
      <c r="E183">
        <v>326.88170000000002</v>
      </c>
      <c r="F183">
        <v>371.48059999999998</v>
      </c>
      <c r="G183">
        <v>398.85140000000001</v>
      </c>
      <c r="H183">
        <v>435.52420000000001</v>
      </c>
      <c r="I183">
        <v>544.53499999999997</v>
      </c>
      <c r="J183">
        <v>606.52560000000005</v>
      </c>
      <c r="K183" t="s">
        <v>15</v>
      </c>
    </row>
    <row r="184" spans="1:11" x14ac:dyDescent="0.25">
      <c r="A184" t="s">
        <v>37</v>
      </c>
      <c r="B184" t="s">
        <v>801</v>
      </c>
      <c r="C184">
        <v>0</v>
      </c>
      <c r="D184">
        <v>188.78399999999999</v>
      </c>
      <c r="E184">
        <v>231.7234</v>
      </c>
      <c r="F184">
        <v>250.6224</v>
      </c>
      <c r="G184">
        <v>283.28739999999999</v>
      </c>
      <c r="H184">
        <v>306.91860000000003</v>
      </c>
      <c r="I184">
        <v>380.5557</v>
      </c>
      <c r="J184">
        <v>426.91219999999998</v>
      </c>
      <c r="K184" t="s">
        <v>15</v>
      </c>
    </row>
    <row r="185" spans="1:11" x14ac:dyDescent="0.25">
      <c r="A185" t="s">
        <v>37</v>
      </c>
      <c r="B185" t="s">
        <v>810</v>
      </c>
      <c r="C185">
        <v>0</v>
      </c>
      <c r="D185">
        <v>123.0539</v>
      </c>
      <c r="E185">
        <v>138.7901</v>
      </c>
      <c r="F185">
        <v>158.6892</v>
      </c>
      <c r="G185">
        <v>191.1472</v>
      </c>
      <c r="H185">
        <v>223.56299999999999</v>
      </c>
      <c r="I185">
        <v>320.31720000000001</v>
      </c>
      <c r="J185">
        <v>349.84320000000002</v>
      </c>
      <c r="K185" t="s">
        <v>15</v>
      </c>
    </row>
    <row r="186" spans="1:11" x14ac:dyDescent="0.25">
      <c r="A186" t="s">
        <v>37</v>
      </c>
      <c r="B186" t="s">
        <v>819</v>
      </c>
      <c r="C186">
        <v>0</v>
      </c>
      <c r="D186">
        <v>205.2</v>
      </c>
      <c r="E186">
        <v>239.63939999999999</v>
      </c>
      <c r="F186">
        <v>263.39699999999999</v>
      </c>
      <c r="G186">
        <v>287.92160000000001</v>
      </c>
      <c r="H186">
        <v>306.36040000000003</v>
      </c>
      <c r="I186">
        <v>424.96010000000001</v>
      </c>
      <c r="J186">
        <v>448.70400000000001</v>
      </c>
      <c r="K186" t="s">
        <v>15</v>
      </c>
    </row>
    <row r="187" spans="1:11" x14ac:dyDescent="0.25">
      <c r="A187" t="s">
        <v>37</v>
      </c>
      <c r="B187" t="s">
        <v>828</v>
      </c>
      <c r="C187">
        <v>0</v>
      </c>
      <c r="D187">
        <v>148.19999999999999</v>
      </c>
      <c r="E187">
        <v>202.4982</v>
      </c>
      <c r="F187">
        <v>211.49279999999999</v>
      </c>
      <c r="G187">
        <v>225.2954</v>
      </c>
      <c r="H187">
        <v>228.65819999999999</v>
      </c>
      <c r="I187">
        <v>327.97800000000001</v>
      </c>
      <c r="J187">
        <v>338.44319999999999</v>
      </c>
      <c r="K187" t="s">
        <v>15</v>
      </c>
    </row>
    <row r="188" spans="1:11" x14ac:dyDescent="0.25">
      <c r="A188" t="s">
        <v>37</v>
      </c>
      <c r="B188" t="s">
        <v>837</v>
      </c>
      <c r="C188">
        <v>0</v>
      </c>
      <c r="D188">
        <v>148.19999999999999</v>
      </c>
      <c r="E188">
        <v>201.5976</v>
      </c>
      <c r="F188">
        <v>214.49100000000001</v>
      </c>
      <c r="G188">
        <v>255.65639999999999</v>
      </c>
      <c r="H188">
        <v>266.44139999999999</v>
      </c>
      <c r="I188">
        <v>361.2432</v>
      </c>
      <c r="J188">
        <v>382.17360000000002</v>
      </c>
      <c r="K188" t="s">
        <v>15</v>
      </c>
    </row>
    <row r="189" spans="1:11" x14ac:dyDescent="0.25">
      <c r="A189" t="s">
        <v>37</v>
      </c>
      <c r="B189" t="s">
        <v>846</v>
      </c>
      <c r="C189">
        <v>0</v>
      </c>
      <c r="D189">
        <v>98.997600000000006</v>
      </c>
      <c r="E189">
        <v>97.774000000000001</v>
      </c>
      <c r="F189">
        <v>107.426</v>
      </c>
      <c r="G189">
        <v>138.66300000000001</v>
      </c>
      <c r="H189">
        <v>144.83250000000001</v>
      </c>
      <c r="I189">
        <v>231.86259999999999</v>
      </c>
      <c r="J189">
        <v>250.57570000000001</v>
      </c>
      <c r="K189" t="s">
        <v>15</v>
      </c>
    </row>
    <row r="190" spans="1:11" x14ac:dyDescent="0.25">
      <c r="A190" t="s">
        <v>37</v>
      </c>
      <c r="B190" t="s">
        <v>855</v>
      </c>
      <c r="C190">
        <v>0</v>
      </c>
      <c r="D190">
        <v>182.58240000000001</v>
      </c>
      <c r="E190">
        <v>205.94669999999999</v>
      </c>
      <c r="F190">
        <v>238.49940000000001</v>
      </c>
      <c r="G190">
        <v>259.83</v>
      </c>
      <c r="H190">
        <v>260.68349999999998</v>
      </c>
      <c r="I190">
        <v>362.5428</v>
      </c>
      <c r="J190">
        <v>363.15730000000002</v>
      </c>
      <c r="K190" t="s">
        <v>15</v>
      </c>
    </row>
    <row r="191" spans="1:11" x14ac:dyDescent="0.25">
      <c r="A191" t="s">
        <v>37</v>
      </c>
      <c r="B191" t="s">
        <v>864</v>
      </c>
      <c r="C191">
        <v>0</v>
      </c>
      <c r="D191">
        <v>168.80760000000001</v>
      </c>
      <c r="E191">
        <v>176.66249999999999</v>
      </c>
      <c r="F191">
        <v>186.6062</v>
      </c>
      <c r="G191">
        <v>216.6</v>
      </c>
      <c r="H191">
        <v>228</v>
      </c>
      <c r="I191">
        <v>333.03500000000003</v>
      </c>
      <c r="J191">
        <v>372.18720000000002</v>
      </c>
      <c r="K191" t="s">
        <v>15</v>
      </c>
    </row>
    <row r="192" spans="1:11" x14ac:dyDescent="0.25">
      <c r="A192" t="s">
        <v>37</v>
      </c>
      <c r="B192" t="s">
        <v>873</v>
      </c>
      <c r="C192">
        <v>0</v>
      </c>
      <c r="D192">
        <v>415.43880000000001</v>
      </c>
      <c r="E192">
        <v>481.78680000000003</v>
      </c>
      <c r="F192">
        <v>498.89819999999997</v>
      </c>
      <c r="G192">
        <v>579.89520000000005</v>
      </c>
      <c r="H192">
        <v>599.86800000000005</v>
      </c>
      <c r="I192">
        <v>789.43079999999998</v>
      </c>
      <c r="J192">
        <v>802.51800000000003</v>
      </c>
      <c r="K192" t="s">
        <v>15</v>
      </c>
    </row>
    <row r="193" spans="1:11" x14ac:dyDescent="0.25">
      <c r="A193" t="s">
        <v>37</v>
      </c>
      <c r="B193" t="s">
        <v>882</v>
      </c>
      <c r="C193">
        <v>0</v>
      </c>
      <c r="D193">
        <v>277.89030000000002</v>
      </c>
      <c r="E193">
        <v>355.25819999999999</v>
      </c>
      <c r="F193">
        <v>382.78300000000002</v>
      </c>
      <c r="G193">
        <v>393.44369999999998</v>
      </c>
      <c r="H193">
        <v>399.56740000000002</v>
      </c>
      <c r="I193">
        <v>552.33000000000004</v>
      </c>
      <c r="J193">
        <v>579.89520000000005</v>
      </c>
      <c r="K193" t="s">
        <v>15</v>
      </c>
    </row>
    <row r="194" spans="1:11" x14ac:dyDescent="0.25">
      <c r="A194" t="s">
        <v>37</v>
      </c>
      <c r="B194" t="s">
        <v>891</v>
      </c>
      <c r="C194">
        <v>0</v>
      </c>
      <c r="D194">
        <v>128.8707</v>
      </c>
      <c r="E194">
        <v>162.10759999999999</v>
      </c>
      <c r="F194">
        <v>176.20910000000001</v>
      </c>
      <c r="G194">
        <v>195.6054</v>
      </c>
      <c r="H194">
        <v>190.06360000000001</v>
      </c>
      <c r="I194">
        <v>258.99009999999998</v>
      </c>
      <c r="J194">
        <v>303.4452</v>
      </c>
      <c r="K194" t="s">
        <v>15</v>
      </c>
    </row>
    <row r="195" spans="1:11" x14ac:dyDescent="0.25">
      <c r="A195" t="s">
        <v>37</v>
      </c>
      <c r="B195" t="s">
        <v>900</v>
      </c>
      <c r="C195">
        <v>0</v>
      </c>
      <c r="D195">
        <v>108.0658</v>
      </c>
      <c r="E195">
        <v>103.833</v>
      </c>
      <c r="F195">
        <v>113.64100000000001</v>
      </c>
      <c r="G195">
        <v>147.1224</v>
      </c>
      <c r="H195">
        <v>155.34</v>
      </c>
      <c r="I195">
        <v>235.9666</v>
      </c>
      <c r="J195">
        <v>273.01740000000001</v>
      </c>
      <c r="K195" t="s">
        <v>15</v>
      </c>
    </row>
    <row r="196" spans="1:11" x14ac:dyDescent="0.25">
      <c r="A196" t="s">
        <v>37</v>
      </c>
      <c r="B196" t="s">
        <v>909</v>
      </c>
      <c r="C196">
        <v>0</v>
      </c>
      <c r="D196">
        <v>83.938199999999995</v>
      </c>
      <c r="E196">
        <v>97.720799999999997</v>
      </c>
      <c r="F196">
        <v>101.7336</v>
      </c>
      <c r="G196">
        <v>114</v>
      </c>
      <c r="H196">
        <v>120.057</v>
      </c>
      <c r="I196">
        <v>160.46639999999999</v>
      </c>
      <c r="J196">
        <v>167.53440000000001</v>
      </c>
      <c r="K196" t="s">
        <v>15</v>
      </c>
    </row>
    <row r="197" spans="1:11" x14ac:dyDescent="0.25">
      <c r="A197" t="s">
        <v>333</v>
      </c>
      <c r="B197" t="s">
        <v>47</v>
      </c>
      <c r="C197">
        <v>0</v>
      </c>
      <c r="D197">
        <v>152.8049</v>
      </c>
      <c r="E197">
        <v>185.63759999999999</v>
      </c>
      <c r="F197">
        <v>194.99700000000001</v>
      </c>
      <c r="G197">
        <v>222.7774</v>
      </c>
      <c r="H197">
        <v>228.4872</v>
      </c>
      <c r="I197">
        <v>316.14620000000002</v>
      </c>
      <c r="J197">
        <v>323.34859999999998</v>
      </c>
      <c r="K197" t="s">
        <v>15</v>
      </c>
    </row>
    <row r="198" spans="1:11" x14ac:dyDescent="0.25">
      <c r="A198" t="s">
        <v>333</v>
      </c>
      <c r="B198" t="s">
        <v>56</v>
      </c>
      <c r="C198">
        <v>0</v>
      </c>
      <c r="D198">
        <v>137.4555</v>
      </c>
      <c r="E198">
        <v>192.06720000000001</v>
      </c>
      <c r="F198">
        <v>206.56800000000001</v>
      </c>
      <c r="G198">
        <v>234.726</v>
      </c>
      <c r="H198">
        <v>271.81360000000001</v>
      </c>
      <c r="I198">
        <v>354.15890000000002</v>
      </c>
      <c r="J198">
        <v>374.3304</v>
      </c>
      <c r="K198" t="s">
        <v>15</v>
      </c>
    </row>
    <row r="199" spans="1:11" x14ac:dyDescent="0.25">
      <c r="A199" t="s">
        <v>333</v>
      </c>
      <c r="B199" t="s">
        <v>46</v>
      </c>
      <c r="C199">
        <v>0</v>
      </c>
      <c r="D199">
        <v>273.99149999999997</v>
      </c>
      <c r="E199">
        <v>347.2824</v>
      </c>
      <c r="F199">
        <v>353.108</v>
      </c>
      <c r="G199">
        <v>388.4323</v>
      </c>
      <c r="H199">
        <v>398.88339999999999</v>
      </c>
      <c r="I199">
        <v>537.08540000000005</v>
      </c>
      <c r="J199">
        <v>551.5634</v>
      </c>
      <c r="K199" t="s">
        <v>15</v>
      </c>
    </row>
    <row r="200" spans="1:11" x14ac:dyDescent="0.25">
      <c r="A200" t="s">
        <v>333</v>
      </c>
      <c r="B200" t="s">
        <v>73</v>
      </c>
      <c r="C200">
        <v>0</v>
      </c>
      <c r="D200">
        <v>545.29100000000005</v>
      </c>
      <c r="E200">
        <v>569.38440000000003</v>
      </c>
      <c r="F200">
        <v>590.99879999999996</v>
      </c>
      <c r="G200">
        <v>670.54100000000005</v>
      </c>
      <c r="H200">
        <v>671.83780000000002</v>
      </c>
      <c r="I200">
        <v>852.74279999999999</v>
      </c>
      <c r="J200">
        <v>868.90800000000002</v>
      </c>
      <c r="K200" t="s">
        <v>15</v>
      </c>
    </row>
    <row r="201" spans="1:11" x14ac:dyDescent="0.25">
      <c r="A201" t="s">
        <v>333</v>
      </c>
      <c r="B201" t="s">
        <v>82</v>
      </c>
      <c r="C201">
        <v>0</v>
      </c>
      <c r="D201">
        <v>143.697</v>
      </c>
      <c r="E201">
        <v>185.136</v>
      </c>
      <c r="F201">
        <v>200.0016</v>
      </c>
      <c r="G201">
        <v>219.97300000000001</v>
      </c>
      <c r="H201">
        <v>226.94820000000001</v>
      </c>
      <c r="I201">
        <v>341.0652</v>
      </c>
      <c r="J201">
        <v>344.4624</v>
      </c>
      <c r="K201" t="s">
        <v>15</v>
      </c>
    </row>
    <row r="202" spans="1:11" x14ac:dyDescent="0.25">
      <c r="A202" t="s">
        <v>333</v>
      </c>
      <c r="B202" t="s">
        <v>91</v>
      </c>
      <c r="C202">
        <v>0</v>
      </c>
      <c r="D202">
        <v>169.1361</v>
      </c>
      <c r="E202">
        <v>195.16800000000001</v>
      </c>
      <c r="F202">
        <v>207.93600000000001</v>
      </c>
      <c r="G202">
        <v>233.6808</v>
      </c>
      <c r="H202">
        <v>263.37599999999998</v>
      </c>
      <c r="I202">
        <v>350.00209999999998</v>
      </c>
      <c r="J202">
        <v>353.49119999999999</v>
      </c>
      <c r="K202" t="s">
        <v>15</v>
      </c>
    </row>
    <row r="203" spans="1:11" x14ac:dyDescent="0.25">
      <c r="A203" t="s">
        <v>333</v>
      </c>
      <c r="B203" t="s">
        <v>100</v>
      </c>
      <c r="C203">
        <v>0</v>
      </c>
      <c r="D203">
        <v>300.4128</v>
      </c>
      <c r="E203">
        <v>368.56200000000001</v>
      </c>
      <c r="F203">
        <v>385.12619999999998</v>
      </c>
      <c r="G203">
        <v>412.72559999999999</v>
      </c>
      <c r="H203">
        <v>450.01499999999999</v>
      </c>
      <c r="I203">
        <v>578.24360000000001</v>
      </c>
      <c r="J203">
        <v>596.06039999999996</v>
      </c>
      <c r="K203" t="s">
        <v>15</v>
      </c>
    </row>
    <row r="204" spans="1:11" x14ac:dyDescent="0.25">
      <c r="A204" t="s">
        <v>333</v>
      </c>
      <c r="B204" t="s">
        <v>109</v>
      </c>
      <c r="C204">
        <v>0</v>
      </c>
      <c r="D204">
        <v>196.7868</v>
      </c>
      <c r="E204">
        <v>229.1585</v>
      </c>
      <c r="F204">
        <v>240.35759999999999</v>
      </c>
      <c r="G204">
        <v>273.7824</v>
      </c>
      <c r="H204">
        <v>289.50299999999999</v>
      </c>
      <c r="I204">
        <v>420.65030000000002</v>
      </c>
      <c r="J204">
        <v>445.80900000000003</v>
      </c>
      <c r="K204" t="s">
        <v>15</v>
      </c>
    </row>
    <row r="205" spans="1:11" x14ac:dyDescent="0.25">
      <c r="A205" t="s">
        <v>333</v>
      </c>
      <c r="B205" t="s">
        <v>118</v>
      </c>
      <c r="C205">
        <v>0</v>
      </c>
      <c r="D205">
        <v>211.4529</v>
      </c>
      <c r="E205">
        <v>273.40320000000003</v>
      </c>
      <c r="F205">
        <v>280.65280000000001</v>
      </c>
      <c r="G205">
        <v>267.62759999999997</v>
      </c>
      <c r="H205">
        <v>271.584</v>
      </c>
      <c r="I205">
        <v>348.3612</v>
      </c>
      <c r="J205">
        <v>378.49599999999998</v>
      </c>
      <c r="K205" t="s">
        <v>15</v>
      </c>
    </row>
    <row r="206" spans="1:11" x14ac:dyDescent="0.25">
      <c r="A206" t="s">
        <v>333</v>
      </c>
      <c r="B206" t="s">
        <v>127</v>
      </c>
      <c r="C206">
        <v>0</v>
      </c>
      <c r="D206">
        <v>250.98240000000001</v>
      </c>
      <c r="E206">
        <v>284.69220000000001</v>
      </c>
      <c r="F206">
        <v>296.63940000000002</v>
      </c>
      <c r="G206">
        <v>326.63589999999999</v>
      </c>
      <c r="H206">
        <v>334.63639999999998</v>
      </c>
      <c r="I206">
        <v>443.77690000000001</v>
      </c>
      <c r="J206">
        <v>472.29969999999997</v>
      </c>
      <c r="K206" t="s">
        <v>15</v>
      </c>
    </row>
    <row r="207" spans="1:11" x14ac:dyDescent="0.25">
      <c r="A207" t="s">
        <v>333</v>
      </c>
      <c r="B207" t="s">
        <v>136</v>
      </c>
      <c r="C207">
        <v>0</v>
      </c>
      <c r="D207">
        <v>186.32159999999999</v>
      </c>
      <c r="E207">
        <v>229.1585</v>
      </c>
      <c r="F207">
        <v>238.49940000000001</v>
      </c>
      <c r="G207">
        <v>273.7824</v>
      </c>
      <c r="H207">
        <v>289.50299999999999</v>
      </c>
      <c r="I207">
        <v>421.55079999999998</v>
      </c>
      <c r="J207">
        <v>449.34750000000003</v>
      </c>
      <c r="K207" t="s">
        <v>15</v>
      </c>
    </row>
    <row r="208" spans="1:11" x14ac:dyDescent="0.25">
      <c r="A208" t="s">
        <v>333</v>
      </c>
      <c r="B208" t="s">
        <v>145</v>
      </c>
      <c r="C208">
        <v>0</v>
      </c>
      <c r="D208">
        <v>339.92520000000002</v>
      </c>
      <c r="E208">
        <v>374.42579999999998</v>
      </c>
      <c r="F208">
        <v>401.37119999999999</v>
      </c>
      <c r="G208">
        <v>429.34899999999999</v>
      </c>
      <c r="H208">
        <v>464.15280000000001</v>
      </c>
      <c r="I208">
        <v>615.05280000000005</v>
      </c>
      <c r="J208">
        <v>641.06759999999997</v>
      </c>
      <c r="K208" t="s">
        <v>15</v>
      </c>
    </row>
    <row r="209" spans="1:11" x14ac:dyDescent="0.25">
      <c r="A209" t="s">
        <v>333</v>
      </c>
      <c r="B209" t="s">
        <v>154</v>
      </c>
      <c r="C209">
        <v>0</v>
      </c>
      <c r="D209">
        <v>201.64580000000001</v>
      </c>
      <c r="E209">
        <v>230.89709999999999</v>
      </c>
      <c r="F209">
        <v>246.846</v>
      </c>
      <c r="G209">
        <v>274.64420000000001</v>
      </c>
      <c r="H209">
        <v>291.82299999999998</v>
      </c>
      <c r="I209">
        <v>316.12200000000001</v>
      </c>
      <c r="J209">
        <v>331.47359999999998</v>
      </c>
      <c r="K209" t="s">
        <v>15</v>
      </c>
    </row>
    <row r="210" spans="1:11" x14ac:dyDescent="0.25">
      <c r="A210" t="s">
        <v>333</v>
      </c>
      <c r="B210" t="s">
        <v>163</v>
      </c>
      <c r="C210">
        <v>0</v>
      </c>
      <c r="D210">
        <v>492.43439999999998</v>
      </c>
      <c r="E210">
        <v>620.93780000000004</v>
      </c>
      <c r="F210">
        <v>640.79399999999998</v>
      </c>
      <c r="G210">
        <v>732.01679999999999</v>
      </c>
      <c r="H210">
        <v>742.25400000000002</v>
      </c>
      <c r="I210">
        <v>902.17319999999995</v>
      </c>
      <c r="J210">
        <v>918.33839999999998</v>
      </c>
      <c r="K210" t="s">
        <v>15</v>
      </c>
    </row>
    <row r="211" spans="1:11" x14ac:dyDescent="0.25">
      <c r="A211" t="s">
        <v>333</v>
      </c>
      <c r="B211" t="s">
        <v>172</v>
      </c>
      <c r="C211">
        <v>0</v>
      </c>
      <c r="D211">
        <v>164.79839999999999</v>
      </c>
      <c r="E211">
        <v>184.1328</v>
      </c>
      <c r="F211">
        <v>195.64680000000001</v>
      </c>
      <c r="G211">
        <v>207.00120000000001</v>
      </c>
      <c r="H211">
        <v>220.13399999999999</v>
      </c>
      <c r="I211">
        <v>263.6748</v>
      </c>
      <c r="J211">
        <v>273.95760000000001</v>
      </c>
      <c r="K211" t="s">
        <v>15</v>
      </c>
    </row>
    <row r="212" spans="1:11" x14ac:dyDescent="0.25">
      <c r="A212" t="s">
        <v>333</v>
      </c>
      <c r="B212" t="s">
        <v>181</v>
      </c>
      <c r="C212">
        <v>0</v>
      </c>
      <c r="D212">
        <v>121.9247</v>
      </c>
      <c r="E212">
        <v>159.2808</v>
      </c>
      <c r="F212">
        <v>161.83439999999999</v>
      </c>
      <c r="G212">
        <v>181.96029999999999</v>
      </c>
      <c r="H212">
        <v>191.0334</v>
      </c>
      <c r="I212">
        <v>280.31049999999999</v>
      </c>
      <c r="J212">
        <v>294.0711</v>
      </c>
      <c r="K212" t="s">
        <v>15</v>
      </c>
    </row>
    <row r="213" spans="1:11" x14ac:dyDescent="0.25">
      <c r="A213" t="s">
        <v>333</v>
      </c>
      <c r="B213" t="s">
        <v>190</v>
      </c>
      <c r="C213">
        <v>0</v>
      </c>
      <c r="D213">
        <v>115.197</v>
      </c>
      <c r="E213">
        <v>172.36799999999999</v>
      </c>
      <c r="F213">
        <v>182.4</v>
      </c>
      <c r="G213">
        <v>228</v>
      </c>
      <c r="H213">
        <v>243.333</v>
      </c>
      <c r="I213">
        <v>309.07679999999999</v>
      </c>
      <c r="J213">
        <v>325.1508</v>
      </c>
      <c r="K213" t="s">
        <v>15</v>
      </c>
    </row>
    <row r="214" spans="1:11" x14ac:dyDescent="0.25">
      <c r="A214" t="s">
        <v>333</v>
      </c>
      <c r="B214" t="s">
        <v>199</v>
      </c>
      <c r="C214">
        <v>0</v>
      </c>
      <c r="D214">
        <v>151.71119999999999</v>
      </c>
      <c r="E214">
        <v>190.43700000000001</v>
      </c>
      <c r="F214">
        <v>200.697</v>
      </c>
      <c r="G214">
        <v>242.0676</v>
      </c>
      <c r="H214">
        <v>260.661</v>
      </c>
      <c r="I214">
        <v>347.22120000000001</v>
      </c>
      <c r="J214">
        <v>361.2432</v>
      </c>
      <c r="K214" t="s">
        <v>15</v>
      </c>
    </row>
    <row r="215" spans="1:11" x14ac:dyDescent="0.25">
      <c r="A215" t="s">
        <v>333</v>
      </c>
      <c r="B215" t="s">
        <v>208</v>
      </c>
      <c r="C215">
        <v>0</v>
      </c>
      <c r="D215">
        <v>98.096999999999994</v>
      </c>
      <c r="E215">
        <v>109.66800000000001</v>
      </c>
      <c r="F215">
        <v>114.108</v>
      </c>
      <c r="G215">
        <v>148.19999999999999</v>
      </c>
      <c r="H215">
        <v>156.00960000000001</v>
      </c>
      <c r="I215">
        <v>190.48339999999999</v>
      </c>
      <c r="J215">
        <v>198.34880000000001</v>
      </c>
      <c r="K215" t="s">
        <v>15</v>
      </c>
    </row>
    <row r="216" spans="1:11" x14ac:dyDescent="0.25">
      <c r="A216" t="s">
        <v>333</v>
      </c>
      <c r="B216" t="s">
        <v>217</v>
      </c>
      <c r="C216">
        <v>0</v>
      </c>
      <c r="D216">
        <v>142.06360000000001</v>
      </c>
      <c r="E216">
        <v>163.8845</v>
      </c>
      <c r="F216">
        <v>176.0016</v>
      </c>
      <c r="G216">
        <v>210.13310000000001</v>
      </c>
      <c r="H216">
        <v>223.04400000000001</v>
      </c>
      <c r="I216">
        <v>257.93639999999999</v>
      </c>
      <c r="J216">
        <v>274.81979999999999</v>
      </c>
      <c r="K216" t="s">
        <v>15</v>
      </c>
    </row>
    <row r="217" spans="1:11" x14ac:dyDescent="0.25">
      <c r="A217" t="s">
        <v>333</v>
      </c>
      <c r="B217" t="s">
        <v>226</v>
      </c>
      <c r="C217">
        <v>0</v>
      </c>
      <c r="D217">
        <v>187.00470000000001</v>
      </c>
      <c r="E217">
        <v>229.96080000000001</v>
      </c>
      <c r="F217">
        <v>240.08539999999999</v>
      </c>
      <c r="G217">
        <v>264.34440000000001</v>
      </c>
      <c r="H217">
        <v>266.79599999999999</v>
      </c>
      <c r="I217">
        <v>359.97039999999998</v>
      </c>
      <c r="J217">
        <v>380.6728</v>
      </c>
      <c r="K217" t="s">
        <v>15</v>
      </c>
    </row>
    <row r="218" spans="1:11" x14ac:dyDescent="0.25">
      <c r="A218" t="s">
        <v>333</v>
      </c>
      <c r="B218" t="s">
        <v>235</v>
      </c>
      <c r="C218">
        <v>0</v>
      </c>
      <c r="D218">
        <v>266.94310000000002</v>
      </c>
      <c r="E218">
        <v>308.50760000000002</v>
      </c>
      <c r="F218">
        <v>333.82310000000001</v>
      </c>
      <c r="G218">
        <v>387.38260000000002</v>
      </c>
      <c r="H218">
        <v>396.25380000000001</v>
      </c>
      <c r="I218">
        <v>501.61970000000002</v>
      </c>
      <c r="J218">
        <v>515.64170000000001</v>
      </c>
      <c r="K218" t="s">
        <v>15</v>
      </c>
    </row>
    <row r="219" spans="1:11" x14ac:dyDescent="0.25">
      <c r="A219" t="s">
        <v>333</v>
      </c>
      <c r="B219" t="s">
        <v>244</v>
      </c>
      <c r="C219">
        <v>0</v>
      </c>
      <c r="D219">
        <v>109.3032</v>
      </c>
      <c r="E219">
        <v>129.96</v>
      </c>
      <c r="F219">
        <v>149.6602</v>
      </c>
      <c r="G219">
        <v>161.9821</v>
      </c>
      <c r="H219">
        <v>163.61240000000001</v>
      </c>
      <c r="I219">
        <v>204.28639999999999</v>
      </c>
      <c r="J219">
        <v>204.28639999999999</v>
      </c>
      <c r="K219" t="s">
        <v>15</v>
      </c>
    </row>
    <row r="220" spans="1:11" x14ac:dyDescent="0.25">
      <c r="A220" t="s">
        <v>333</v>
      </c>
      <c r="B220" t="s">
        <v>253</v>
      </c>
      <c r="C220">
        <v>0</v>
      </c>
      <c r="D220">
        <v>109.32599999999999</v>
      </c>
      <c r="E220">
        <v>119.99639999999999</v>
      </c>
      <c r="F220">
        <v>126.35760000000001</v>
      </c>
      <c r="G220">
        <v>153.0564</v>
      </c>
      <c r="H220">
        <v>168.94800000000001</v>
      </c>
      <c r="I220">
        <v>250.98240000000001</v>
      </c>
      <c r="J220">
        <v>262.38240000000002</v>
      </c>
      <c r="K220" t="s">
        <v>15</v>
      </c>
    </row>
    <row r="221" spans="1:11" x14ac:dyDescent="0.25">
      <c r="A221" t="s">
        <v>333</v>
      </c>
      <c r="B221" t="s">
        <v>37</v>
      </c>
      <c r="C221">
        <v>0</v>
      </c>
      <c r="D221">
        <v>114.5792</v>
      </c>
      <c r="E221">
        <v>128.3184</v>
      </c>
      <c r="F221">
        <v>128.59200000000001</v>
      </c>
      <c r="G221">
        <v>159.6</v>
      </c>
      <c r="H221">
        <v>166.66499999999999</v>
      </c>
      <c r="I221">
        <v>235.06800000000001</v>
      </c>
      <c r="J221">
        <v>238.37860000000001</v>
      </c>
      <c r="K221" t="s">
        <v>15</v>
      </c>
    </row>
    <row r="222" spans="1:11" x14ac:dyDescent="0.25">
      <c r="A222" t="s">
        <v>333</v>
      </c>
      <c r="B222" t="s">
        <v>270</v>
      </c>
      <c r="C222">
        <v>0</v>
      </c>
      <c r="D222">
        <v>132.9468</v>
      </c>
      <c r="E222">
        <v>148.96379999999999</v>
      </c>
      <c r="F222">
        <v>155.38200000000001</v>
      </c>
      <c r="G222">
        <v>207.50280000000001</v>
      </c>
      <c r="H222">
        <v>218.25299999999999</v>
      </c>
      <c r="I222">
        <v>247.4684</v>
      </c>
      <c r="J222">
        <v>260.3732</v>
      </c>
      <c r="K222" t="s">
        <v>15</v>
      </c>
    </row>
    <row r="223" spans="1:11" x14ac:dyDescent="0.25">
      <c r="A223" t="s">
        <v>333</v>
      </c>
      <c r="B223" t="s">
        <v>279</v>
      </c>
      <c r="C223">
        <v>0</v>
      </c>
      <c r="D223">
        <v>148.19999999999999</v>
      </c>
      <c r="E223">
        <v>178.06800000000001</v>
      </c>
      <c r="F223">
        <v>195.16800000000001</v>
      </c>
      <c r="G223">
        <v>224.64699999999999</v>
      </c>
      <c r="H223">
        <v>228.31620000000001</v>
      </c>
      <c r="I223">
        <v>256.15800000000002</v>
      </c>
      <c r="J223">
        <v>256.15800000000002</v>
      </c>
      <c r="K223" t="s">
        <v>15</v>
      </c>
    </row>
    <row r="224" spans="1:11" x14ac:dyDescent="0.25">
      <c r="A224" t="s">
        <v>333</v>
      </c>
      <c r="B224" t="s">
        <v>288</v>
      </c>
      <c r="C224">
        <v>0</v>
      </c>
      <c r="D224">
        <v>176.56319999999999</v>
      </c>
      <c r="E224">
        <v>218.17689999999999</v>
      </c>
      <c r="F224">
        <v>239.0694</v>
      </c>
      <c r="G224">
        <v>253.87799999999999</v>
      </c>
      <c r="H224">
        <v>290.98500000000001</v>
      </c>
      <c r="I224">
        <v>348.3732</v>
      </c>
      <c r="J224">
        <v>360.07530000000003</v>
      </c>
      <c r="K224" t="s">
        <v>15</v>
      </c>
    </row>
    <row r="225" spans="1:11" x14ac:dyDescent="0.25">
      <c r="A225" t="s">
        <v>333</v>
      </c>
      <c r="B225" t="s">
        <v>297</v>
      </c>
      <c r="C225">
        <v>0</v>
      </c>
      <c r="D225">
        <v>157.52449999999999</v>
      </c>
      <c r="E225">
        <v>204.37</v>
      </c>
      <c r="F225">
        <v>212.39340000000001</v>
      </c>
      <c r="G225">
        <v>225.70580000000001</v>
      </c>
      <c r="H225">
        <v>229.00020000000001</v>
      </c>
      <c r="I225">
        <v>343.3879</v>
      </c>
      <c r="J225">
        <v>368.11590000000001</v>
      </c>
      <c r="K225" t="s">
        <v>15</v>
      </c>
    </row>
    <row r="226" spans="1:11" x14ac:dyDescent="0.25">
      <c r="A226" t="s">
        <v>333</v>
      </c>
      <c r="B226" t="s">
        <v>306</v>
      </c>
      <c r="C226">
        <v>0</v>
      </c>
      <c r="D226">
        <v>104.03230000000001</v>
      </c>
      <c r="E226">
        <v>175.1952</v>
      </c>
      <c r="F226">
        <v>182.87880000000001</v>
      </c>
      <c r="G226">
        <v>225.50059999999999</v>
      </c>
      <c r="H226">
        <v>229.1712</v>
      </c>
      <c r="I226">
        <v>332.65199999999999</v>
      </c>
      <c r="J226">
        <v>344.14319999999998</v>
      </c>
      <c r="K226" t="s">
        <v>15</v>
      </c>
    </row>
    <row r="227" spans="1:11" x14ac:dyDescent="0.25">
      <c r="A227" t="s">
        <v>333</v>
      </c>
      <c r="B227" t="s">
        <v>315</v>
      </c>
      <c r="C227">
        <v>0</v>
      </c>
      <c r="D227">
        <v>209.09880000000001</v>
      </c>
      <c r="E227">
        <v>260.32029999999997</v>
      </c>
      <c r="F227">
        <v>286.767</v>
      </c>
      <c r="G227">
        <v>310.2002</v>
      </c>
      <c r="H227">
        <v>315.4812</v>
      </c>
      <c r="I227">
        <v>448.22879999999998</v>
      </c>
      <c r="J227">
        <v>469.72919999999999</v>
      </c>
      <c r="K227" t="s">
        <v>15</v>
      </c>
    </row>
    <row r="228" spans="1:11" x14ac:dyDescent="0.25">
      <c r="A228" t="s">
        <v>333</v>
      </c>
      <c r="B228" t="s">
        <v>324</v>
      </c>
      <c r="C228">
        <v>0</v>
      </c>
      <c r="D228">
        <v>364.517</v>
      </c>
      <c r="E228">
        <v>389.81709999999998</v>
      </c>
      <c r="F228">
        <v>423.8202</v>
      </c>
      <c r="G228">
        <v>456.14400000000001</v>
      </c>
      <c r="H228">
        <v>492.6</v>
      </c>
      <c r="I228">
        <v>645.58659999999998</v>
      </c>
      <c r="J228">
        <v>692.25360000000001</v>
      </c>
      <c r="K228" t="s">
        <v>15</v>
      </c>
    </row>
    <row r="229" spans="1:11" x14ac:dyDescent="0.25">
      <c r="A229" t="s">
        <v>333</v>
      </c>
      <c r="B229" t="s">
        <v>333</v>
      </c>
      <c r="C229">
        <v>0</v>
      </c>
      <c r="D229">
        <v>81.179400000000001</v>
      </c>
      <c r="E229">
        <v>97.164000000000001</v>
      </c>
      <c r="F229">
        <v>97.164000000000001</v>
      </c>
      <c r="G229">
        <v>142.59119999999999</v>
      </c>
      <c r="H229">
        <v>152.81700000000001</v>
      </c>
      <c r="I229">
        <v>194.5752</v>
      </c>
      <c r="J229">
        <v>180.53039999999999</v>
      </c>
      <c r="K229" t="s">
        <v>15</v>
      </c>
    </row>
    <row r="230" spans="1:11" x14ac:dyDescent="0.25">
      <c r="A230" t="s">
        <v>333</v>
      </c>
      <c r="B230" t="s">
        <v>342</v>
      </c>
      <c r="C230">
        <v>0</v>
      </c>
      <c r="D230">
        <v>92.476799999999997</v>
      </c>
      <c r="E230">
        <v>108.3456</v>
      </c>
      <c r="F230">
        <v>118.788</v>
      </c>
      <c r="G230">
        <v>160.0104</v>
      </c>
      <c r="H230">
        <v>173.79300000000001</v>
      </c>
      <c r="I230">
        <v>200.89080000000001</v>
      </c>
      <c r="J230">
        <v>211.66319999999999</v>
      </c>
      <c r="K230" t="s">
        <v>15</v>
      </c>
    </row>
    <row r="231" spans="1:11" x14ac:dyDescent="0.25">
      <c r="A231" t="s">
        <v>333</v>
      </c>
      <c r="B231" t="s">
        <v>351</v>
      </c>
      <c r="C231">
        <v>0</v>
      </c>
      <c r="D231">
        <v>176.88239999999999</v>
      </c>
      <c r="E231">
        <v>194.31299999999999</v>
      </c>
      <c r="F231">
        <v>204.86940000000001</v>
      </c>
      <c r="G231">
        <v>229.09440000000001</v>
      </c>
      <c r="H231">
        <v>265.33499999999998</v>
      </c>
      <c r="I231">
        <v>365.9599</v>
      </c>
      <c r="J231">
        <v>387.91980000000001</v>
      </c>
      <c r="K231" t="s">
        <v>15</v>
      </c>
    </row>
    <row r="232" spans="1:11" x14ac:dyDescent="0.25">
      <c r="A232" t="s">
        <v>333</v>
      </c>
      <c r="B232" t="s">
        <v>360</v>
      </c>
      <c r="C232">
        <v>0</v>
      </c>
      <c r="D232">
        <v>284.24759999999998</v>
      </c>
      <c r="E232">
        <v>328.49099999999999</v>
      </c>
      <c r="F232">
        <v>341.0994</v>
      </c>
      <c r="G232">
        <v>385.20600000000002</v>
      </c>
      <c r="H232">
        <v>409.089</v>
      </c>
      <c r="I232">
        <v>540.36279999999999</v>
      </c>
      <c r="J232">
        <v>570.51020000000005</v>
      </c>
      <c r="K232" t="s">
        <v>15</v>
      </c>
    </row>
    <row r="233" spans="1:11" x14ac:dyDescent="0.25">
      <c r="A233" t="s">
        <v>333</v>
      </c>
      <c r="B233" t="s">
        <v>369</v>
      </c>
      <c r="C233">
        <v>0</v>
      </c>
      <c r="D233">
        <v>313.10300000000001</v>
      </c>
      <c r="E233">
        <v>351.91079999999999</v>
      </c>
      <c r="F233">
        <v>380.59140000000002</v>
      </c>
      <c r="G233">
        <v>429.96960000000001</v>
      </c>
      <c r="H233">
        <v>441.24299999999999</v>
      </c>
      <c r="I233">
        <v>641.84739999999999</v>
      </c>
      <c r="J233">
        <v>658.20860000000005</v>
      </c>
      <c r="K233" t="s">
        <v>15</v>
      </c>
    </row>
    <row r="234" spans="1:11" x14ac:dyDescent="0.25">
      <c r="A234" t="s">
        <v>333</v>
      </c>
      <c r="B234" t="s">
        <v>378</v>
      </c>
      <c r="C234">
        <v>0</v>
      </c>
      <c r="D234">
        <v>169.2216</v>
      </c>
      <c r="E234">
        <v>246.5934</v>
      </c>
      <c r="F234">
        <v>254.69880000000001</v>
      </c>
      <c r="G234">
        <v>287.48160000000001</v>
      </c>
      <c r="H234">
        <v>289.77100000000002</v>
      </c>
      <c r="I234">
        <v>426.9522</v>
      </c>
      <c r="J234">
        <v>427.97820000000002</v>
      </c>
      <c r="K234" t="s">
        <v>15</v>
      </c>
    </row>
    <row r="235" spans="1:11" x14ac:dyDescent="0.25">
      <c r="A235" t="s">
        <v>333</v>
      </c>
      <c r="B235" t="s">
        <v>387</v>
      </c>
      <c r="C235">
        <v>0</v>
      </c>
      <c r="D235">
        <v>131.19120000000001</v>
      </c>
      <c r="E235">
        <v>152.17930000000001</v>
      </c>
      <c r="F235">
        <v>147.5958</v>
      </c>
      <c r="G235">
        <v>163.52160000000001</v>
      </c>
      <c r="H235">
        <v>174.648</v>
      </c>
      <c r="I235">
        <v>228.4896</v>
      </c>
      <c r="J235">
        <v>239.49119999999999</v>
      </c>
      <c r="K235" t="s">
        <v>15</v>
      </c>
    </row>
    <row r="236" spans="1:11" x14ac:dyDescent="0.25">
      <c r="A236" t="s">
        <v>333</v>
      </c>
      <c r="B236" t="s">
        <v>396</v>
      </c>
      <c r="C236">
        <v>0</v>
      </c>
      <c r="D236">
        <v>160.33879999999999</v>
      </c>
      <c r="E236">
        <v>186.77690000000001</v>
      </c>
      <c r="F236">
        <v>188.20140000000001</v>
      </c>
      <c r="G236">
        <v>209.57759999999999</v>
      </c>
      <c r="H236">
        <v>213.87360000000001</v>
      </c>
      <c r="I236">
        <v>291.39769999999999</v>
      </c>
      <c r="J236">
        <v>307.0385</v>
      </c>
      <c r="K236" t="s">
        <v>15</v>
      </c>
    </row>
    <row r="237" spans="1:11" x14ac:dyDescent="0.25">
      <c r="A237" t="s">
        <v>333</v>
      </c>
      <c r="B237" t="s">
        <v>405</v>
      </c>
      <c r="C237">
        <v>0</v>
      </c>
      <c r="D237">
        <v>109.497</v>
      </c>
      <c r="E237">
        <v>125.9016</v>
      </c>
      <c r="F237">
        <v>132.1944</v>
      </c>
      <c r="G237">
        <v>153.0564</v>
      </c>
      <c r="H237">
        <v>163.24799999999999</v>
      </c>
      <c r="I237">
        <v>218.994</v>
      </c>
      <c r="J237">
        <v>228.5712</v>
      </c>
      <c r="K237" t="s">
        <v>15</v>
      </c>
    </row>
    <row r="238" spans="1:11" x14ac:dyDescent="0.25">
      <c r="A238" t="s">
        <v>333</v>
      </c>
      <c r="B238" t="s">
        <v>414</v>
      </c>
      <c r="C238">
        <v>0</v>
      </c>
      <c r="D238">
        <v>120.6263</v>
      </c>
      <c r="E238">
        <v>135.2397</v>
      </c>
      <c r="F238">
        <v>150.12469999999999</v>
      </c>
      <c r="G238">
        <v>171.36340000000001</v>
      </c>
      <c r="H238">
        <v>179.09280000000001</v>
      </c>
      <c r="I238">
        <v>245.10140000000001</v>
      </c>
      <c r="J238">
        <v>254.4494</v>
      </c>
      <c r="K238" t="s">
        <v>15</v>
      </c>
    </row>
    <row r="239" spans="1:11" x14ac:dyDescent="0.25">
      <c r="A239" t="s">
        <v>333</v>
      </c>
      <c r="B239" t="s">
        <v>423</v>
      </c>
      <c r="C239">
        <v>0</v>
      </c>
      <c r="D239">
        <v>176.88239999999999</v>
      </c>
      <c r="E239">
        <v>201.51779999999999</v>
      </c>
      <c r="F239">
        <v>225.58320000000001</v>
      </c>
      <c r="G239">
        <v>261.81240000000003</v>
      </c>
      <c r="H239">
        <v>275.99400000000003</v>
      </c>
      <c r="I239">
        <v>383.8836</v>
      </c>
      <c r="J239">
        <v>397.79160000000002</v>
      </c>
      <c r="K239" t="s">
        <v>15</v>
      </c>
    </row>
    <row r="240" spans="1:11" x14ac:dyDescent="0.25">
      <c r="A240" t="s">
        <v>333</v>
      </c>
      <c r="B240" t="s">
        <v>432</v>
      </c>
      <c r="C240">
        <v>0</v>
      </c>
      <c r="D240">
        <v>109.497</v>
      </c>
      <c r="E240">
        <v>126.768</v>
      </c>
      <c r="F240">
        <v>138.16800000000001</v>
      </c>
      <c r="G240">
        <v>161.4468</v>
      </c>
      <c r="H240">
        <v>181.43100000000001</v>
      </c>
      <c r="I240">
        <v>214.0797</v>
      </c>
      <c r="J240">
        <v>220.4684</v>
      </c>
      <c r="K240" t="s">
        <v>15</v>
      </c>
    </row>
    <row r="241" spans="1:11" x14ac:dyDescent="0.25">
      <c r="A241" t="s">
        <v>333</v>
      </c>
      <c r="B241" t="s">
        <v>441</v>
      </c>
      <c r="C241">
        <v>0</v>
      </c>
      <c r="D241">
        <v>124.4652</v>
      </c>
      <c r="E241">
        <v>154.17359999999999</v>
      </c>
      <c r="F241">
        <v>164.673</v>
      </c>
      <c r="G241">
        <v>182.19479999999999</v>
      </c>
      <c r="H241">
        <v>202.48740000000001</v>
      </c>
      <c r="I241">
        <v>239.172</v>
      </c>
      <c r="J241">
        <v>248.5265</v>
      </c>
      <c r="K241" t="s">
        <v>15</v>
      </c>
    </row>
    <row r="242" spans="1:11" x14ac:dyDescent="0.25">
      <c r="A242" t="s">
        <v>333</v>
      </c>
      <c r="B242" t="s">
        <v>450</v>
      </c>
      <c r="C242">
        <v>0</v>
      </c>
      <c r="D242">
        <v>180.3252</v>
      </c>
      <c r="E242">
        <v>235.28829999999999</v>
      </c>
      <c r="F242">
        <v>268.42439999999999</v>
      </c>
      <c r="G242">
        <v>293.91789999999997</v>
      </c>
      <c r="H242">
        <v>339.08240000000001</v>
      </c>
      <c r="I242">
        <v>412.87779999999998</v>
      </c>
      <c r="J242">
        <v>425.50330000000002</v>
      </c>
      <c r="K242" t="s">
        <v>15</v>
      </c>
    </row>
    <row r="243" spans="1:11" x14ac:dyDescent="0.25">
      <c r="A243" t="s">
        <v>333</v>
      </c>
      <c r="B243" t="s">
        <v>459</v>
      </c>
      <c r="C243">
        <v>0</v>
      </c>
      <c r="D243">
        <v>197.09460000000001</v>
      </c>
      <c r="E243">
        <v>232.32589999999999</v>
      </c>
      <c r="F243">
        <v>249.73220000000001</v>
      </c>
      <c r="G243">
        <v>286.892</v>
      </c>
      <c r="H243">
        <v>293.70400000000001</v>
      </c>
      <c r="I243">
        <v>418.96660000000003</v>
      </c>
      <c r="J243">
        <v>427.97820000000002</v>
      </c>
      <c r="K243" t="s">
        <v>15</v>
      </c>
    </row>
    <row r="244" spans="1:11" x14ac:dyDescent="0.25">
      <c r="A244" t="s">
        <v>333</v>
      </c>
      <c r="B244" t="s">
        <v>468</v>
      </c>
      <c r="C244">
        <v>0</v>
      </c>
      <c r="D244">
        <v>191.292</v>
      </c>
      <c r="E244">
        <v>227.18289999999999</v>
      </c>
      <c r="F244">
        <v>245.30520000000001</v>
      </c>
      <c r="G244">
        <v>266.09879999999998</v>
      </c>
      <c r="H244">
        <v>300.18360000000001</v>
      </c>
      <c r="I244">
        <v>431.64960000000002</v>
      </c>
      <c r="J244">
        <v>449.59320000000002</v>
      </c>
      <c r="K244" t="s">
        <v>15</v>
      </c>
    </row>
    <row r="245" spans="1:11" x14ac:dyDescent="0.25">
      <c r="A245" t="s">
        <v>333</v>
      </c>
      <c r="B245" t="s">
        <v>477</v>
      </c>
      <c r="C245">
        <v>0</v>
      </c>
      <c r="D245">
        <v>142.79640000000001</v>
      </c>
      <c r="E245">
        <v>197.904</v>
      </c>
      <c r="F245">
        <v>209.304</v>
      </c>
      <c r="G245">
        <v>233.6808</v>
      </c>
      <c r="H245">
        <v>263.37599999999998</v>
      </c>
      <c r="I245">
        <v>346.71960000000001</v>
      </c>
      <c r="J245">
        <v>376.61040000000003</v>
      </c>
      <c r="K245" t="s">
        <v>15</v>
      </c>
    </row>
    <row r="246" spans="1:11" x14ac:dyDescent="0.25">
      <c r="A246" t="s">
        <v>333</v>
      </c>
      <c r="B246" t="s">
        <v>486</v>
      </c>
      <c r="C246">
        <v>0</v>
      </c>
      <c r="D246">
        <v>142.59119999999999</v>
      </c>
      <c r="E246">
        <v>173.67009999999999</v>
      </c>
      <c r="F246">
        <v>185.0334</v>
      </c>
      <c r="G246">
        <v>223.81559999999999</v>
      </c>
      <c r="H246">
        <v>232.70599999999999</v>
      </c>
      <c r="I246">
        <v>327.97800000000001</v>
      </c>
      <c r="J246">
        <v>337.41719999999998</v>
      </c>
      <c r="K246" t="s">
        <v>15</v>
      </c>
    </row>
    <row r="247" spans="1:11" x14ac:dyDescent="0.25">
      <c r="A247" t="s">
        <v>333</v>
      </c>
      <c r="B247" t="s">
        <v>495</v>
      </c>
      <c r="C247">
        <v>0</v>
      </c>
      <c r="D247">
        <v>177.15600000000001</v>
      </c>
      <c r="E247">
        <v>192.89240000000001</v>
      </c>
      <c r="F247">
        <v>205.61959999999999</v>
      </c>
      <c r="G247">
        <v>247.19759999999999</v>
      </c>
      <c r="H247">
        <v>252.56399999999999</v>
      </c>
      <c r="I247">
        <v>359.13940000000002</v>
      </c>
      <c r="J247">
        <v>385.31380000000001</v>
      </c>
      <c r="K247" t="s">
        <v>15</v>
      </c>
    </row>
    <row r="248" spans="1:11" x14ac:dyDescent="0.25">
      <c r="A248" t="s">
        <v>333</v>
      </c>
      <c r="B248" t="s">
        <v>504</v>
      </c>
      <c r="C248">
        <v>0</v>
      </c>
      <c r="D248">
        <v>147.35640000000001</v>
      </c>
      <c r="E248">
        <v>213.29400000000001</v>
      </c>
      <c r="F248">
        <v>222.3</v>
      </c>
      <c r="G248">
        <v>259.62479999999999</v>
      </c>
      <c r="H248">
        <v>263.71800000000002</v>
      </c>
      <c r="I248">
        <v>376.17649999999998</v>
      </c>
      <c r="J248">
        <v>384.58969999999999</v>
      </c>
      <c r="K248" t="s">
        <v>15</v>
      </c>
    </row>
    <row r="249" spans="1:11" x14ac:dyDescent="0.25">
      <c r="A249" t="s">
        <v>333</v>
      </c>
      <c r="B249" t="s">
        <v>513</v>
      </c>
      <c r="C249">
        <v>0</v>
      </c>
      <c r="D249">
        <v>229.1172</v>
      </c>
      <c r="E249">
        <v>267.37560000000002</v>
      </c>
      <c r="F249">
        <v>293.83499999999998</v>
      </c>
      <c r="G249">
        <v>340.31279999999998</v>
      </c>
      <c r="H249">
        <v>359.214</v>
      </c>
      <c r="I249">
        <v>457.41359999999997</v>
      </c>
      <c r="J249">
        <v>491.2296</v>
      </c>
      <c r="K249" t="s">
        <v>15</v>
      </c>
    </row>
    <row r="250" spans="1:11" x14ac:dyDescent="0.25">
      <c r="A250" t="s">
        <v>333</v>
      </c>
      <c r="B250" t="s">
        <v>522</v>
      </c>
      <c r="C250">
        <v>0</v>
      </c>
      <c r="D250">
        <v>191.3946</v>
      </c>
      <c r="E250">
        <v>226.05439999999999</v>
      </c>
      <c r="F250">
        <v>244.2336</v>
      </c>
      <c r="G250">
        <v>271.54669999999999</v>
      </c>
      <c r="H250">
        <v>276.08859999999999</v>
      </c>
      <c r="I250">
        <v>303.42239999999998</v>
      </c>
      <c r="J250">
        <v>332.72039999999998</v>
      </c>
      <c r="K250" t="s">
        <v>15</v>
      </c>
    </row>
    <row r="251" spans="1:11" x14ac:dyDescent="0.25">
      <c r="A251" t="s">
        <v>333</v>
      </c>
      <c r="B251" t="s">
        <v>531</v>
      </c>
      <c r="C251">
        <v>0</v>
      </c>
      <c r="D251">
        <v>117.0826</v>
      </c>
      <c r="E251">
        <v>135.89940000000001</v>
      </c>
      <c r="F251">
        <v>138.71520000000001</v>
      </c>
      <c r="G251">
        <v>174.92160000000001</v>
      </c>
      <c r="H251">
        <v>189.40559999999999</v>
      </c>
      <c r="I251">
        <v>262.38240000000002</v>
      </c>
      <c r="J251">
        <v>276.05709999999999</v>
      </c>
      <c r="K251" t="s">
        <v>15</v>
      </c>
    </row>
    <row r="252" spans="1:11" x14ac:dyDescent="0.25">
      <c r="A252" t="s">
        <v>333</v>
      </c>
      <c r="B252" t="s">
        <v>540</v>
      </c>
      <c r="C252">
        <v>0</v>
      </c>
      <c r="D252">
        <v>136.07040000000001</v>
      </c>
      <c r="E252">
        <v>158.06100000000001</v>
      </c>
      <c r="F252">
        <v>169.46100000000001</v>
      </c>
      <c r="G252">
        <v>196.3536</v>
      </c>
      <c r="H252">
        <v>210.95699999999999</v>
      </c>
      <c r="I252">
        <v>299.73700000000002</v>
      </c>
      <c r="J252">
        <v>317.38420000000002</v>
      </c>
      <c r="K252" t="s">
        <v>15</v>
      </c>
    </row>
    <row r="253" spans="1:11" x14ac:dyDescent="0.25">
      <c r="A253" t="s">
        <v>333</v>
      </c>
      <c r="B253" t="s">
        <v>549</v>
      </c>
      <c r="C253">
        <v>0</v>
      </c>
      <c r="D253">
        <v>131.19120000000001</v>
      </c>
      <c r="E253">
        <v>142.79640000000001</v>
      </c>
      <c r="F253">
        <v>150.11519999999999</v>
      </c>
      <c r="G253">
        <v>174.92160000000001</v>
      </c>
      <c r="H253">
        <v>186.048</v>
      </c>
      <c r="I253">
        <v>262.38240000000002</v>
      </c>
      <c r="J253">
        <v>278.54759999999999</v>
      </c>
      <c r="K253" t="s">
        <v>15</v>
      </c>
    </row>
    <row r="254" spans="1:11" x14ac:dyDescent="0.25">
      <c r="A254" t="s">
        <v>333</v>
      </c>
      <c r="B254" t="s">
        <v>558</v>
      </c>
      <c r="C254">
        <v>0</v>
      </c>
      <c r="D254">
        <v>155.5188</v>
      </c>
      <c r="E254">
        <v>175.6951</v>
      </c>
      <c r="F254">
        <v>189.24</v>
      </c>
      <c r="G254">
        <v>218.4058</v>
      </c>
      <c r="H254">
        <v>245.95500000000001</v>
      </c>
      <c r="I254">
        <v>329.87040000000002</v>
      </c>
      <c r="J254">
        <v>349.77480000000003</v>
      </c>
      <c r="K254" t="s">
        <v>15</v>
      </c>
    </row>
    <row r="255" spans="1:11" x14ac:dyDescent="0.25">
      <c r="A255" t="s">
        <v>333</v>
      </c>
      <c r="B255" t="s">
        <v>567</v>
      </c>
      <c r="C255">
        <v>0</v>
      </c>
      <c r="D255">
        <v>161.9623</v>
      </c>
      <c r="E255">
        <v>181.25800000000001</v>
      </c>
      <c r="F255">
        <v>208.03970000000001</v>
      </c>
      <c r="G255">
        <v>240.63120000000001</v>
      </c>
      <c r="H255">
        <v>240.114</v>
      </c>
      <c r="I255">
        <v>320.226</v>
      </c>
      <c r="J255">
        <v>336.87479999999999</v>
      </c>
      <c r="K255" t="s">
        <v>15</v>
      </c>
    </row>
    <row r="256" spans="1:11" x14ac:dyDescent="0.25">
      <c r="A256" t="s">
        <v>333</v>
      </c>
      <c r="B256" t="s">
        <v>585</v>
      </c>
      <c r="C256">
        <v>0</v>
      </c>
      <c r="D256">
        <v>273.60000000000002</v>
      </c>
      <c r="E256">
        <v>302.10000000000002</v>
      </c>
      <c r="F256">
        <v>313.5</v>
      </c>
      <c r="G256">
        <v>330.6</v>
      </c>
      <c r="H256">
        <v>347.7</v>
      </c>
      <c r="I256">
        <v>401.73599999999999</v>
      </c>
      <c r="J256">
        <v>413.30700000000002</v>
      </c>
      <c r="K256" t="s">
        <v>15</v>
      </c>
    </row>
    <row r="257" spans="1:11" x14ac:dyDescent="0.25">
      <c r="A257" t="s">
        <v>333</v>
      </c>
      <c r="B257" t="s">
        <v>594</v>
      </c>
      <c r="C257">
        <v>0</v>
      </c>
      <c r="D257">
        <v>296.7876</v>
      </c>
      <c r="E257">
        <v>326.51960000000003</v>
      </c>
      <c r="F257">
        <v>345.57960000000003</v>
      </c>
      <c r="G257">
        <v>360.14879999999999</v>
      </c>
      <c r="H257">
        <v>376.87380000000002</v>
      </c>
      <c r="I257">
        <v>528.62929999999994</v>
      </c>
      <c r="J257">
        <v>542.65129999999999</v>
      </c>
      <c r="K257" t="s">
        <v>15</v>
      </c>
    </row>
    <row r="258" spans="1:11" x14ac:dyDescent="0.25">
      <c r="A258" t="s">
        <v>333</v>
      </c>
      <c r="B258" t="s">
        <v>603</v>
      </c>
      <c r="C258">
        <v>0</v>
      </c>
      <c r="D258">
        <v>148.74870000000001</v>
      </c>
      <c r="E258">
        <v>185.5008</v>
      </c>
      <c r="F258">
        <v>193.8</v>
      </c>
      <c r="G258">
        <v>215.29900000000001</v>
      </c>
      <c r="H258">
        <v>226.0932</v>
      </c>
      <c r="I258">
        <v>311.47219999999999</v>
      </c>
      <c r="J258">
        <v>336.39120000000003</v>
      </c>
      <c r="K258" t="s">
        <v>15</v>
      </c>
    </row>
    <row r="259" spans="1:11" x14ac:dyDescent="0.25">
      <c r="A259" t="s">
        <v>333</v>
      </c>
      <c r="B259" t="s">
        <v>612</v>
      </c>
      <c r="C259">
        <v>0</v>
      </c>
      <c r="D259">
        <v>165.56469999999999</v>
      </c>
      <c r="E259">
        <v>181.5316</v>
      </c>
      <c r="F259">
        <v>208.7021</v>
      </c>
      <c r="G259">
        <v>239.6052</v>
      </c>
      <c r="H259">
        <v>236.238</v>
      </c>
      <c r="I259">
        <v>320.226</v>
      </c>
      <c r="J259">
        <v>336.87479999999999</v>
      </c>
      <c r="K259" t="s">
        <v>15</v>
      </c>
    </row>
    <row r="260" spans="1:11" x14ac:dyDescent="0.25">
      <c r="A260" t="s">
        <v>333</v>
      </c>
      <c r="B260" t="s">
        <v>621</v>
      </c>
      <c r="C260">
        <v>0</v>
      </c>
      <c r="D260">
        <v>195.03120000000001</v>
      </c>
      <c r="E260">
        <v>235.28829999999999</v>
      </c>
      <c r="F260">
        <v>256.11239999999998</v>
      </c>
      <c r="G260">
        <v>323.1216</v>
      </c>
      <c r="H260">
        <v>334.63639999999998</v>
      </c>
      <c r="I260">
        <v>387.714</v>
      </c>
      <c r="J260">
        <v>402.85320000000002</v>
      </c>
      <c r="K260" t="s">
        <v>15</v>
      </c>
    </row>
    <row r="261" spans="1:11" x14ac:dyDescent="0.25">
      <c r="A261" t="s">
        <v>333</v>
      </c>
      <c r="B261" t="s">
        <v>630</v>
      </c>
      <c r="C261">
        <v>0</v>
      </c>
      <c r="D261">
        <v>156.2491</v>
      </c>
      <c r="E261">
        <v>192.06720000000001</v>
      </c>
      <c r="F261">
        <v>205.2</v>
      </c>
      <c r="G261">
        <v>225.50059999999999</v>
      </c>
      <c r="H261">
        <v>230.19720000000001</v>
      </c>
      <c r="I261">
        <v>319.09910000000002</v>
      </c>
      <c r="J261">
        <v>319.09910000000002</v>
      </c>
      <c r="K261" t="s">
        <v>15</v>
      </c>
    </row>
    <row r="262" spans="1:11" x14ac:dyDescent="0.25">
      <c r="A262" t="s">
        <v>333</v>
      </c>
      <c r="B262" t="s">
        <v>639</v>
      </c>
      <c r="C262">
        <v>0</v>
      </c>
      <c r="D262">
        <v>215.55109999999999</v>
      </c>
      <c r="E262">
        <v>235.28829999999999</v>
      </c>
      <c r="F262">
        <v>259.03809999999999</v>
      </c>
      <c r="G262">
        <v>293.91789999999997</v>
      </c>
      <c r="H262">
        <v>306.96660000000003</v>
      </c>
      <c r="I262">
        <v>392.18849999999998</v>
      </c>
      <c r="J262">
        <v>423.11040000000003</v>
      </c>
      <c r="K262" t="s">
        <v>15</v>
      </c>
    </row>
    <row r="263" spans="1:11" x14ac:dyDescent="0.25">
      <c r="A263" t="s">
        <v>333</v>
      </c>
      <c r="B263" t="s">
        <v>648</v>
      </c>
      <c r="C263">
        <v>0</v>
      </c>
      <c r="D263">
        <v>174.92160000000001</v>
      </c>
      <c r="E263">
        <v>251.39279999999999</v>
      </c>
      <c r="F263">
        <v>260.39879999999999</v>
      </c>
      <c r="G263">
        <v>294.33550000000002</v>
      </c>
      <c r="H263">
        <v>306.18939999999998</v>
      </c>
      <c r="I263">
        <v>439.47669999999999</v>
      </c>
      <c r="J263">
        <v>452.4221</v>
      </c>
      <c r="K263" t="s">
        <v>15</v>
      </c>
    </row>
    <row r="264" spans="1:11" x14ac:dyDescent="0.25">
      <c r="A264" t="s">
        <v>333</v>
      </c>
      <c r="B264" t="s">
        <v>657</v>
      </c>
      <c r="C264">
        <v>0</v>
      </c>
      <c r="D264">
        <v>184.65719999999999</v>
      </c>
      <c r="E264">
        <v>223.49700000000001</v>
      </c>
      <c r="F264">
        <v>228.95760000000001</v>
      </c>
      <c r="G264">
        <v>315.80279999999999</v>
      </c>
      <c r="H264">
        <v>331.39800000000002</v>
      </c>
      <c r="I264">
        <v>460.79939999999999</v>
      </c>
      <c r="J264">
        <v>473.81819999999999</v>
      </c>
      <c r="K264" t="s">
        <v>15</v>
      </c>
    </row>
    <row r="265" spans="1:11" x14ac:dyDescent="0.25">
      <c r="A265" t="s">
        <v>333</v>
      </c>
      <c r="B265" t="s">
        <v>666</v>
      </c>
      <c r="C265">
        <v>0</v>
      </c>
      <c r="D265">
        <v>275.94839999999999</v>
      </c>
      <c r="E265">
        <v>320.6934</v>
      </c>
      <c r="F265">
        <v>346.79939999999999</v>
      </c>
      <c r="G265">
        <v>382.35599999999999</v>
      </c>
      <c r="H265">
        <v>434.39699999999999</v>
      </c>
      <c r="I265">
        <v>524.97280000000001</v>
      </c>
      <c r="J265">
        <v>578.6576</v>
      </c>
      <c r="K265" t="s">
        <v>15</v>
      </c>
    </row>
    <row r="266" spans="1:11" x14ac:dyDescent="0.25">
      <c r="A266" t="s">
        <v>333</v>
      </c>
      <c r="B266" t="s">
        <v>675</v>
      </c>
      <c r="C266">
        <v>0</v>
      </c>
      <c r="D266">
        <v>153.1369</v>
      </c>
      <c r="E266">
        <v>197.4024</v>
      </c>
      <c r="F266">
        <v>207.93600000000001</v>
      </c>
      <c r="G266">
        <v>231.041</v>
      </c>
      <c r="H266">
        <v>233.4462</v>
      </c>
      <c r="I266">
        <v>296.45699999999999</v>
      </c>
      <c r="J266">
        <v>310.31939999999997</v>
      </c>
      <c r="K266" t="s">
        <v>15</v>
      </c>
    </row>
    <row r="267" spans="1:11" x14ac:dyDescent="0.25">
      <c r="A267" t="s">
        <v>333</v>
      </c>
      <c r="B267" t="s">
        <v>684</v>
      </c>
      <c r="C267">
        <v>0</v>
      </c>
      <c r="D267">
        <v>187.00559999999999</v>
      </c>
      <c r="E267">
        <v>217.27629999999999</v>
      </c>
      <c r="F267">
        <v>245.5291</v>
      </c>
      <c r="G267">
        <v>320.09230000000002</v>
      </c>
      <c r="H267">
        <v>334.09859999999998</v>
      </c>
      <c r="I267">
        <v>385.10570000000001</v>
      </c>
      <c r="J267">
        <v>410.77850000000001</v>
      </c>
      <c r="K267" t="s">
        <v>15</v>
      </c>
    </row>
    <row r="268" spans="1:11" x14ac:dyDescent="0.25">
      <c r="A268" t="s">
        <v>333</v>
      </c>
      <c r="B268" t="s">
        <v>693</v>
      </c>
      <c r="C268">
        <v>0</v>
      </c>
      <c r="D268">
        <v>186.32159999999999</v>
      </c>
      <c r="E268">
        <v>260.50510000000003</v>
      </c>
      <c r="F268">
        <v>271.79880000000003</v>
      </c>
      <c r="G268">
        <v>306.11279999999999</v>
      </c>
      <c r="H268">
        <v>321.5016</v>
      </c>
      <c r="I268">
        <v>453.4692</v>
      </c>
      <c r="J268">
        <v>463.84320000000002</v>
      </c>
      <c r="K268" t="s">
        <v>15</v>
      </c>
    </row>
    <row r="269" spans="1:11" x14ac:dyDescent="0.25">
      <c r="A269" t="s">
        <v>333</v>
      </c>
      <c r="B269" t="s">
        <v>702</v>
      </c>
      <c r="C269">
        <v>0</v>
      </c>
      <c r="D269">
        <v>207.0788</v>
      </c>
      <c r="E269">
        <v>289.05599999999998</v>
      </c>
      <c r="F269">
        <v>291.7704</v>
      </c>
      <c r="G269">
        <v>332.33280000000002</v>
      </c>
      <c r="H269">
        <v>344.68860000000001</v>
      </c>
      <c r="I269">
        <v>475.97280000000001</v>
      </c>
      <c r="J269">
        <v>492.80880000000002</v>
      </c>
      <c r="K269" t="s">
        <v>15</v>
      </c>
    </row>
    <row r="270" spans="1:11" x14ac:dyDescent="0.25">
      <c r="A270" t="s">
        <v>333</v>
      </c>
      <c r="B270" t="s">
        <v>711</v>
      </c>
      <c r="C270">
        <v>0</v>
      </c>
      <c r="D270">
        <v>125.89749999999999</v>
      </c>
      <c r="E270">
        <v>194.0394</v>
      </c>
      <c r="F270">
        <v>205.2</v>
      </c>
      <c r="G270">
        <v>232.9248</v>
      </c>
      <c r="H270">
        <v>271.81360000000001</v>
      </c>
      <c r="I270">
        <v>343.84679999999997</v>
      </c>
      <c r="J270">
        <v>358.49869999999999</v>
      </c>
      <c r="K270" t="s">
        <v>15</v>
      </c>
    </row>
    <row r="271" spans="1:11" x14ac:dyDescent="0.25">
      <c r="A271" t="s">
        <v>333</v>
      </c>
      <c r="B271" t="s">
        <v>720</v>
      </c>
      <c r="C271">
        <v>0</v>
      </c>
      <c r="D271">
        <v>146.49</v>
      </c>
      <c r="E271">
        <v>203.76730000000001</v>
      </c>
      <c r="F271">
        <v>241.92670000000001</v>
      </c>
      <c r="G271">
        <v>262.13470000000001</v>
      </c>
      <c r="H271">
        <v>302.1216</v>
      </c>
      <c r="I271">
        <v>403.76519999999999</v>
      </c>
      <c r="J271">
        <v>426.17759999999998</v>
      </c>
      <c r="K271" t="s">
        <v>15</v>
      </c>
    </row>
    <row r="272" spans="1:11" x14ac:dyDescent="0.25">
      <c r="A272" t="s">
        <v>333</v>
      </c>
      <c r="B272" t="s">
        <v>729</v>
      </c>
      <c r="C272">
        <v>0</v>
      </c>
      <c r="D272">
        <v>160.31819999999999</v>
      </c>
      <c r="E272">
        <v>163.32900000000001</v>
      </c>
      <c r="F272">
        <v>173.124</v>
      </c>
      <c r="G272">
        <v>202.10830000000001</v>
      </c>
      <c r="H272">
        <v>202.905</v>
      </c>
      <c r="I272">
        <v>318.29939999999999</v>
      </c>
      <c r="J272">
        <v>323.6447</v>
      </c>
      <c r="K272" t="s">
        <v>15</v>
      </c>
    </row>
    <row r="273" spans="1:11" x14ac:dyDescent="0.25">
      <c r="A273" t="s">
        <v>333</v>
      </c>
      <c r="B273" t="s">
        <v>738</v>
      </c>
      <c r="C273">
        <v>0</v>
      </c>
      <c r="D273">
        <v>148.43940000000001</v>
      </c>
      <c r="E273">
        <v>170.8176</v>
      </c>
      <c r="F273">
        <v>173.39179999999999</v>
      </c>
      <c r="G273">
        <v>188.50389999999999</v>
      </c>
      <c r="H273">
        <v>192.57239999999999</v>
      </c>
      <c r="I273">
        <v>307.1388</v>
      </c>
      <c r="J273">
        <v>315.50310000000002</v>
      </c>
      <c r="K273" t="s">
        <v>15</v>
      </c>
    </row>
    <row r="274" spans="1:11" x14ac:dyDescent="0.25">
      <c r="A274" t="s">
        <v>333</v>
      </c>
      <c r="B274" t="s">
        <v>747</v>
      </c>
      <c r="C274">
        <v>0</v>
      </c>
      <c r="D274">
        <v>138.0444</v>
      </c>
      <c r="E274">
        <v>183.2208</v>
      </c>
      <c r="F274">
        <v>199.5</v>
      </c>
      <c r="G274">
        <v>225.19560000000001</v>
      </c>
      <c r="H274">
        <v>255.7824</v>
      </c>
      <c r="I274">
        <v>306.4776</v>
      </c>
      <c r="J274">
        <v>319.57130000000001</v>
      </c>
      <c r="K274" t="s">
        <v>15</v>
      </c>
    </row>
    <row r="275" spans="1:11" x14ac:dyDescent="0.25">
      <c r="A275" t="s">
        <v>333</v>
      </c>
      <c r="B275" t="s">
        <v>756</v>
      </c>
      <c r="C275">
        <v>0</v>
      </c>
      <c r="D275">
        <v>169.9512</v>
      </c>
      <c r="E275">
        <v>205.5685</v>
      </c>
      <c r="F275">
        <v>224.81530000000001</v>
      </c>
      <c r="G275">
        <v>254.65629999999999</v>
      </c>
      <c r="H275">
        <v>287.58659999999998</v>
      </c>
      <c r="I275">
        <v>402.80759999999998</v>
      </c>
      <c r="J275">
        <v>433.7088</v>
      </c>
      <c r="K275" t="s">
        <v>15</v>
      </c>
    </row>
    <row r="276" spans="1:11" x14ac:dyDescent="0.25">
      <c r="A276" t="s">
        <v>333</v>
      </c>
      <c r="B276" t="s">
        <v>1626</v>
      </c>
      <c r="C276">
        <v>0</v>
      </c>
      <c r="D276">
        <v>752.4</v>
      </c>
      <c r="E276">
        <v>980.4</v>
      </c>
      <c r="F276">
        <v>1014.6</v>
      </c>
      <c r="G276">
        <v>1140</v>
      </c>
      <c r="H276">
        <v>1168.5</v>
      </c>
      <c r="I276">
        <v>1470.6</v>
      </c>
      <c r="J276">
        <v>1499.1</v>
      </c>
      <c r="K276" t="s">
        <v>15</v>
      </c>
    </row>
    <row r="277" spans="1:11" x14ac:dyDescent="0.25">
      <c r="A277" t="s">
        <v>333</v>
      </c>
      <c r="B277" t="s">
        <v>765</v>
      </c>
      <c r="C277">
        <v>0</v>
      </c>
      <c r="D277">
        <v>301.27629999999999</v>
      </c>
      <c r="E277">
        <v>655.81200000000001</v>
      </c>
      <c r="F277">
        <v>673.57320000000004</v>
      </c>
      <c r="G277">
        <v>398.07740000000001</v>
      </c>
      <c r="H277">
        <v>386.6019</v>
      </c>
      <c r="I277">
        <v>580.10400000000004</v>
      </c>
      <c r="J277">
        <v>948.30899999999997</v>
      </c>
      <c r="K277" t="s">
        <v>15</v>
      </c>
    </row>
    <row r="278" spans="1:11" x14ac:dyDescent="0.25">
      <c r="A278" t="s">
        <v>333</v>
      </c>
      <c r="B278" t="s">
        <v>774</v>
      </c>
      <c r="C278">
        <v>0</v>
      </c>
      <c r="D278">
        <v>196.71289999999999</v>
      </c>
      <c r="E278">
        <v>283.803</v>
      </c>
      <c r="F278">
        <v>292.524</v>
      </c>
      <c r="G278">
        <v>327.67430000000002</v>
      </c>
      <c r="H278">
        <v>347.73419999999999</v>
      </c>
      <c r="I278">
        <v>475.19760000000002</v>
      </c>
      <c r="J278">
        <v>485.2296</v>
      </c>
      <c r="K278" t="s">
        <v>15</v>
      </c>
    </row>
    <row r="279" spans="1:11" x14ac:dyDescent="0.25">
      <c r="A279" t="s">
        <v>333</v>
      </c>
      <c r="B279" t="s">
        <v>783</v>
      </c>
      <c r="C279">
        <v>0</v>
      </c>
      <c r="D279">
        <v>132.34440000000001</v>
      </c>
      <c r="E279">
        <v>194.34719999999999</v>
      </c>
      <c r="F279">
        <v>205.78749999999999</v>
      </c>
      <c r="G279">
        <v>231.89879999999999</v>
      </c>
      <c r="H279">
        <v>271.64260000000002</v>
      </c>
      <c r="I279">
        <v>344.8109</v>
      </c>
      <c r="J279">
        <v>369.65640000000002</v>
      </c>
      <c r="K279" t="s">
        <v>15</v>
      </c>
    </row>
    <row r="280" spans="1:11" x14ac:dyDescent="0.25">
      <c r="A280" t="s">
        <v>333</v>
      </c>
      <c r="B280" t="s">
        <v>792</v>
      </c>
      <c r="C280">
        <v>0</v>
      </c>
      <c r="D280">
        <v>188.41919999999999</v>
      </c>
      <c r="E280">
        <v>229.71</v>
      </c>
      <c r="F280">
        <v>246.38820000000001</v>
      </c>
      <c r="G280">
        <v>268.31040000000002</v>
      </c>
      <c r="H280">
        <v>289.959</v>
      </c>
      <c r="I280">
        <v>414.17759999999998</v>
      </c>
      <c r="J280">
        <v>444.09120000000001</v>
      </c>
      <c r="K280" t="s">
        <v>15</v>
      </c>
    </row>
    <row r="281" spans="1:11" x14ac:dyDescent="0.25">
      <c r="A281" t="s">
        <v>333</v>
      </c>
      <c r="B281" t="s">
        <v>801</v>
      </c>
      <c r="C281">
        <v>0</v>
      </c>
      <c r="D281">
        <v>162.16499999999999</v>
      </c>
      <c r="E281">
        <v>194.21039999999999</v>
      </c>
      <c r="F281">
        <v>206.226</v>
      </c>
      <c r="G281">
        <v>230.18879999999999</v>
      </c>
      <c r="H281">
        <v>272.96159999999998</v>
      </c>
      <c r="I281">
        <v>348.84</v>
      </c>
      <c r="J281">
        <v>378.76499999999999</v>
      </c>
      <c r="K281" t="s">
        <v>15</v>
      </c>
    </row>
    <row r="282" spans="1:11" x14ac:dyDescent="0.25">
      <c r="A282" t="s">
        <v>333</v>
      </c>
      <c r="B282" t="s">
        <v>810</v>
      </c>
      <c r="C282">
        <v>0</v>
      </c>
      <c r="D282">
        <v>131.3964</v>
      </c>
      <c r="E282">
        <v>147.0943</v>
      </c>
      <c r="F282">
        <v>154.7208</v>
      </c>
      <c r="G282">
        <v>180.6216</v>
      </c>
      <c r="H282">
        <v>196.47900000000001</v>
      </c>
      <c r="I282">
        <v>262.38240000000002</v>
      </c>
      <c r="J282">
        <v>273.7824</v>
      </c>
      <c r="K282" t="s">
        <v>15</v>
      </c>
    </row>
    <row r="283" spans="1:11" x14ac:dyDescent="0.25">
      <c r="A283" t="s">
        <v>333</v>
      </c>
      <c r="B283" t="s">
        <v>819</v>
      </c>
      <c r="C283">
        <v>0</v>
      </c>
      <c r="D283">
        <v>264.25670000000002</v>
      </c>
      <c r="E283">
        <v>312.50659999999999</v>
      </c>
      <c r="F283">
        <v>316.0976</v>
      </c>
      <c r="G283">
        <v>340.8109</v>
      </c>
      <c r="H283">
        <v>346.43540000000002</v>
      </c>
      <c r="I283">
        <v>469.88690000000003</v>
      </c>
      <c r="J283">
        <v>514.8143</v>
      </c>
      <c r="K283" t="s">
        <v>15</v>
      </c>
    </row>
    <row r="284" spans="1:11" x14ac:dyDescent="0.25">
      <c r="A284" t="s">
        <v>333</v>
      </c>
      <c r="B284" t="s">
        <v>828</v>
      </c>
      <c r="C284">
        <v>0</v>
      </c>
      <c r="D284">
        <v>211.4682</v>
      </c>
      <c r="E284">
        <v>253.3194</v>
      </c>
      <c r="F284">
        <v>262.43939999999998</v>
      </c>
      <c r="G284">
        <v>273.39350000000002</v>
      </c>
      <c r="H284">
        <v>277.79860000000002</v>
      </c>
      <c r="I284">
        <v>337.46559999999999</v>
      </c>
      <c r="J284">
        <v>343.74520000000001</v>
      </c>
      <c r="K284" t="s">
        <v>15</v>
      </c>
    </row>
    <row r="285" spans="1:11" x14ac:dyDescent="0.25">
      <c r="A285" t="s">
        <v>333</v>
      </c>
      <c r="B285" t="s">
        <v>837</v>
      </c>
      <c r="C285">
        <v>0</v>
      </c>
      <c r="D285">
        <v>149.226</v>
      </c>
      <c r="E285">
        <v>186.2988</v>
      </c>
      <c r="F285">
        <v>194.09639999999999</v>
      </c>
      <c r="G285">
        <v>213.32589999999999</v>
      </c>
      <c r="H285">
        <v>221.01939999999999</v>
      </c>
      <c r="I285">
        <v>322.07279999999997</v>
      </c>
      <c r="J285">
        <v>346.56</v>
      </c>
      <c r="K285" t="s">
        <v>15</v>
      </c>
    </row>
    <row r="286" spans="1:11" x14ac:dyDescent="0.25">
      <c r="A286" t="s">
        <v>333</v>
      </c>
      <c r="B286" t="s">
        <v>846</v>
      </c>
      <c r="C286">
        <v>0</v>
      </c>
      <c r="D286">
        <v>175.9443</v>
      </c>
      <c r="E286">
        <v>179.6164</v>
      </c>
      <c r="F286">
        <v>202.1756</v>
      </c>
      <c r="G286">
        <v>232.64259999999999</v>
      </c>
      <c r="H286">
        <v>233.49449999999999</v>
      </c>
      <c r="I286">
        <v>290.07400000000001</v>
      </c>
      <c r="J286">
        <v>303.83449999999999</v>
      </c>
      <c r="K286" t="s">
        <v>15</v>
      </c>
    </row>
    <row r="287" spans="1:11" x14ac:dyDescent="0.25">
      <c r="A287" t="s">
        <v>333</v>
      </c>
      <c r="B287" t="s">
        <v>855</v>
      </c>
      <c r="C287">
        <v>0</v>
      </c>
      <c r="D287">
        <v>196.7868</v>
      </c>
      <c r="E287">
        <v>229.1585</v>
      </c>
      <c r="F287">
        <v>240.35759999999999</v>
      </c>
      <c r="G287">
        <v>273.7824</v>
      </c>
      <c r="H287">
        <v>289.50299999999999</v>
      </c>
      <c r="I287">
        <v>399.0498</v>
      </c>
      <c r="J287">
        <v>426.31659999999999</v>
      </c>
      <c r="K287" t="s">
        <v>15</v>
      </c>
    </row>
    <row r="288" spans="1:11" x14ac:dyDescent="0.25">
      <c r="A288" t="s">
        <v>333</v>
      </c>
      <c r="B288" t="s">
        <v>864</v>
      </c>
      <c r="C288">
        <v>0</v>
      </c>
      <c r="D288">
        <v>230.7012</v>
      </c>
      <c r="E288">
        <v>280.81060000000002</v>
      </c>
      <c r="F288">
        <v>283.68340000000001</v>
      </c>
      <c r="G288">
        <v>293.94400000000002</v>
      </c>
      <c r="H288">
        <v>298.49200000000002</v>
      </c>
      <c r="I288">
        <v>385.04480000000001</v>
      </c>
      <c r="J288">
        <v>409.4307</v>
      </c>
      <c r="K288" t="s">
        <v>15</v>
      </c>
    </row>
    <row r="289" spans="1:11" x14ac:dyDescent="0.25">
      <c r="A289" t="s">
        <v>333</v>
      </c>
      <c r="B289" t="s">
        <v>873</v>
      </c>
      <c r="C289">
        <v>0</v>
      </c>
      <c r="D289">
        <v>540.92999999999995</v>
      </c>
      <c r="E289">
        <v>557.98440000000005</v>
      </c>
      <c r="F289">
        <v>579.59879999999998</v>
      </c>
      <c r="G289">
        <v>672.12120000000004</v>
      </c>
      <c r="H289">
        <v>682.46100000000001</v>
      </c>
      <c r="I289">
        <v>840.00959999999998</v>
      </c>
      <c r="J289">
        <v>853.09680000000003</v>
      </c>
      <c r="K289" t="s">
        <v>15</v>
      </c>
    </row>
    <row r="290" spans="1:11" x14ac:dyDescent="0.25">
      <c r="A290" t="s">
        <v>333</v>
      </c>
      <c r="B290" t="s">
        <v>882</v>
      </c>
      <c r="C290">
        <v>0</v>
      </c>
      <c r="D290">
        <v>256.6232</v>
      </c>
      <c r="E290">
        <v>341.33879999999999</v>
      </c>
      <c r="F290">
        <v>359.33940000000001</v>
      </c>
      <c r="G290">
        <v>387.4975</v>
      </c>
      <c r="H290">
        <v>395.12139999999999</v>
      </c>
      <c r="I290">
        <v>543.14160000000004</v>
      </c>
      <c r="J290">
        <v>552.33000000000004</v>
      </c>
      <c r="K290" t="s">
        <v>15</v>
      </c>
    </row>
    <row r="291" spans="1:11" x14ac:dyDescent="0.25">
      <c r="A291" t="s">
        <v>333</v>
      </c>
      <c r="B291" t="s">
        <v>891</v>
      </c>
      <c r="C291">
        <v>0</v>
      </c>
      <c r="D291">
        <v>154.8569</v>
      </c>
      <c r="E291">
        <v>212.18100000000001</v>
      </c>
      <c r="F291">
        <v>218.113</v>
      </c>
      <c r="G291">
        <v>232.2722</v>
      </c>
      <c r="H291">
        <v>234.98519999999999</v>
      </c>
      <c r="I291">
        <v>363.03840000000002</v>
      </c>
      <c r="J291">
        <v>367.75439999999998</v>
      </c>
      <c r="K291" t="s">
        <v>15</v>
      </c>
    </row>
    <row r="292" spans="1:11" x14ac:dyDescent="0.25">
      <c r="A292" t="s">
        <v>333</v>
      </c>
      <c r="B292" t="s">
        <v>900</v>
      </c>
      <c r="C292">
        <v>0</v>
      </c>
      <c r="D292">
        <v>179.1123</v>
      </c>
      <c r="E292">
        <v>185.04150000000001</v>
      </c>
      <c r="F292">
        <v>207.21510000000001</v>
      </c>
      <c r="G292">
        <v>241.9906</v>
      </c>
      <c r="H292">
        <v>246.58199999999999</v>
      </c>
      <c r="I292">
        <v>294.47680000000003</v>
      </c>
      <c r="J292">
        <v>306.27499999999998</v>
      </c>
      <c r="K292" t="s">
        <v>15</v>
      </c>
    </row>
    <row r="293" spans="1:11" x14ac:dyDescent="0.25">
      <c r="A293" t="s">
        <v>333</v>
      </c>
      <c r="B293" t="s">
        <v>909</v>
      </c>
      <c r="C293">
        <v>0</v>
      </c>
      <c r="D293">
        <v>117.1367</v>
      </c>
      <c r="E293">
        <v>133.21279999999999</v>
      </c>
      <c r="F293">
        <v>135.12799999999999</v>
      </c>
      <c r="G293">
        <v>183.82990000000001</v>
      </c>
      <c r="H293">
        <v>190.86240000000001</v>
      </c>
      <c r="I293">
        <v>265.71940000000001</v>
      </c>
      <c r="J293">
        <v>274.38339999999999</v>
      </c>
      <c r="K293" t="s">
        <v>15</v>
      </c>
    </row>
  </sheetData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8AA9A-19CA-4903-8319-B846F99FA698}">
  <sheetPr>
    <tabColor theme="8"/>
  </sheetPr>
  <dimension ref="A1:J292"/>
  <sheetViews>
    <sheetView zoomScale="80" zoomScaleNormal="80" workbookViewId="0">
      <selection activeCell="C2" sqref="C2"/>
    </sheetView>
  </sheetViews>
  <sheetFormatPr baseColWidth="10" defaultColWidth="11.42578125" defaultRowHeight="15" x14ac:dyDescent="0.25"/>
  <cols>
    <col min="2" max="2" width="23.85546875" bestFit="1" customWidth="1"/>
    <col min="3" max="3" width="11.5703125" style="1" bestFit="1" customWidth="1"/>
    <col min="4" max="5" width="9.28515625" bestFit="1" customWidth="1"/>
    <col min="6" max="6" width="10.28515625" bestFit="1" customWidth="1"/>
    <col min="7" max="9" width="11.28515625" bestFit="1" customWidth="1"/>
    <col min="10" max="10" width="11.7109375" bestFit="1" customWidth="1"/>
  </cols>
  <sheetData>
    <row r="1" spans="1:10" x14ac:dyDescent="0.25">
      <c r="A1" t="s">
        <v>1</v>
      </c>
      <c r="B1" t="s">
        <v>2</v>
      </c>
      <c r="C1" s="1" t="s">
        <v>21</v>
      </c>
      <c r="D1" t="s">
        <v>29</v>
      </c>
      <c r="E1" t="s">
        <v>31</v>
      </c>
      <c r="F1" t="s">
        <v>33</v>
      </c>
      <c r="G1" t="s">
        <v>23</v>
      </c>
      <c r="H1" t="s">
        <v>25</v>
      </c>
      <c r="I1" t="s">
        <v>27</v>
      </c>
      <c r="J1" t="s">
        <v>35</v>
      </c>
    </row>
    <row r="2" spans="1:10" hidden="1" x14ac:dyDescent="0.25">
      <c r="A2" t="s">
        <v>46</v>
      </c>
      <c r="B2" t="s">
        <v>47</v>
      </c>
      <c r="C2" s="1">
        <v>0</v>
      </c>
      <c r="D2" s="1">
        <v>350.93729000000002</v>
      </c>
      <c r="E2" s="1">
        <v>267.42683</v>
      </c>
      <c r="F2" s="1">
        <v>269.53354999999999</v>
      </c>
      <c r="G2" s="1">
        <v>383.08270000000005</v>
      </c>
      <c r="H2" s="1">
        <v>442.59171000000009</v>
      </c>
      <c r="I2" s="1">
        <v>511.84507000000002</v>
      </c>
      <c r="J2" s="1">
        <v>526.0557500000001</v>
      </c>
    </row>
    <row r="3" spans="1:10" hidden="1" x14ac:dyDescent="0.25">
      <c r="A3" t="s">
        <v>46</v>
      </c>
      <c r="B3" t="s">
        <v>56</v>
      </c>
      <c r="C3" s="1">
        <v>0</v>
      </c>
      <c r="D3" s="1">
        <v>397.87330000000003</v>
      </c>
      <c r="E3" s="1">
        <v>387.91533000000004</v>
      </c>
      <c r="F3" s="1">
        <v>392.00612000000001</v>
      </c>
      <c r="G3" s="1">
        <v>568.55799000000002</v>
      </c>
      <c r="H3" s="1">
        <v>602.27794000000006</v>
      </c>
      <c r="I3" s="1">
        <v>757.72653000000014</v>
      </c>
      <c r="J3" s="1">
        <v>774.57622000000015</v>
      </c>
    </row>
    <row r="4" spans="1:10" hidden="1" x14ac:dyDescent="0.25">
      <c r="A4" t="s">
        <v>46</v>
      </c>
      <c r="B4" t="s">
        <v>46</v>
      </c>
      <c r="C4" s="1">
        <v>0</v>
      </c>
      <c r="D4" s="1">
        <v>77.215490000000003</v>
      </c>
      <c r="E4" s="1">
        <v>78.917960000000008</v>
      </c>
      <c r="F4" s="1">
        <v>91.679720000000017</v>
      </c>
      <c r="G4" s="1">
        <v>108.79946000000001</v>
      </c>
      <c r="H4" s="1">
        <v>117.18927000000002</v>
      </c>
      <c r="I4" s="1">
        <v>165.40392</v>
      </c>
      <c r="J4" s="1">
        <v>170.79942</v>
      </c>
    </row>
    <row r="5" spans="1:10" hidden="1" x14ac:dyDescent="0.25">
      <c r="A5" t="s">
        <v>46</v>
      </c>
      <c r="B5" t="s">
        <v>73</v>
      </c>
      <c r="C5" s="1">
        <v>0</v>
      </c>
      <c r="D5" s="1">
        <v>588.39418000000012</v>
      </c>
      <c r="E5" s="1">
        <v>642.23148000000003</v>
      </c>
      <c r="F5" s="1">
        <v>644.33798000000002</v>
      </c>
      <c r="G5" s="1">
        <v>815.34134000000006</v>
      </c>
      <c r="H5" s="1">
        <v>885.61066000000005</v>
      </c>
      <c r="I5" s="1">
        <v>980.78321000000005</v>
      </c>
      <c r="J5" s="1">
        <v>984.36811</v>
      </c>
    </row>
    <row r="6" spans="1:10" hidden="1" x14ac:dyDescent="0.25">
      <c r="A6" t="s">
        <v>46</v>
      </c>
      <c r="B6" t="s">
        <v>82</v>
      </c>
      <c r="C6" s="1">
        <v>0</v>
      </c>
      <c r="D6" s="1">
        <v>374.02343000000002</v>
      </c>
      <c r="E6" s="1">
        <v>357.87344999999999</v>
      </c>
      <c r="F6" s="1">
        <v>360.71739000000002</v>
      </c>
      <c r="G6" s="1">
        <v>520.41803000000004</v>
      </c>
      <c r="H6" s="1">
        <v>597.09089000000006</v>
      </c>
      <c r="I6" s="1">
        <v>697.78808000000004</v>
      </c>
      <c r="J6" s="1">
        <v>717.41692</v>
      </c>
    </row>
    <row r="7" spans="1:10" hidden="1" x14ac:dyDescent="0.25">
      <c r="A7" t="s">
        <v>46</v>
      </c>
      <c r="B7" t="s">
        <v>91</v>
      </c>
      <c r="C7" s="1">
        <v>0</v>
      </c>
      <c r="D7" s="1">
        <v>399.45499000000001</v>
      </c>
      <c r="E7" s="1">
        <v>408.30702000000002</v>
      </c>
      <c r="F7" s="1">
        <v>413.94265000000007</v>
      </c>
      <c r="G7" s="1">
        <v>588.15086000000008</v>
      </c>
      <c r="H7" s="1">
        <v>605.92752000000007</v>
      </c>
      <c r="I7" s="1">
        <v>805.61041000000012</v>
      </c>
      <c r="J7" s="1">
        <v>828.43035000000009</v>
      </c>
    </row>
    <row r="8" spans="1:10" hidden="1" x14ac:dyDescent="0.25">
      <c r="A8" t="s">
        <v>46</v>
      </c>
      <c r="B8" t="s">
        <v>100</v>
      </c>
      <c r="C8" s="1">
        <v>0</v>
      </c>
      <c r="D8" s="1">
        <v>479.27011000000005</v>
      </c>
      <c r="E8" s="1">
        <v>501.98874000000006</v>
      </c>
      <c r="F8" s="1">
        <v>504.55449000000004</v>
      </c>
      <c r="G8" s="1">
        <v>729.11608000000012</v>
      </c>
      <c r="H8" s="1">
        <v>848.53098000000011</v>
      </c>
      <c r="I8" s="1">
        <v>953.19653000000005</v>
      </c>
      <c r="J8" s="1">
        <v>955.91947000000005</v>
      </c>
    </row>
    <row r="9" spans="1:10" hidden="1" x14ac:dyDescent="0.25">
      <c r="A9" t="s">
        <v>46</v>
      </c>
      <c r="B9" t="s">
        <v>109</v>
      </c>
      <c r="C9" s="1">
        <v>0</v>
      </c>
      <c r="D9" s="1">
        <v>143.50149000000002</v>
      </c>
      <c r="E9" s="1">
        <v>123.73460000000001</v>
      </c>
      <c r="F9" s="1">
        <v>125.42750000000002</v>
      </c>
      <c r="G9" s="1">
        <v>185.39796000000001</v>
      </c>
      <c r="H9" s="1">
        <v>218.24550000000002</v>
      </c>
      <c r="I9" s="1">
        <v>242.01430000000002</v>
      </c>
      <c r="J9" s="1">
        <v>283.87479999999999</v>
      </c>
    </row>
    <row r="10" spans="1:10" hidden="1" x14ac:dyDescent="0.25">
      <c r="A10" t="s">
        <v>46</v>
      </c>
      <c r="B10" t="s">
        <v>118</v>
      </c>
      <c r="C10" s="1">
        <v>0</v>
      </c>
      <c r="D10" s="1">
        <v>181.17792000000003</v>
      </c>
      <c r="E10" s="1">
        <v>129.3776</v>
      </c>
      <c r="F10" s="1">
        <v>131.44670000000002</v>
      </c>
      <c r="G10" s="1">
        <v>195.10392000000002</v>
      </c>
      <c r="H10" s="1">
        <v>227.27430000000001</v>
      </c>
      <c r="I10" s="1">
        <v>254.19460000000004</v>
      </c>
      <c r="J10" s="1">
        <v>296.93939000000006</v>
      </c>
    </row>
    <row r="11" spans="1:10" hidden="1" x14ac:dyDescent="0.25">
      <c r="A11" t="s">
        <v>46</v>
      </c>
      <c r="B11" t="s">
        <v>127</v>
      </c>
      <c r="C11" s="1">
        <v>0</v>
      </c>
      <c r="D11" s="1">
        <v>177.06479999999999</v>
      </c>
      <c r="E11" s="1">
        <v>130.13</v>
      </c>
      <c r="F11" s="1">
        <v>130.69430000000003</v>
      </c>
      <c r="G11" s="1">
        <v>184.02307000000002</v>
      </c>
      <c r="H11" s="1">
        <v>204.95156000000003</v>
      </c>
      <c r="I11" s="1">
        <v>253.73920000000001</v>
      </c>
      <c r="J11" s="1">
        <v>283.2346</v>
      </c>
    </row>
    <row r="12" spans="1:10" hidden="1" x14ac:dyDescent="0.25">
      <c r="A12" t="s">
        <v>46</v>
      </c>
      <c r="B12" t="s">
        <v>136</v>
      </c>
      <c r="C12" s="1">
        <v>0</v>
      </c>
      <c r="D12" s="1">
        <v>127.4064</v>
      </c>
      <c r="E12" s="1">
        <v>120.34880000000001</v>
      </c>
      <c r="F12" s="1">
        <v>121.8536</v>
      </c>
      <c r="G12" s="1">
        <v>178.33530000000002</v>
      </c>
      <c r="H12" s="1">
        <v>197.61665000000002</v>
      </c>
      <c r="I12" s="1">
        <v>218.23890000000003</v>
      </c>
      <c r="J12" s="1">
        <v>276.35080000000005</v>
      </c>
    </row>
    <row r="13" spans="1:10" hidden="1" x14ac:dyDescent="0.25">
      <c r="A13" t="s">
        <v>46</v>
      </c>
      <c r="B13" t="s">
        <v>145</v>
      </c>
      <c r="C13" s="1">
        <v>0</v>
      </c>
      <c r="D13" s="1">
        <v>493.73654000000005</v>
      </c>
      <c r="E13" s="1">
        <v>515.12197000000003</v>
      </c>
      <c r="F13" s="1">
        <v>516.90507000000002</v>
      </c>
      <c r="G13" s="1">
        <v>747.42381999999998</v>
      </c>
      <c r="H13" s="1">
        <v>863.49252000000013</v>
      </c>
      <c r="I13" s="1">
        <v>955.5053200000001</v>
      </c>
      <c r="J13" s="1">
        <v>958.30031000000008</v>
      </c>
    </row>
    <row r="14" spans="1:10" hidden="1" x14ac:dyDescent="0.25">
      <c r="A14" t="s">
        <v>46</v>
      </c>
      <c r="B14" t="s">
        <v>154</v>
      </c>
      <c r="C14" s="1">
        <v>0</v>
      </c>
      <c r="D14" s="1">
        <v>225.13062000000002</v>
      </c>
      <c r="E14" s="1">
        <v>146.27030000000002</v>
      </c>
      <c r="F14" s="1">
        <v>148.37702000000002</v>
      </c>
      <c r="G14" s="1">
        <v>213.68721000000002</v>
      </c>
      <c r="H14" s="1">
        <v>243.14455000000004</v>
      </c>
      <c r="I14" s="1">
        <v>277.51460000000003</v>
      </c>
      <c r="J14" s="1">
        <v>287.77694000000002</v>
      </c>
    </row>
    <row r="15" spans="1:10" hidden="1" x14ac:dyDescent="0.25">
      <c r="A15" t="s">
        <v>46</v>
      </c>
      <c r="B15" t="s">
        <v>163</v>
      </c>
      <c r="C15" s="1">
        <v>0</v>
      </c>
      <c r="D15" s="1">
        <v>578.82451000000015</v>
      </c>
      <c r="E15" s="1">
        <v>654.44939999999997</v>
      </c>
      <c r="F15" s="1">
        <v>668.48265000000004</v>
      </c>
      <c r="G15" s="1">
        <v>757.93542000000002</v>
      </c>
      <c r="H15" s="1">
        <v>896.05978000000005</v>
      </c>
      <c r="I15" s="1">
        <v>992.72492000000011</v>
      </c>
      <c r="J15" s="1">
        <v>996.68305000000009</v>
      </c>
    </row>
    <row r="16" spans="1:10" hidden="1" x14ac:dyDescent="0.25">
      <c r="A16" t="s">
        <v>46</v>
      </c>
      <c r="B16" t="s">
        <v>172</v>
      </c>
      <c r="C16" s="1">
        <v>0</v>
      </c>
      <c r="D16" s="1">
        <v>506.05709000000002</v>
      </c>
      <c r="E16" s="1">
        <v>522.07672000000002</v>
      </c>
      <c r="F16" s="1">
        <v>524.12580000000003</v>
      </c>
      <c r="G16" s="1">
        <v>757.94961000000012</v>
      </c>
      <c r="H16" s="1">
        <v>864.52641000000006</v>
      </c>
      <c r="I16" s="1">
        <v>956.68682999999999</v>
      </c>
      <c r="J16" s="1">
        <v>959.51878000000011</v>
      </c>
    </row>
    <row r="17" spans="1:10" hidden="1" x14ac:dyDescent="0.25">
      <c r="A17" t="s">
        <v>46</v>
      </c>
      <c r="B17" t="s">
        <v>181</v>
      </c>
      <c r="C17" s="1">
        <v>0</v>
      </c>
      <c r="D17" s="1">
        <v>363.10109000000006</v>
      </c>
      <c r="E17" s="1">
        <v>314.12051000000002</v>
      </c>
      <c r="F17" s="1">
        <v>318.69364999999999</v>
      </c>
      <c r="G17" s="1">
        <v>454.01125000000008</v>
      </c>
      <c r="H17" s="1">
        <v>526.04354000000001</v>
      </c>
      <c r="I17" s="1">
        <v>346.43466000000006</v>
      </c>
      <c r="J17" s="1">
        <v>359.70924000000002</v>
      </c>
    </row>
    <row r="18" spans="1:10" hidden="1" x14ac:dyDescent="0.25">
      <c r="A18" t="s">
        <v>46</v>
      </c>
      <c r="B18" t="s">
        <v>190</v>
      </c>
      <c r="C18" s="1">
        <v>0</v>
      </c>
      <c r="D18" s="1">
        <v>395.46100000000001</v>
      </c>
      <c r="E18" s="1">
        <v>382.60596000000004</v>
      </c>
      <c r="F18" s="1">
        <v>384.92311000000001</v>
      </c>
      <c r="G18" s="1">
        <v>559.29555000000005</v>
      </c>
      <c r="H18" s="1">
        <v>601.33699999999999</v>
      </c>
      <c r="I18" s="1">
        <v>746.85402000000011</v>
      </c>
      <c r="J18" s="1">
        <v>768.01604000000009</v>
      </c>
    </row>
    <row r="19" spans="1:10" hidden="1" x14ac:dyDescent="0.25">
      <c r="A19" t="s">
        <v>46</v>
      </c>
      <c r="B19" t="s">
        <v>199</v>
      </c>
      <c r="C19" s="1">
        <v>0</v>
      </c>
      <c r="D19" s="1">
        <v>531.79698000000008</v>
      </c>
      <c r="E19" s="1">
        <v>492.43743999999998</v>
      </c>
      <c r="F19" s="1">
        <v>499.09332000000006</v>
      </c>
      <c r="G19" s="1">
        <v>719.09112000000005</v>
      </c>
      <c r="H19" s="1">
        <v>745.01954999999998</v>
      </c>
      <c r="I19" s="1">
        <v>894.34180000000003</v>
      </c>
      <c r="J19" s="1">
        <v>897.02976000000001</v>
      </c>
    </row>
    <row r="20" spans="1:10" hidden="1" x14ac:dyDescent="0.25">
      <c r="A20" t="s">
        <v>46</v>
      </c>
      <c r="B20" t="s">
        <v>208</v>
      </c>
      <c r="C20" s="1">
        <v>0</v>
      </c>
      <c r="D20" s="1">
        <v>345.09365000000003</v>
      </c>
      <c r="E20" s="1">
        <v>292.47966000000002</v>
      </c>
      <c r="F20" s="1">
        <v>295.64909000000006</v>
      </c>
      <c r="G20" s="1">
        <v>420.75110000000001</v>
      </c>
      <c r="H20" s="1">
        <v>487.02093000000008</v>
      </c>
      <c r="I20" s="1">
        <v>559.00977</v>
      </c>
      <c r="J20" s="1">
        <v>574.69434000000001</v>
      </c>
    </row>
    <row r="21" spans="1:10" hidden="1" x14ac:dyDescent="0.25">
      <c r="A21" t="s">
        <v>46</v>
      </c>
      <c r="B21" t="s">
        <v>217</v>
      </c>
      <c r="C21" s="1">
        <v>0</v>
      </c>
      <c r="D21" s="1">
        <v>248.61408000000003</v>
      </c>
      <c r="E21" s="1">
        <v>176.41261000000003</v>
      </c>
      <c r="F21" s="1">
        <v>181.89600000000004</v>
      </c>
      <c r="G21" s="1">
        <v>258.37790000000001</v>
      </c>
      <c r="H21" s="1">
        <v>294.34108000000003</v>
      </c>
      <c r="I21" s="1">
        <v>286.69289000000003</v>
      </c>
      <c r="J21" s="1">
        <v>304.22161</v>
      </c>
    </row>
    <row r="22" spans="1:10" hidden="1" x14ac:dyDescent="0.25">
      <c r="A22" t="s">
        <v>46</v>
      </c>
      <c r="B22" t="s">
        <v>226</v>
      </c>
      <c r="C22" s="1">
        <v>0</v>
      </c>
      <c r="D22" s="1">
        <v>193.31664000000001</v>
      </c>
      <c r="E22" s="1">
        <v>131.44670000000002</v>
      </c>
      <c r="F22" s="1">
        <v>133.7039</v>
      </c>
      <c r="G22" s="1">
        <v>194.06640000000002</v>
      </c>
      <c r="H22" s="1">
        <v>225.70625000000001</v>
      </c>
      <c r="I22" s="1">
        <v>255.5575</v>
      </c>
      <c r="J22" s="1">
        <v>293.41113999999999</v>
      </c>
    </row>
    <row r="23" spans="1:10" hidden="1" x14ac:dyDescent="0.25">
      <c r="A23" t="s">
        <v>46</v>
      </c>
      <c r="B23" t="s">
        <v>235</v>
      </c>
      <c r="C23" s="1">
        <v>0</v>
      </c>
      <c r="D23" s="1">
        <v>544.4602900000001</v>
      </c>
      <c r="E23" s="1">
        <v>624.21711000000005</v>
      </c>
      <c r="F23" s="1">
        <v>627.93896000000007</v>
      </c>
      <c r="G23" s="1">
        <v>771.39832000000013</v>
      </c>
      <c r="H23" s="1">
        <v>878.11625000000015</v>
      </c>
      <c r="I23" s="1">
        <v>978.33582000000013</v>
      </c>
      <c r="J23" s="1">
        <v>981.84427000000005</v>
      </c>
    </row>
    <row r="24" spans="1:10" hidden="1" x14ac:dyDescent="0.25">
      <c r="A24" t="s">
        <v>46</v>
      </c>
      <c r="B24" t="s">
        <v>244</v>
      </c>
      <c r="C24" s="1">
        <v>0</v>
      </c>
      <c r="D24" s="1">
        <v>345.77081000000004</v>
      </c>
      <c r="E24" s="1">
        <v>303.65720000000005</v>
      </c>
      <c r="F24" s="1">
        <v>306.18445000000003</v>
      </c>
      <c r="G24" s="1">
        <v>435.95222000000001</v>
      </c>
      <c r="H24" s="1">
        <v>504.02176000000003</v>
      </c>
      <c r="I24" s="1">
        <v>255.2253</v>
      </c>
      <c r="J24" s="1">
        <v>257.37315999999998</v>
      </c>
    </row>
    <row r="25" spans="1:10" hidden="1" x14ac:dyDescent="0.25">
      <c r="A25" t="s">
        <v>46</v>
      </c>
      <c r="B25" t="s">
        <v>253</v>
      </c>
      <c r="C25" s="1">
        <v>0</v>
      </c>
      <c r="D25" s="1">
        <v>352.74305000000004</v>
      </c>
      <c r="E25" s="1">
        <v>280.36833000000001</v>
      </c>
      <c r="F25" s="1">
        <v>282.47505000000001</v>
      </c>
      <c r="G25" s="1">
        <v>401.36624</v>
      </c>
      <c r="H25" s="1">
        <v>463.97758000000005</v>
      </c>
      <c r="I25" s="1">
        <v>533.31948999999997</v>
      </c>
      <c r="J25" s="1">
        <v>548.20117000000005</v>
      </c>
    </row>
    <row r="26" spans="1:10" hidden="1" x14ac:dyDescent="0.25">
      <c r="A26" t="s">
        <v>46</v>
      </c>
      <c r="B26" t="s">
        <v>37</v>
      </c>
      <c r="C26" s="1">
        <v>0</v>
      </c>
      <c r="D26" s="1">
        <v>290.08375000000001</v>
      </c>
      <c r="E26" s="1">
        <v>223.54530000000003</v>
      </c>
      <c r="F26" s="1">
        <v>229.98239000000004</v>
      </c>
      <c r="G26" s="1">
        <v>327.46208000000001</v>
      </c>
      <c r="H26" s="1">
        <v>368.68161000000003</v>
      </c>
      <c r="I26" s="1">
        <v>165.55935000000002</v>
      </c>
      <c r="J26" s="1">
        <v>166.62524999999999</v>
      </c>
    </row>
    <row r="27" spans="1:10" hidden="1" x14ac:dyDescent="0.25">
      <c r="A27" t="s">
        <v>46</v>
      </c>
      <c r="B27" t="s">
        <v>270</v>
      </c>
      <c r="C27" s="1">
        <v>0</v>
      </c>
      <c r="D27" s="1">
        <v>248.61408000000003</v>
      </c>
      <c r="E27" s="1">
        <v>175.69937000000002</v>
      </c>
      <c r="F27" s="1">
        <v>181.18276000000003</v>
      </c>
      <c r="G27" s="1">
        <v>257.30793000000006</v>
      </c>
      <c r="H27" s="1">
        <v>293.05034000000001</v>
      </c>
      <c r="I27" s="1">
        <v>325.39749</v>
      </c>
      <c r="J27" s="1">
        <v>332.16073</v>
      </c>
    </row>
    <row r="28" spans="1:10" hidden="1" x14ac:dyDescent="0.25">
      <c r="A28" t="s">
        <v>46</v>
      </c>
      <c r="B28" t="s">
        <v>279</v>
      </c>
      <c r="C28" s="1">
        <v>0</v>
      </c>
      <c r="D28" s="1">
        <v>382.68857000000003</v>
      </c>
      <c r="E28" s="1">
        <v>359.36274000000003</v>
      </c>
      <c r="F28" s="1">
        <v>361.70255000000003</v>
      </c>
      <c r="G28" s="1">
        <v>522.79854000000012</v>
      </c>
      <c r="H28" s="1">
        <v>597.26722000000007</v>
      </c>
      <c r="I28" s="1">
        <v>314.83716000000004</v>
      </c>
      <c r="J28" s="1">
        <v>317.43393000000003</v>
      </c>
    </row>
    <row r="29" spans="1:10" hidden="1" x14ac:dyDescent="0.25">
      <c r="A29" t="s">
        <v>46</v>
      </c>
      <c r="B29" t="s">
        <v>288</v>
      </c>
      <c r="C29" s="1">
        <v>0</v>
      </c>
      <c r="D29" s="1">
        <v>135.59403</v>
      </c>
      <c r="E29" s="1">
        <v>121.18007000000001</v>
      </c>
      <c r="F29" s="1">
        <v>124.75628</v>
      </c>
      <c r="G29" s="1">
        <v>177.98374000000004</v>
      </c>
      <c r="H29" s="1">
        <v>182.23425</v>
      </c>
      <c r="I29" s="1">
        <v>244.75396000000003</v>
      </c>
      <c r="J29" s="1">
        <v>273.26794000000001</v>
      </c>
    </row>
    <row r="30" spans="1:10" hidden="1" x14ac:dyDescent="0.25">
      <c r="A30" t="s">
        <v>46</v>
      </c>
      <c r="B30" t="s">
        <v>297</v>
      </c>
      <c r="C30" s="1">
        <v>0</v>
      </c>
      <c r="D30" s="1">
        <v>406.99109000000004</v>
      </c>
      <c r="E30" s="1">
        <v>364.66727000000003</v>
      </c>
      <c r="F30" s="1">
        <v>368.75806000000006</v>
      </c>
      <c r="G30" s="1">
        <v>530.37204000000008</v>
      </c>
      <c r="H30" s="1">
        <v>598.11697000000004</v>
      </c>
      <c r="I30" s="1">
        <v>709.64508999999998</v>
      </c>
      <c r="J30" s="1">
        <v>729.64452000000017</v>
      </c>
    </row>
    <row r="31" spans="1:10" hidden="1" x14ac:dyDescent="0.25">
      <c r="A31" t="s">
        <v>46</v>
      </c>
      <c r="B31" t="s">
        <v>306</v>
      </c>
      <c r="C31" s="1">
        <v>0</v>
      </c>
      <c r="D31" s="1">
        <v>395.46100000000001</v>
      </c>
      <c r="E31" s="1">
        <v>365.71051</v>
      </c>
      <c r="F31" s="1">
        <v>370.28287999999998</v>
      </c>
      <c r="G31" s="1">
        <v>536.60189000000003</v>
      </c>
      <c r="H31" s="1">
        <v>598.30375000000004</v>
      </c>
      <c r="I31" s="1">
        <v>711.80285000000003</v>
      </c>
      <c r="J31" s="1">
        <v>731.86971000000005</v>
      </c>
    </row>
    <row r="32" spans="1:10" hidden="1" x14ac:dyDescent="0.25">
      <c r="A32" t="s">
        <v>46</v>
      </c>
      <c r="B32" t="s">
        <v>315</v>
      </c>
      <c r="C32" s="1">
        <v>0</v>
      </c>
      <c r="D32" s="1">
        <v>604.37014000000011</v>
      </c>
      <c r="E32" s="1">
        <v>629.85538000000008</v>
      </c>
      <c r="F32" s="1">
        <v>632.6567500000001</v>
      </c>
      <c r="G32" s="1">
        <v>835.34726000000012</v>
      </c>
      <c r="H32" s="1">
        <v>883.02082000000007</v>
      </c>
      <c r="I32" s="1">
        <v>977.82333000000006</v>
      </c>
      <c r="J32" s="1">
        <v>981.31583000000012</v>
      </c>
    </row>
    <row r="33" spans="1:10" hidden="1" x14ac:dyDescent="0.25">
      <c r="A33" t="s">
        <v>46</v>
      </c>
      <c r="B33" t="s">
        <v>324</v>
      </c>
      <c r="C33" s="1">
        <v>0</v>
      </c>
      <c r="D33" s="1">
        <v>507.52427</v>
      </c>
      <c r="E33" s="1">
        <v>536.30852000000004</v>
      </c>
      <c r="F33" s="1">
        <v>538.52821000000006</v>
      </c>
      <c r="G33" s="1">
        <v>722.23239000000001</v>
      </c>
      <c r="H33" s="1">
        <v>868.15619000000004</v>
      </c>
      <c r="I33" s="1">
        <v>960.83526000000006</v>
      </c>
      <c r="J33" s="1">
        <v>963.7967900000001</v>
      </c>
    </row>
    <row r="34" spans="1:10" hidden="1" x14ac:dyDescent="0.25">
      <c r="A34" t="s">
        <v>46</v>
      </c>
      <c r="B34" t="s">
        <v>333</v>
      </c>
      <c r="C34" s="1">
        <v>0</v>
      </c>
      <c r="D34" s="1">
        <v>297.71863000000002</v>
      </c>
      <c r="E34" s="1">
        <v>232.57619</v>
      </c>
      <c r="F34" s="1">
        <v>239.13252000000003</v>
      </c>
      <c r="G34" s="1">
        <v>347.04835000000003</v>
      </c>
      <c r="H34" s="1">
        <v>395.79771000000005</v>
      </c>
      <c r="I34" s="1">
        <v>217.85115000000002</v>
      </c>
      <c r="J34" s="1">
        <v>221.65638000000001</v>
      </c>
    </row>
    <row r="35" spans="1:10" hidden="1" x14ac:dyDescent="0.25">
      <c r="A35" t="s">
        <v>46</v>
      </c>
      <c r="B35" t="s">
        <v>342</v>
      </c>
      <c r="C35" s="1">
        <v>0</v>
      </c>
      <c r="D35" s="1">
        <v>352.85591000000005</v>
      </c>
      <c r="E35" s="1">
        <v>283.01306000000005</v>
      </c>
      <c r="F35" s="1">
        <v>285.27026000000001</v>
      </c>
      <c r="G35" s="1">
        <v>405.40852000000001</v>
      </c>
      <c r="H35" s="1">
        <v>468.71715</v>
      </c>
      <c r="I35" s="1">
        <v>538.47805000000005</v>
      </c>
      <c r="J35" s="1">
        <v>553.52110000000005</v>
      </c>
    </row>
    <row r="36" spans="1:10" hidden="1" x14ac:dyDescent="0.25">
      <c r="A36" t="s">
        <v>46</v>
      </c>
      <c r="B36" t="s">
        <v>351</v>
      </c>
      <c r="C36" s="1">
        <v>0</v>
      </c>
      <c r="D36" s="1">
        <v>100.63350000000001</v>
      </c>
      <c r="E36" s="1">
        <v>104.87268000000002</v>
      </c>
      <c r="F36" s="1">
        <v>110.01408000000001</v>
      </c>
      <c r="G36" s="1">
        <v>124.27140000000001</v>
      </c>
      <c r="H36" s="1">
        <v>178.28074000000001</v>
      </c>
      <c r="I36" s="1">
        <v>245.74473000000003</v>
      </c>
      <c r="J36" s="1">
        <v>273.35626999999999</v>
      </c>
    </row>
    <row r="37" spans="1:10" hidden="1" x14ac:dyDescent="0.25">
      <c r="A37" t="s">
        <v>46</v>
      </c>
      <c r="B37" t="s">
        <v>360</v>
      </c>
      <c r="C37" s="1">
        <v>0</v>
      </c>
      <c r="D37" s="1">
        <v>144.52350000000001</v>
      </c>
      <c r="E37" s="1">
        <v>164.42448000000002</v>
      </c>
      <c r="F37" s="1">
        <v>174.70728000000003</v>
      </c>
      <c r="G37" s="1">
        <v>232.01508000000001</v>
      </c>
      <c r="H37" s="1">
        <v>242.77440000000001</v>
      </c>
      <c r="I37" s="1">
        <v>349.77195</v>
      </c>
      <c r="J37" s="1">
        <v>370.95201000000003</v>
      </c>
    </row>
    <row r="38" spans="1:10" hidden="1" x14ac:dyDescent="0.25">
      <c r="A38" t="s">
        <v>46</v>
      </c>
      <c r="B38" t="s">
        <v>369</v>
      </c>
      <c r="C38" s="1">
        <v>0</v>
      </c>
      <c r="D38" s="1">
        <v>556.44226000000003</v>
      </c>
      <c r="E38" s="1">
        <v>558.88877000000002</v>
      </c>
      <c r="F38" s="1">
        <v>561.29667000000006</v>
      </c>
      <c r="G38" s="1">
        <v>792.82533000000012</v>
      </c>
      <c r="H38" s="1">
        <v>871.00607000000014</v>
      </c>
      <c r="I38" s="1">
        <v>964.1134800000001</v>
      </c>
      <c r="J38" s="1">
        <v>967.1774200000001</v>
      </c>
    </row>
    <row r="39" spans="1:10" hidden="1" x14ac:dyDescent="0.25">
      <c r="A39" t="s">
        <v>46</v>
      </c>
      <c r="B39" t="s">
        <v>378</v>
      </c>
      <c r="C39" s="1">
        <v>0</v>
      </c>
      <c r="D39" s="1">
        <v>415.43095</v>
      </c>
      <c r="E39" s="1">
        <v>375.84723000000002</v>
      </c>
      <c r="F39" s="1">
        <v>384.27191000000005</v>
      </c>
      <c r="G39" s="1">
        <v>552.50019000000009</v>
      </c>
      <c r="H39" s="1">
        <v>600.11797999999999</v>
      </c>
      <c r="I39" s="1">
        <v>732.76753000000008</v>
      </c>
      <c r="J39" s="1">
        <v>753.48944000000006</v>
      </c>
    </row>
    <row r="40" spans="1:10" hidden="1" x14ac:dyDescent="0.25">
      <c r="A40" t="s">
        <v>46</v>
      </c>
      <c r="B40" t="s">
        <v>387</v>
      </c>
      <c r="C40" s="1">
        <v>0</v>
      </c>
      <c r="D40" s="1">
        <v>298.11364000000003</v>
      </c>
      <c r="E40" s="1">
        <v>243.14598000000001</v>
      </c>
      <c r="F40" s="1">
        <v>249.70231000000004</v>
      </c>
      <c r="G40" s="1">
        <v>363.50501000000003</v>
      </c>
      <c r="H40" s="1">
        <v>414.92539000000005</v>
      </c>
      <c r="I40" s="1">
        <v>481.21601000000004</v>
      </c>
      <c r="J40" s="1">
        <v>494.64800000000002</v>
      </c>
    </row>
    <row r="41" spans="1:10" hidden="1" x14ac:dyDescent="0.25">
      <c r="A41" t="s">
        <v>46</v>
      </c>
      <c r="B41" t="s">
        <v>396</v>
      </c>
      <c r="C41" s="1">
        <v>0</v>
      </c>
      <c r="D41" s="1">
        <v>111.2925</v>
      </c>
      <c r="E41" s="1">
        <v>115.15548000000001</v>
      </c>
      <c r="F41" s="1">
        <v>119.98712</v>
      </c>
      <c r="G41" s="1">
        <v>135.83405000000002</v>
      </c>
      <c r="H41" s="1">
        <v>179.78554</v>
      </c>
      <c r="I41" s="1">
        <v>245.74473000000003</v>
      </c>
      <c r="J41" s="1">
        <v>273.35626999999999</v>
      </c>
    </row>
    <row r="42" spans="1:10" hidden="1" x14ac:dyDescent="0.25">
      <c r="A42" t="s">
        <v>46</v>
      </c>
      <c r="B42" t="s">
        <v>405</v>
      </c>
      <c r="C42" s="1">
        <v>0</v>
      </c>
      <c r="D42" s="1">
        <v>296.13859000000002</v>
      </c>
      <c r="E42" s="1">
        <v>233.68191000000002</v>
      </c>
      <c r="F42" s="1">
        <v>240.23824000000002</v>
      </c>
      <c r="G42" s="1">
        <v>348.25560000000002</v>
      </c>
      <c r="H42" s="1">
        <v>397.79883000000001</v>
      </c>
      <c r="I42" s="1">
        <v>461.64272000000005</v>
      </c>
      <c r="J42" s="1">
        <v>474.46300000000002</v>
      </c>
    </row>
    <row r="43" spans="1:10" hidden="1" x14ac:dyDescent="0.25">
      <c r="A43" t="s">
        <v>46</v>
      </c>
      <c r="B43" t="s">
        <v>414</v>
      </c>
      <c r="C43" s="1">
        <v>0</v>
      </c>
      <c r="D43" s="1">
        <v>249.62982000000002</v>
      </c>
      <c r="E43" s="1">
        <v>189.59908000000001</v>
      </c>
      <c r="F43" s="1">
        <v>195.08247000000003</v>
      </c>
      <c r="G43" s="1">
        <v>278.15755000000001</v>
      </c>
      <c r="H43" s="1">
        <v>317.33537000000001</v>
      </c>
      <c r="I43" s="1">
        <v>373.28786000000002</v>
      </c>
      <c r="J43" s="1">
        <v>383.63258999999999</v>
      </c>
    </row>
    <row r="44" spans="1:10" hidden="1" x14ac:dyDescent="0.25">
      <c r="A44" t="s">
        <v>46</v>
      </c>
      <c r="B44" t="s">
        <v>423</v>
      </c>
      <c r="C44" s="1">
        <v>0</v>
      </c>
      <c r="D44" s="1">
        <v>99.316800000000001</v>
      </c>
      <c r="E44" s="1">
        <v>104.3229</v>
      </c>
      <c r="F44" s="1">
        <v>109.6524</v>
      </c>
      <c r="G44" s="1">
        <v>122.7666</v>
      </c>
      <c r="H44" s="1">
        <v>178.30593000000002</v>
      </c>
      <c r="I44" s="1">
        <v>245.74473000000003</v>
      </c>
      <c r="J44" s="1">
        <v>273.35626999999999</v>
      </c>
    </row>
    <row r="45" spans="1:10" hidden="1" x14ac:dyDescent="0.25">
      <c r="A45" t="s">
        <v>46</v>
      </c>
      <c r="B45" t="s">
        <v>432</v>
      </c>
      <c r="C45" s="1">
        <v>0</v>
      </c>
      <c r="D45" s="1">
        <v>356.28560000000004</v>
      </c>
      <c r="E45" s="1">
        <v>281.07475000000005</v>
      </c>
      <c r="F45" s="1">
        <v>283.33195000000001</v>
      </c>
      <c r="G45" s="1">
        <v>402.72683000000001</v>
      </c>
      <c r="H45" s="1">
        <v>465.66817000000003</v>
      </c>
      <c r="I45" s="1">
        <v>536.02538000000004</v>
      </c>
      <c r="J45" s="1">
        <v>550.99165000000005</v>
      </c>
    </row>
    <row r="46" spans="1:10" hidden="1" x14ac:dyDescent="0.25">
      <c r="A46" t="s">
        <v>46</v>
      </c>
      <c r="B46" t="s">
        <v>441</v>
      </c>
      <c r="C46" s="1">
        <v>0</v>
      </c>
      <c r="D46" s="1">
        <v>391.46701000000002</v>
      </c>
      <c r="E46" s="1">
        <v>387.66959000000003</v>
      </c>
      <c r="F46" s="1">
        <v>393.20512000000002</v>
      </c>
      <c r="G46" s="1">
        <v>570.2338400000001</v>
      </c>
      <c r="H46" s="1">
        <v>602.23394000000008</v>
      </c>
      <c r="I46" s="1">
        <v>757.2184400000001</v>
      </c>
      <c r="J46" s="1">
        <v>774.5244100000001</v>
      </c>
    </row>
    <row r="47" spans="1:10" hidden="1" x14ac:dyDescent="0.25">
      <c r="A47" t="s">
        <v>46</v>
      </c>
      <c r="B47" t="s">
        <v>450</v>
      </c>
      <c r="C47" s="1">
        <v>0</v>
      </c>
      <c r="D47" s="1">
        <v>164.90100000000001</v>
      </c>
      <c r="E47" s="1">
        <v>132.40172000000001</v>
      </c>
      <c r="F47" s="1">
        <v>133.30460000000002</v>
      </c>
      <c r="G47" s="1">
        <v>184.02307000000002</v>
      </c>
      <c r="H47" s="1">
        <v>204.95156000000003</v>
      </c>
      <c r="I47" s="1">
        <v>253.73920000000001</v>
      </c>
      <c r="J47" s="1">
        <v>283.2346</v>
      </c>
    </row>
    <row r="48" spans="1:10" hidden="1" x14ac:dyDescent="0.25">
      <c r="A48" t="s">
        <v>46</v>
      </c>
      <c r="B48" t="s">
        <v>459</v>
      </c>
      <c r="C48" s="1">
        <v>0</v>
      </c>
      <c r="D48" s="1">
        <v>439.39489000000003</v>
      </c>
      <c r="E48" s="1">
        <v>432.56796000000003</v>
      </c>
      <c r="F48" s="1">
        <v>442.81963000000007</v>
      </c>
      <c r="G48" s="1">
        <v>602.02527000000009</v>
      </c>
      <c r="H48" s="1">
        <v>610.26966000000004</v>
      </c>
      <c r="I48" s="1">
        <v>839.3207900000001</v>
      </c>
      <c r="J48" s="1">
        <v>841.73275999999998</v>
      </c>
    </row>
    <row r="49" spans="1:10" hidden="1" x14ac:dyDescent="0.25">
      <c r="A49" t="s">
        <v>46</v>
      </c>
      <c r="B49" t="s">
        <v>468</v>
      </c>
      <c r="C49" s="1">
        <v>0</v>
      </c>
      <c r="D49" s="1">
        <v>433.81921000000006</v>
      </c>
      <c r="E49" s="1">
        <v>421.98475000000002</v>
      </c>
      <c r="F49" s="1">
        <v>431.37248</v>
      </c>
      <c r="G49" s="1">
        <v>599.86058000000003</v>
      </c>
      <c r="H49" s="1">
        <v>608.37557000000004</v>
      </c>
      <c r="I49" s="1">
        <v>833.89845000000014</v>
      </c>
      <c r="J49" s="1">
        <v>839.50042000000008</v>
      </c>
    </row>
    <row r="50" spans="1:10" hidden="1" x14ac:dyDescent="0.25">
      <c r="A50" t="s">
        <v>46</v>
      </c>
      <c r="B50" t="s">
        <v>477</v>
      </c>
      <c r="C50" s="1">
        <v>0</v>
      </c>
      <c r="D50" s="1">
        <v>399.45499000000001</v>
      </c>
      <c r="E50" s="1">
        <v>398.31968000000001</v>
      </c>
      <c r="F50" s="1">
        <v>403.85510000000005</v>
      </c>
      <c r="G50" s="1">
        <v>586.20881000000008</v>
      </c>
      <c r="H50" s="1">
        <v>604.14002000000005</v>
      </c>
      <c r="I50" s="1">
        <v>784.95483000000002</v>
      </c>
      <c r="J50" s="1">
        <v>807.12918000000002</v>
      </c>
    </row>
    <row r="51" spans="1:10" hidden="1" x14ac:dyDescent="0.25">
      <c r="A51" t="s">
        <v>46</v>
      </c>
      <c r="B51" t="s">
        <v>486</v>
      </c>
      <c r="C51" s="1">
        <v>0</v>
      </c>
      <c r="D51" s="1">
        <v>297.74657000000002</v>
      </c>
      <c r="E51" s="1">
        <v>214.30409000000003</v>
      </c>
      <c r="F51" s="1">
        <v>220.86031000000003</v>
      </c>
      <c r="G51" s="1">
        <v>316.78097000000002</v>
      </c>
      <c r="H51" s="1">
        <v>362.73138000000006</v>
      </c>
      <c r="I51" s="1">
        <v>421.56565000000001</v>
      </c>
      <c r="J51" s="1">
        <v>433.13357999999999</v>
      </c>
    </row>
    <row r="52" spans="1:10" hidden="1" x14ac:dyDescent="0.25">
      <c r="A52" t="s">
        <v>46</v>
      </c>
      <c r="B52" t="s">
        <v>495</v>
      </c>
      <c r="C52" s="1">
        <v>0</v>
      </c>
      <c r="D52" s="1">
        <v>443.38888000000003</v>
      </c>
      <c r="E52" s="1">
        <v>421.04865000000001</v>
      </c>
      <c r="F52" s="1">
        <v>431.30020999999999</v>
      </c>
      <c r="G52" s="1">
        <v>599.66907000000003</v>
      </c>
      <c r="H52" s="1">
        <v>608.20803999999998</v>
      </c>
      <c r="I52" s="1">
        <v>831.9624500000001</v>
      </c>
      <c r="J52" s="1">
        <v>839.30297000000007</v>
      </c>
    </row>
    <row r="53" spans="1:10" hidden="1" x14ac:dyDescent="0.25">
      <c r="A53" t="s">
        <v>46</v>
      </c>
      <c r="B53" t="s">
        <v>504</v>
      </c>
      <c r="C53" s="1">
        <v>0</v>
      </c>
      <c r="D53" s="1">
        <v>401.86729000000008</v>
      </c>
      <c r="E53" s="1">
        <v>397.81236000000007</v>
      </c>
      <c r="F53" s="1">
        <v>405.27388000000002</v>
      </c>
      <c r="G53" s="1">
        <v>585.44782999999995</v>
      </c>
      <c r="H53" s="1">
        <v>604.04927000000009</v>
      </c>
      <c r="I53" s="1">
        <v>783.90565000000004</v>
      </c>
      <c r="J53" s="1">
        <v>806.04722000000015</v>
      </c>
    </row>
    <row r="54" spans="1:10" hidden="1" x14ac:dyDescent="0.25">
      <c r="A54" t="s">
        <v>46</v>
      </c>
      <c r="B54" t="s">
        <v>513</v>
      </c>
      <c r="C54" s="1">
        <v>0</v>
      </c>
      <c r="D54" s="1">
        <v>562.84855000000005</v>
      </c>
      <c r="E54" s="1">
        <v>644.72782000000007</v>
      </c>
      <c r="F54" s="1">
        <v>648.62611000000015</v>
      </c>
      <c r="G54" s="1">
        <v>795.14688000000012</v>
      </c>
      <c r="H54" s="1">
        <v>886.89524000000017</v>
      </c>
      <c r="I54" s="1">
        <v>982.25127000000009</v>
      </c>
      <c r="J54" s="1">
        <v>985.88215000000002</v>
      </c>
    </row>
    <row r="55" spans="1:10" hidden="1" x14ac:dyDescent="0.25">
      <c r="A55" t="s">
        <v>46</v>
      </c>
      <c r="B55" t="s">
        <v>522</v>
      </c>
      <c r="C55" s="1">
        <v>0</v>
      </c>
      <c r="D55" s="1">
        <v>227.56008000000003</v>
      </c>
      <c r="E55" s="1">
        <v>148.56952000000001</v>
      </c>
      <c r="F55" s="1">
        <v>150.67624000000001</v>
      </c>
      <c r="G55" s="1">
        <v>219.44219000000001</v>
      </c>
      <c r="H55" s="1">
        <v>248.82077000000004</v>
      </c>
      <c r="I55" s="1">
        <v>278.92084000000006</v>
      </c>
      <c r="J55" s="1">
        <v>291.36382000000003</v>
      </c>
    </row>
    <row r="56" spans="1:10" hidden="1" x14ac:dyDescent="0.25">
      <c r="A56" t="s">
        <v>46</v>
      </c>
      <c r="B56" t="s">
        <v>531</v>
      </c>
      <c r="C56" s="1">
        <v>0</v>
      </c>
      <c r="D56" s="1">
        <v>357.30133999999998</v>
      </c>
      <c r="E56" s="1">
        <v>289.86144000000002</v>
      </c>
      <c r="F56" s="1">
        <v>292.11864000000003</v>
      </c>
      <c r="G56" s="1">
        <v>415.30511000000001</v>
      </c>
      <c r="H56" s="1">
        <v>480.20159000000001</v>
      </c>
      <c r="I56" s="1">
        <v>551.08591999999999</v>
      </c>
      <c r="J56" s="1">
        <v>566.5228800000001</v>
      </c>
    </row>
    <row r="57" spans="1:10" hidden="1" x14ac:dyDescent="0.25">
      <c r="A57" t="s">
        <v>46</v>
      </c>
      <c r="B57" t="s">
        <v>540</v>
      </c>
      <c r="C57" s="1">
        <v>0</v>
      </c>
      <c r="D57" s="1">
        <v>142.39797000000002</v>
      </c>
      <c r="E57" s="1">
        <v>123.35840000000002</v>
      </c>
      <c r="F57" s="1">
        <v>125.05130000000001</v>
      </c>
      <c r="G57" s="1">
        <v>183.90900000000002</v>
      </c>
      <c r="H57" s="1">
        <v>217.30896000000001</v>
      </c>
      <c r="I57" s="1">
        <v>241.78000000000003</v>
      </c>
      <c r="J57" s="1">
        <v>284.59288000000004</v>
      </c>
    </row>
    <row r="58" spans="1:10" hidden="1" x14ac:dyDescent="0.25">
      <c r="A58" t="s">
        <v>46</v>
      </c>
      <c r="B58" t="s">
        <v>549</v>
      </c>
      <c r="C58" s="1">
        <v>0</v>
      </c>
      <c r="D58" s="1">
        <v>364.94920000000002</v>
      </c>
      <c r="E58" s="1">
        <v>306.05509000000001</v>
      </c>
      <c r="F58" s="1">
        <v>309.75713999999999</v>
      </c>
      <c r="G58" s="1">
        <v>440.85998000000001</v>
      </c>
      <c r="H58" s="1">
        <v>510.65784000000002</v>
      </c>
      <c r="I58" s="1">
        <v>591.82530000000008</v>
      </c>
      <c r="J58" s="1">
        <v>608.28559000000007</v>
      </c>
    </row>
    <row r="59" spans="1:10" hidden="1" x14ac:dyDescent="0.25">
      <c r="A59" t="s">
        <v>46</v>
      </c>
      <c r="B59" t="s">
        <v>558</v>
      </c>
      <c r="C59" s="1">
        <v>0</v>
      </c>
      <c r="D59" s="1">
        <v>407.44297</v>
      </c>
      <c r="E59" s="1">
        <v>423.77423000000005</v>
      </c>
      <c r="F59" s="1">
        <v>431.71733000000006</v>
      </c>
      <c r="G59" s="1">
        <v>599.87444000000005</v>
      </c>
      <c r="H59" s="1">
        <v>608.69578000000001</v>
      </c>
      <c r="I59" s="1">
        <v>837.52206999999999</v>
      </c>
      <c r="J59" s="1">
        <v>839.87783000000013</v>
      </c>
    </row>
    <row r="60" spans="1:10" hidden="1" x14ac:dyDescent="0.25">
      <c r="A60" t="s">
        <v>46</v>
      </c>
      <c r="B60" t="s">
        <v>567</v>
      </c>
      <c r="C60" s="1">
        <v>0</v>
      </c>
      <c r="D60" s="1">
        <v>296.61797000000001</v>
      </c>
      <c r="E60" s="1">
        <v>206.86336000000003</v>
      </c>
      <c r="F60" s="1">
        <v>213.41958000000002</v>
      </c>
      <c r="G60" s="1">
        <v>304.11513000000002</v>
      </c>
      <c r="H60" s="1">
        <v>349.26617000000005</v>
      </c>
      <c r="I60" s="1">
        <v>406.17687000000006</v>
      </c>
      <c r="J60" s="1">
        <v>417.26399000000004</v>
      </c>
    </row>
    <row r="61" spans="1:10" hidden="1" x14ac:dyDescent="0.25">
      <c r="A61" t="s">
        <v>46</v>
      </c>
      <c r="B61" t="s">
        <v>585</v>
      </c>
      <c r="C61" s="1">
        <v>0</v>
      </c>
      <c r="D61" s="1">
        <v>107.84400000000002</v>
      </c>
      <c r="E61" s="1">
        <v>111.60600000000001</v>
      </c>
      <c r="F61" s="1">
        <v>120.384</v>
      </c>
      <c r="G61" s="1">
        <v>161.76600000000002</v>
      </c>
      <c r="H61" s="1">
        <v>178.06800000000001</v>
      </c>
      <c r="I61" s="1">
        <v>200.92512000000002</v>
      </c>
      <c r="J61" s="1">
        <v>256.00344000000001</v>
      </c>
    </row>
    <row r="62" spans="1:10" hidden="1" x14ac:dyDescent="0.25">
      <c r="A62" t="s">
        <v>46</v>
      </c>
      <c r="B62" t="s">
        <v>594</v>
      </c>
      <c r="C62" s="1">
        <v>0</v>
      </c>
      <c r="D62" s="1">
        <v>578.82451000000015</v>
      </c>
      <c r="E62" s="1">
        <v>583.47739999999999</v>
      </c>
      <c r="F62" s="1">
        <v>586.27877000000001</v>
      </c>
      <c r="G62" s="1">
        <v>824.16312000000005</v>
      </c>
      <c r="H62" s="1">
        <v>873.15041000000008</v>
      </c>
      <c r="I62" s="1">
        <v>968.33693000000005</v>
      </c>
      <c r="J62" s="1">
        <v>971.53298000000007</v>
      </c>
    </row>
    <row r="63" spans="1:10" hidden="1" x14ac:dyDescent="0.25">
      <c r="A63" t="s">
        <v>46</v>
      </c>
      <c r="B63" t="s">
        <v>603</v>
      </c>
      <c r="C63" s="1">
        <v>0</v>
      </c>
      <c r="D63" s="1">
        <v>382.12427000000002</v>
      </c>
      <c r="E63" s="1">
        <v>353.62734</v>
      </c>
      <c r="F63" s="1">
        <v>357.23666000000003</v>
      </c>
      <c r="G63" s="1">
        <v>512.4577700000001</v>
      </c>
      <c r="H63" s="1">
        <v>593.68034</v>
      </c>
      <c r="I63" s="1">
        <v>686.81261000000006</v>
      </c>
      <c r="J63" s="1">
        <v>706.09836000000007</v>
      </c>
    </row>
    <row r="64" spans="1:10" hidden="1" x14ac:dyDescent="0.25">
      <c r="A64" t="s">
        <v>46</v>
      </c>
      <c r="B64" t="s">
        <v>612</v>
      </c>
      <c r="C64" s="1">
        <v>0</v>
      </c>
      <c r="D64" s="1">
        <v>296.95655000000005</v>
      </c>
      <c r="E64" s="1">
        <v>211.55057000000002</v>
      </c>
      <c r="F64" s="1">
        <v>218.10690000000002</v>
      </c>
      <c r="G64" s="1">
        <v>311.59744000000001</v>
      </c>
      <c r="H64" s="1">
        <v>357.74860000000001</v>
      </c>
      <c r="I64" s="1">
        <v>415.87106</v>
      </c>
      <c r="J64" s="1">
        <v>427.26112000000001</v>
      </c>
    </row>
    <row r="65" spans="1:10" hidden="1" x14ac:dyDescent="0.25">
      <c r="A65" t="s">
        <v>46</v>
      </c>
      <c r="B65" t="s">
        <v>621</v>
      </c>
      <c r="C65" s="1">
        <v>0</v>
      </c>
      <c r="D65" s="1">
        <v>433.81921000000006</v>
      </c>
      <c r="E65" s="1">
        <v>418.64042000000001</v>
      </c>
      <c r="F65" s="1">
        <v>428.89209000000005</v>
      </c>
      <c r="G65" s="1">
        <v>599.17649000000006</v>
      </c>
      <c r="H65" s="1">
        <v>607.77695000000006</v>
      </c>
      <c r="I65" s="1">
        <v>826.98187000000007</v>
      </c>
      <c r="J65" s="1">
        <v>838.79498999999998</v>
      </c>
    </row>
    <row r="66" spans="1:10" hidden="1" x14ac:dyDescent="0.25">
      <c r="A66" t="s">
        <v>46</v>
      </c>
      <c r="B66" t="s">
        <v>630</v>
      </c>
      <c r="C66" s="1">
        <v>0</v>
      </c>
      <c r="D66" s="1">
        <v>395.46055999999999</v>
      </c>
      <c r="E66" s="1">
        <v>372.14848000000001</v>
      </c>
      <c r="F66" s="1">
        <v>376.72085000000004</v>
      </c>
      <c r="G66" s="1">
        <v>542.49679000000003</v>
      </c>
      <c r="H66" s="1">
        <v>599.45600000000013</v>
      </c>
      <c r="I66" s="1">
        <v>394.31524000000002</v>
      </c>
      <c r="J66" s="1">
        <v>397.01629000000003</v>
      </c>
    </row>
    <row r="67" spans="1:10" hidden="1" x14ac:dyDescent="0.25">
      <c r="A67" t="s">
        <v>46</v>
      </c>
      <c r="B67" t="s">
        <v>639</v>
      </c>
      <c r="C67" s="1">
        <v>0</v>
      </c>
      <c r="D67" s="1">
        <v>112.35840000000002</v>
      </c>
      <c r="E67" s="1">
        <v>113.09892000000001</v>
      </c>
      <c r="F67" s="1">
        <v>119.98712</v>
      </c>
      <c r="G67" s="1">
        <v>163.99284</v>
      </c>
      <c r="H67" s="1">
        <v>181.81284000000002</v>
      </c>
      <c r="I67" s="1">
        <v>202.54740000000001</v>
      </c>
      <c r="J67" s="1">
        <v>257.35116000000005</v>
      </c>
    </row>
    <row r="68" spans="1:10" hidden="1" x14ac:dyDescent="0.25">
      <c r="A68" t="s">
        <v>46</v>
      </c>
      <c r="B68" t="s">
        <v>648</v>
      </c>
      <c r="C68" s="1">
        <v>0</v>
      </c>
      <c r="D68" s="1">
        <v>439.39489000000003</v>
      </c>
      <c r="E68" s="1">
        <v>397.99979999999999</v>
      </c>
      <c r="F68" s="1">
        <v>408.25136000000003</v>
      </c>
      <c r="G68" s="1">
        <v>585.72888000000012</v>
      </c>
      <c r="H68" s="1">
        <v>604.08282000000008</v>
      </c>
      <c r="I68" s="1">
        <v>784.29318000000001</v>
      </c>
      <c r="J68" s="1">
        <v>806.44674000000009</v>
      </c>
    </row>
    <row r="69" spans="1:10" hidden="1" x14ac:dyDescent="0.25">
      <c r="A69" t="s">
        <v>46</v>
      </c>
      <c r="B69" t="s">
        <v>657</v>
      </c>
      <c r="C69" s="1">
        <v>0</v>
      </c>
      <c r="D69" s="1">
        <v>123.66948000000001</v>
      </c>
      <c r="E69" s="1">
        <v>120.71048000000002</v>
      </c>
      <c r="F69" s="1">
        <v>121.76384000000002</v>
      </c>
      <c r="G69" s="1">
        <v>180.08760000000004</v>
      </c>
      <c r="H69" s="1">
        <v>202.00620000000001</v>
      </c>
      <c r="I69" s="1">
        <v>222.99552</v>
      </c>
      <c r="J69" s="1">
        <v>276.98704000000004</v>
      </c>
    </row>
    <row r="70" spans="1:10" hidden="1" x14ac:dyDescent="0.25">
      <c r="A70" t="s">
        <v>46</v>
      </c>
      <c r="B70" t="s">
        <v>666</v>
      </c>
      <c r="C70" s="1">
        <v>0</v>
      </c>
      <c r="D70" s="1">
        <v>100.63350000000001</v>
      </c>
      <c r="E70" s="1">
        <v>104.87268000000002</v>
      </c>
      <c r="F70" s="1">
        <v>110.01408000000001</v>
      </c>
      <c r="G70" s="1">
        <v>124.72284000000001</v>
      </c>
      <c r="H70" s="1">
        <v>178.65694000000002</v>
      </c>
      <c r="I70" s="1">
        <v>245.74473000000003</v>
      </c>
      <c r="J70" s="1">
        <v>273.35626999999999</v>
      </c>
    </row>
    <row r="71" spans="1:10" hidden="1" x14ac:dyDescent="0.25">
      <c r="A71" t="s">
        <v>46</v>
      </c>
      <c r="B71" t="s">
        <v>675</v>
      </c>
      <c r="C71" s="1">
        <v>0</v>
      </c>
      <c r="D71" s="1">
        <v>247.14690000000002</v>
      </c>
      <c r="E71" s="1">
        <v>166.23189000000002</v>
      </c>
      <c r="F71" s="1">
        <v>171.00149000000002</v>
      </c>
      <c r="G71" s="1">
        <v>245.63418000000001</v>
      </c>
      <c r="H71" s="1">
        <v>277.27986000000004</v>
      </c>
      <c r="I71" s="1">
        <v>310.66596000000004</v>
      </c>
      <c r="J71" s="1">
        <v>321.92754000000002</v>
      </c>
    </row>
    <row r="72" spans="1:10" hidden="1" x14ac:dyDescent="0.25">
      <c r="A72" t="s">
        <v>46</v>
      </c>
      <c r="B72" t="s">
        <v>684</v>
      </c>
      <c r="C72" s="1">
        <v>0</v>
      </c>
      <c r="D72" s="1">
        <v>125.85507000000001</v>
      </c>
      <c r="E72" s="1">
        <v>121.43615000000001</v>
      </c>
      <c r="F72" s="1">
        <v>125.72758</v>
      </c>
      <c r="G72" s="1">
        <v>178.04963000000004</v>
      </c>
      <c r="H72" s="1">
        <v>183.37924000000004</v>
      </c>
      <c r="I72" s="1">
        <v>245.74473000000003</v>
      </c>
      <c r="J72" s="1">
        <v>273.35626999999999</v>
      </c>
    </row>
    <row r="73" spans="1:10" hidden="1" x14ac:dyDescent="0.25">
      <c r="A73" t="s">
        <v>46</v>
      </c>
      <c r="B73" t="s">
        <v>693</v>
      </c>
      <c r="C73" s="1">
        <v>0</v>
      </c>
      <c r="D73" s="1">
        <v>427.41292000000004</v>
      </c>
      <c r="E73" s="1">
        <v>423.45765000000006</v>
      </c>
      <c r="F73" s="1">
        <v>432.84538000000003</v>
      </c>
      <c r="G73" s="1">
        <v>600.16187000000014</v>
      </c>
      <c r="H73" s="1">
        <v>608.63913000000014</v>
      </c>
      <c r="I73" s="1">
        <v>836.94479000000001</v>
      </c>
      <c r="J73" s="1">
        <v>839.81106000000011</v>
      </c>
    </row>
    <row r="74" spans="1:10" hidden="1" x14ac:dyDescent="0.25">
      <c r="A74" t="s">
        <v>46</v>
      </c>
      <c r="B74" t="s">
        <v>702</v>
      </c>
      <c r="C74" s="1">
        <v>0</v>
      </c>
      <c r="D74" s="1">
        <v>129.57483000000002</v>
      </c>
      <c r="E74" s="1">
        <v>121.18007000000001</v>
      </c>
      <c r="F74" s="1">
        <v>124.75628</v>
      </c>
      <c r="G74" s="1">
        <v>177.98374000000004</v>
      </c>
      <c r="H74" s="1">
        <v>180.26217</v>
      </c>
      <c r="I74" s="1">
        <v>245.74473000000003</v>
      </c>
      <c r="J74" s="1">
        <v>273.35626999999999</v>
      </c>
    </row>
    <row r="75" spans="1:10" hidden="1" x14ac:dyDescent="0.25">
      <c r="A75" t="s">
        <v>46</v>
      </c>
      <c r="B75" t="s">
        <v>711</v>
      </c>
      <c r="C75" s="1">
        <v>0</v>
      </c>
      <c r="D75" s="1">
        <v>401.86729000000008</v>
      </c>
      <c r="E75" s="1">
        <v>392.17882000000003</v>
      </c>
      <c r="F75" s="1">
        <v>398.29603000000009</v>
      </c>
      <c r="G75" s="1">
        <v>576.99752000000001</v>
      </c>
      <c r="H75" s="1">
        <v>603.04101000000003</v>
      </c>
      <c r="I75" s="1">
        <v>766.54424000000006</v>
      </c>
      <c r="J75" s="1">
        <v>775.47558000000004</v>
      </c>
    </row>
    <row r="76" spans="1:10" hidden="1" x14ac:dyDescent="0.25">
      <c r="A76" t="s">
        <v>46</v>
      </c>
      <c r="B76" t="s">
        <v>720</v>
      </c>
      <c r="C76" s="1">
        <v>0</v>
      </c>
      <c r="D76" s="1">
        <v>443.38888000000003</v>
      </c>
      <c r="E76" s="1">
        <v>432.29032000000001</v>
      </c>
      <c r="F76" s="1">
        <v>442.54187999999999</v>
      </c>
      <c r="G76" s="1">
        <v>601.96851000000004</v>
      </c>
      <c r="H76" s="1">
        <v>610.22005000000001</v>
      </c>
      <c r="I76" s="1">
        <v>839.26403000000005</v>
      </c>
      <c r="J76" s="1">
        <v>841.67424000000005</v>
      </c>
    </row>
    <row r="77" spans="1:10" hidden="1" x14ac:dyDescent="0.25">
      <c r="A77" t="s">
        <v>46</v>
      </c>
      <c r="B77" t="s">
        <v>729</v>
      </c>
      <c r="C77" s="1">
        <v>0</v>
      </c>
      <c r="D77" s="1">
        <v>376.55024000000003</v>
      </c>
      <c r="E77" s="1">
        <v>333.61152000000004</v>
      </c>
      <c r="F77" s="1">
        <v>340.62402000000003</v>
      </c>
      <c r="G77" s="1">
        <v>485.65550000000002</v>
      </c>
      <c r="H77" s="1">
        <v>562.14708000000007</v>
      </c>
      <c r="I77" s="1">
        <v>406.92641000000003</v>
      </c>
      <c r="J77" s="1">
        <v>409.33188999999999</v>
      </c>
    </row>
    <row r="78" spans="1:10" hidden="1" x14ac:dyDescent="0.25">
      <c r="A78" t="s">
        <v>46</v>
      </c>
      <c r="B78" t="s">
        <v>738</v>
      </c>
      <c r="C78" s="1">
        <v>0</v>
      </c>
      <c r="D78" s="1">
        <v>378.17263000000003</v>
      </c>
      <c r="E78" s="1">
        <v>323.24094000000002</v>
      </c>
      <c r="F78" s="1">
        <v>329.04960000000005</v>
      </c>
      <c r="G78" s="1">
        <v>468.74531000000002</v>
      </c>
      <c r="H78" s="1">
        <v>543.37998000000005</v>
      </c>
      <c r="I78" s="1">
        <v>627.3686100000001</v>
      </c>
      <c r="J78" s="1">
        <v>644.93946000000005</v>
      </c>
    </row>
    <row r="79" spans="1:10" hidden="1" x14ac:dyDescent="0.25">
      <c r="A79" t="s">
        <v>46</v>
      </c>
      <c r="B79" t="s">
        <v>747</v>
      </c>
      <c r="C79" s="1">
        <v>0</v>
      </c>
      <c r="D79" s="1">
        <v>407.44297</v>
      </c>
      <c r="E79" s="1">
        <v>393.92771000000005</v>
      </c>
      <c r="F79" s="1">
        <v>401.87092000000001</v>
      </c>
      <c r="G79" s="1">
        <v>579.62102000000004</v>
      </c>
      <c r="H79" s="1">
        <v>603.35396000000003</v>
      </c>
      <c r="I79" s="1">
        <v>775.87169000000006</v>
      </c>
      <c r="J79" s="1">
        <v>797.76224000000002</v>
      </c>
    </row>
    <row r="80" spans="1:10" hidden="1" x14ac:dyDescent="0.25">
      <c r="A80" t="s">
        <v>46</v>
      </c>
      <c r="B80" t="s">
        <v>756</v>
      </c>
      <c r="C80" s="1">
        <v>0</v>
      </c>
      <c r="D80" s="1">
        <v>471.88713000000001</v>
      </c>
      <c r="E80" s="1">
        <v>454.95868000000002</v>
      </c>
      <c r="F80" s="1">
        <v>460.27014000000003</v>
      </c>
      <c r="G80" s="1">
        <v>662.8729800000001</v>
      </c>
      <c r="H80" s="1">
        <v>738.31175000000007</v>
      </c>
      <c r="I80" s="1">
        <v>872.13170000000002</v>
      </c>
      <c r="J80" s="1">
        <v>889.12405999999999</v>
      </c>
    </row>
    <row r="81" spans="1:10" hidden="1" x14ac:dyDescent="0.25">
      <c r="A81" t="s">
        <v>46</v>
      </c>
      <c r="B81" t="s">
        <v>765</v>
      </c>
      <c r="C81" s="1">
        <v>0</v>
      </c>
      <c r="D81" s="1">
        <v>620.34610000000009</v>
      </c>
      <c r="E81" s="1">
        <v>699.63993000000005</v>
      </c>
      <c r="F81" s="1">
        <v>747.94016000000011</v>
      </c>
      <c r="G81" s="1">
        <v>866.50575000000003</v>
      </c>
      <c r="H81" s="1">
        <v>903.9813200000001</v>
      </c>
      <c r="I81" s="1">
        <v>1001.7781400000001</v>
      </c>
      <c r="J81" s="1">
        <v>1006.0191900000001</v>
      </c>
    </row>
    <row r="82" spans="1:10" hidden="1" x14ac:dyDescent="0.25">
      <c r="A82" t="s">
        <v>46</v>
      </c>
      <c r="B82" t="s">
        <v>774</v>
      </c>
      <c r="C82" s="1">
        <v>0</v>
      </c>
      <c r="D82" s="1">
        <v>433.81921000000006</v>
      </c>
      <c r="E82" s="1">
        <v>433.36568</v>
      </c>
      <c r="F82" s="1">
        <v>442.75341000000003</v>
      </c>
      <c r="G82" s="1">
        <v>602.18851000000006</v>
      </c>
      <c r="H82" s="1">
        <v>610.41244000000006</v>
      </c>
      <c r="I82" s="1">
        <v>839.48402999999996</v>
      </c>
      <c r="J82" s="1">
        <v>841.90106000000003</v>
      </c>
    </row>
    <row r="83" spans="1:10" hidden="1" x14ac:dyDescent="0.25">
      <c r="A83" t="s">
        <v>46</v>
      </c>
      <c r="B83" t="s">
        <v>783</v>
      </c>
      <c r="C83" s="1">
        <v>0</v>
      </c>
      <c r="D83" s="1">
        <v>399.45499000000001</v>
      </c>
      <c r="E83" s="1">
        <v>386.22804000000002</v>
      </c>
      <c r="F83" s="1">
        <v>392.34514000000001</v>
      </c>
      <c r="G83" s="1">
        <v>568.0712400000001</v>
      </c>
      <c r="H83" s="1">
        <v>601.97588000000007</v>
      </c>
      <c r="I83" s="1">
        <v>754.23667000000012</v>
      </c>
      <c r="J83" s="1">
        <v>774.22026000000005</v>
      </c>
    </row>
    <row r="84" spans="1:10" hidden="1" x14ac:dyDescent="0.25">
      <c r="A84" t="s">
        <v>46</v>
      </c>
      <c r="B84" t="s">
        <v>792</v>
      </c>
      <c r="C84" s="1">
        <v>0</v>
      </c>
      <c r="D84" s="1">
        <v>483.60268000000002</v>
      </c>
      <c r="E84" s="1">
        <v>506.89386000000002</v>
      </c>
      <c r="F84" s="1">
        <v>509.43717000000004</v>
      </c>
      <c r="G84" s="1">
        <v>736.17665</v>
      </c>
      <c r="H84" s="1">
        <v>856.49542000000008</v>
      </c>
      <c r="I84" s="1">
        <v>954.09676999999999</v>
      </c>
      <c r="J84" s="1">
        <v>956.84775999999999</v>
      </c>
    </row>
    <row r="85" spans="1:10" hidden="1" x14ac:dyDescent="0.25">
      <c r="A85" t="s">
        <v>46</v>
      </c>
      <c r="B85" t="s">
        <v>801</v>
      </c>
      <c r="C85" s="1">
        <v>0</v>
      </c>
      <c r="D85" s="1">
        <v>467.14426000000003</v>
      </c>
      <c r="E85" s="1">
        <v>380.60495000000003</v>
      </c>
      <c r="F85" s="1">
        <v>388.29373000000004</v>
      </c>
      <c r="G85" s="1">
        <v>562.45452999999998</v>
      </c>
      <c r="H85" s="1">
        <v>601.43930000000012</v>
      </c>
      <c r="I85" s="1">
        <v>748.03575000000012</v>
      </c>
      <c r="J85" s="1">
        <v>769.23495000000003</v>
      </c>
    </row>
    <row r="86" spans="1:10" hidden="1" x14ac:dyDescent="0.25">
      <c r="A86" t="s">
        <v>46</v>
      </c>
      <c r="B86" t="s">
        <v>810</v>
      </c>
      <c r="C86" s="1">
        <v>0</v>
      </c>
      <c r="D86" s="1">
        <v>393.69869</v>
      </c>
      <c r="E86" s="1">
        <v>295.88174000000004</v>
      </c>
      <c r="F86" s="1">
        <v>298.13893999999999</v>
      </c>
      <c r="G86" s="1">
        <v>424.03438</v>
      </c>
      <c r="H86" s="1">
        <v>490.00677000000002</v>
      </c>
      <c r="I86" s="1">
        <v>562.29183999999998</v>
      </c>
      <c r="J86" s="1">
        <v>578.07893000000001</v>
      </c>
    </row>
    <row r="87" spans="1:10" hidden="1" x14ac:dyDescent="0.25">
      <c r="A87" t="s">
        <v>46</v>
      </c>
      <c r="B87" t="s">
        <v>819</v>
      </c>
      <c r="C87" s="1">
        <v>0</v>
      </c>
      <c r="D87" s="1">
        <v>125.76410000000001</v>
      </c>
      <c r="E87" s="1">
        <v>121.18007000000001</v>
      </c>
      <c r="F87" s="1">
        <v>124.75628</v>
      </c>
      <c r="G87" s="1">
        <v>178.04963000000004</v>
      </c>
      <c r="H87" s="1">
        <v>183.37924000000004</v>
      </c>
      <c r="I87" s="1">
        <v>245.74473000000003</v>
      </c>
      <c r="J87" s="1">
        <v>273.35626999999999</v>
      </c>
    </row>
    <row r="88" spans="1:10" hidden="1" x14ac:dyDescent="0.25">
      <c r="A88" t="s">
        <v>46</v>
      </c>
      <c r="B88" t="s">
        <v>828</v>
      </c>
      <c r="C88" s="1">
        <v>0</v>
      </c>
      <c r="D88" s="1">
        <v>214.52178000000004</v>
      </c>
      <c r="E88" s="1">
        <v>138.69988000000001</v>
      </c>
      <c r="F88" s="1">
        <v>140.8066</v>
      </c>
      <c r="G88" s="1">
        <v>203.83627000000001</v>
      </c>
      <c r="H88" s="1">
        <v>232.16776000000002</v>
      </c>
      <c r="I88" s="1">
        <v>266.97891000000004</v>
      </c>
      <c r="J88" s="1">
        <v>274.76361000000003</v>
      </c>
    </row>
    <row r="89" spans="1:10" hidden="1" x14ac:dyDescent="0.25">
      <c r="A89" t="s">
        <v>46</v>
      </c>
      <c r="B89" t="s">
        <v>837</v>
      </c>
      <c r="C89" s="1">
        <v>0</v>
      </c>
      <c r="D89" s="1">
        <v>383.97238000000004</v>
      </c>
      <c r="E89" s="1">
        <v>352.15015000000005</v>
      </c>
      <c r="F89" s="1">
        <v>356.72252000000003</v>
      </c>
      <c r="G89" s="1">
        <v>509.48964000000001</v>
      </c>
      <c r="H89" s="1">
        <v>591.00723000000005</v>
      </c>
      <c r="I89" s="1">
        <v>683.75758000000008</v>
      </c>
      <c r="J89" s="1">
        <v>702.94785000000002</v>
      </c>
    </row>
    <row r="90" spans="1:10" hidden="1" x14ac:dyDescent="0.25">
      <c r="A90" t="s">
        <v>46</v>
      </c>
      <c r="B90" t="s">
        <v>846</v>
      </c>
      <c r="C90" s="1">
        <v>0</v>
      </c>
      <c r="D90" s="1">
        <v>296.61797000000001</v>
      </c>
      <c r="E90" s="1">
        <v>205.91879000000003</v>
      </c>
      <c r="F90" s="1">
        <v>212.47501000000003</v>
      </c>
      <c r="G90" s="1">
        <v>305.48628000000008</v>
      </c>
      <c r="H90" s="1">
        <v>350.32250000000005</v>
      </c>
      <c r="I90" s="1">
        <v>365.44442000000004</v>
      </c>
      <c r="J90" s="1">
        <v>366.89840000000004</v>
      </c>
    </row>
    <row r="91" spans="1:10" hidden="1" x14ac:dyDescent="0.25">
      <c r="A91" t="s">
        <v>46</v>
      </c>
      <c r="B91" t="s">
        <v>855</v>
      </c>
      <c r="C91" s="1">
        <v>0</v>
      </c>
      <c r="D91" s="1">
        <v>139.08741000000001</v>
      </c>
      <c r="E91" s="1">
        <v>122.98220000000002</v>
      </c>
      <c r="F91" s="1">
        <v>124.6751</v>
      </c>
      <c r="G91" s="1">
        <v>183.81792000000002</v>
      </c>
      <c r="H91" s="1">
        <v>216.92880000000002</v>
      </c>
      <c r="I91" s="1">
        <v>240.65140000000002</v>
      </c>
      <c r="J91" s="1">
        <v>283.46428000000003</v>
      </c>
    </row>
    <row r="92" spans="1:10" hidden="1" x14ac:dyDescent="0.25">
      <c r="A92" t="s">
        <v>46</v>
      </c>
      <c r="B92" t="s">
        <v>864</v>
      </c>
      <c r="C92" s="1">
        <v>0</v>
      </c>
      <c r="D92" s="1">
        <v>172.34976</v>
      </c>
      <c r="E92" s="1">
        <v>127.87280000000001</v>
      </c>
      <c r="F92" s="1">
        <v>129.75380000000001</v>
      </c>
      <c r="G92" s="1">
        <v>192.39528000000001</v>
      </c>
      <c r="H92" s="1">
        <v>224.82900000000001</v>
      </c>
      <c r="I92" s="1">
        <v>251.03452000000001</v>
      </c>
      <c r="J92" s="1">
        <v>296.55604000000005</v>
      </c>
    </row>
    <row r="93" spans="1:10" hidden="1" x14ac:dyDescent="0.25">
      <c r="A93" t="s">
        <v>46</v>
      </c>
      <c r="B93" t="s">
        <v>873</v>
      </c>
      <c r="C93" s="1">
        <v>0</v>
      </c>
      <c r="D93" s="1">
        <v>588.39418000000012</v>
      </c>
      <c r="E93" s="1">
        <v>662.37083000000007</v>
      </c>
      <c r="F93" s="1">
        <v>664.47733000000005</v>
      </c>
      <c r="G93" s="1">
        <v>815.34134000000006</v>
      </c>
      <c r="H93" s="1">
        <v>889.21514000000002</v>
      </c>
      <c r="I93" s="1">
        <v>984.90260000000001</v>
      </c>
      <c r="J93" s="1">
        <v>988.61631000000011</v>
      </c>
    </row>
    <row r="94" spans="1:10" hidden="1" x14ac:dyDescent="0.25">
      <c r="A94" t="s">
        <v>46</v>
      </c>
      <c r="B94" t="s">
        <v>882</v>
      </c>
      <c r="C94" s="1">
        <v>0</v>
      </c>
      <c r="D94" s="1">
        <v>515.82102000000009</v>
      </c>
      <c r="E94" s="1">
        <v>466.80139000000003</v>
      </c>
      <c r="F94" s="1">
        <v>471.14969000000002</v>
      </c>
      <c r="G94" s="1">
        <v>680.63699000000008</v>
      </c>
      <c r="H94" s="1">
        <v>740.43134000000009</v>
      </c>
      <c r="I94" s="1">
        <v>889.09810000000004</v>
      </c>
      <c r="J94" s="1">
        <v>891.62216000000012</v>
      </c>
    </row>
    <row r="95" spans="1:10" hidden="1" x14ac:dyDescent="0.25">
      <c r="A95" t="s">
        <v>46</v>
      </c>
      <c r="B95" t="s">
        <v>891</v>
      </c>
      <c r="C95" s="1">
        <v>0</v>
      </c>
      <c r="D95" s="1">
        <v>242.39490000000004</v>
      </c>
      <c r="E95" s="1">
        <v>158.45357000000001</v>
      </c>
      <c r="F95" s="1">
        <v>161.26693000000003</v>
      </c>
      <c r="G95" s="1">
        <v>230.38862</v>
      </c>
      <c r="H95" s="1">
        <v>261.84147000000002</v>
      </c>
      <c r="I95" s="1">
        <v>306.00515000000007</v>
      </c>
      <c r="J95" s="1">
        <v>317.20513</v>
      </c>
    </row>
    <row r="96" spans="1:10" hidden="1" x14ac:dyDescent="0.25">
      <c r="A96" t="s">
        <v>46</v>
      </c>
      <c r="B96" t="s">
        <v>900</v>
      </c>
      <c r="C96" s="1">
        <v>0</v>
      </c>
      <c r="D96" s="1">
        <v>297.63371000000001</v>
      </c>
      <c r="E96" s="1">
        <v>220.33341000000001</v>
      </c>
      <c r="F96" s="1">
        <v>226.88974000000002</v>
      </c>
      <c r="G96" s="1">
        <v>325.82517000000001</v>
      </c>
      <c r="H96" s="1">
        <v>373.64250000000004</v>
      </c>
      <c r="I96" s="1">
        <v>434.03558000000004</v>
      </c>
      <c r="J96" s="1">
        <v>445.99313000000006</v>
      </c>
    </row>
    <row r="97" spans="1:10" hidden="1" x14ac:dyDescent="0.25">
      <c r="A97" t="s">
        <v>46</v>
      </c>
      <c r="B97" t="s">
        <v>909</v>
      </c>
      <c r="C97" s="1">
        <v>0</v>
      </c>
      <c r="D97" s="1">
        <v>296.92860999999999</v>
      </c>
      <c r="E97" s="1">
        <v>228.46032000000002</v>
      </c>
      <c r="F97" s="1">
        <v>235.01665000000003</v>
      </c>
      <c r="G97" s="1">
        <v>342.47224</v>
      </c>
      <c r="H97" s="1">
        <v>389.77037000000001</v>
      </c>
      <c r="I97" s="1">
        <v>327.4513</v>
      </c>
      <c r="J97" s="1">
        <v>329.09734000000003</v>
      </c>
    </row>
    <row r="98" spans="1:10" hidden="1" x14ac:dyDescent="0.25">
      <c r="A98" t="s">
        <v>37</v>
      </c>
      <c r="B98" t="s">
        <v>47</v>
      </c>
      <c r="C98" s="1">
        <v>0</v>
      </c>
      <c r="D98" s="1">
        <v>143.85888</v>
      </c>
      <c r="E98" s="1">
        <v>163.81002000000004</v>
      </c>
      <c r="F98" s="1">
        <v>170.87004000000002</v>
      </c>
      <c r="G98" s="1">
        <v>209.02332000000001</v>
      </c>
      <c r="H98" s="1">
        <v>225.72</v>
      </c>
      <c r="I98" s="1">
        <v>312.67236000000003</v>
      </c>
      <c r="J98" s="1">
        <v>336.72408000000001</v>
      </c>
    </row>
    <row r="99" spans="1:10" hidden="1" x14ac:dyDescent="0.25">
      <c r="A99" t="s">
        <v>37</v>
      </c>
      <c r="B99" t="s">
        <v>56</v>
      </c>
      <c r="C99" s="1">
        <v>0</v>
      </c>
      <c r="D99" s="1">
        <v>203.41134000000002</v>
      </c>
      <c r="E99" s="1">
        <v>224.99015</v>
      </c>
      <c r="F99" s="1">
        <v>244.53000000000003</v>
      </c>
      <c r="G99" s="1">
        <v>267.20232000000004</v>
      </c>
      <c r="H99" s="1">
        <v>288.2088</v>
      </c>
      <c r="I99" s="1">
        <v>425.77953000000002</v>
      </c>
      <c r="J99" s="1">
        <v>431.19681000000003</v>
      </c>
    </row>
    <row r="100" spans="1:10" hidden="1" x14ac:dyDescent="0.25">
      <c r="A100" t="s">
        <v>37</v>
      </c>
      <c r="B100" t="s">
        <v>46</v>
      </c>
      <c r="C100" s="1">
        <v>0</v>
      </c>
      <c r="D100" s="1">
        <v>211.32408000000001</v>
      </c>
      <c r="E100" s="1">
        <v>265.44672000000003</v>
      </c>
      <c r="F100" s="1">
        <v>288.42</v>
      </c>
      <c r="G100" s="1">
        <v>336.82055000000003</v>
      </c>
      <c r="H100" s="1">
        <v>371.10964000000007</v>
      </c>
      <c r="I100" s="1">
        <v>548.17741000000001</v>
      </c>
      <c r="J100" s="1">
        <v>571.24584000000004</v>
      </c>
    </row>
    <row r="101" spans="1:10" hidden="1" x14ac:dyDescent="0.25">
      <c r="A101" t="s">
        <v>37</v>
      </c>
      <c r="B101" t="s">
        <v>73</v>
      </c>
      <c r="C101" s="1">
        <v>0</v>
      </c>
      <c r="D101" s="1">
        <v>456.98268000000007</v>
      </c>
      <c r="E101" s="1">
        <v>529.96548000000007</v>
      </c>
      <c r="F101" s="1">
        <v>548.78801999999996</v>
      </c>
      <c r="G101" s="1">
        <v>637.88472000000013</v>
      </c>
      <c r="H101" s="1">
        <v>659.85480000000007</v>
      </c>
      <c r="I101" s="1">
        <v>871.58005000000014</v>
      </c>
      <c r="J101" s="1">
        <v>889.91363999999999</v>
      </c>
    </row>
    <row r="102" spans="1:10" hidden="1" x14ac:dyDescent="0.25">
      <c r="A102" t="s">
        <v>37</v>
      </c>
      <c r="B102" t="s">
        <v>82</v>
      </c>
      <c r="C102" s="1">
        <v>0</v>
      </c>
      <c r="D102" s="1">
        <v>158.00399999999999</v>
      </c>
      <c r="E102" s="1">
        <v>203.14800000000002</v>
      </c>
      <c r="F102" s="1">
        <v>210.22056000000001</v>
      </c>
      <c r="G102" s="1">
        <v>284.98403999999999</v>
      </c>
      <c r="H102" s="1">
        <v>297.34914000000003</v>
      </c>
      <c r="I102" s="1">
        <v>418.13376000000005</v>
      </c>
      <c r="J102" s="1">
        <v>445.47095999999999</v>
      </c>
    </row>
    <row r="103" spans="1:10" hidden="1" x14ac:dyDescent="0.25">
      <c r="A103" t="s">
        <v>37</v>
      </c>
      <c r="B103" t="s">
        <v>91</v>
      </c>
      <c r="C103" s="1">
        <v>0</v>
      </c>
      <c r="D103" s="1">
        <v>195.16002000000003</v>
      </c>
      <c r="E103" s="1">
        <v>227.22480000000004</v>
      </c>
      <c r="F103" s="1">
        <v>241.26960000000003</v>
      </c>
      <c r="G103" s="1">
        <v>283.85544000000004</v>
      </c>
      <c r="H103" s="1">
        <v>316.19279999999998</v>
      </c>
      <c r="I103" s="1">
        <v>454.69358000000005</v>
      </c>
      <c r="J103" s="1">
        <v>480.80868000000004</v>
      </c>
    </row>
    <row r="104" spans="1:10" hidden="1" x14ac:dyDescent="0.25">
      <c r="A104" t="s">
        <v>37</v>
      </c>
      <c r="B104" t="s">
        <v>100</v>
      </c>
      <c r="C104" s="1">
        <v>0</v>
      </c>
      <c r="D104" s="1">
        <v>301.16064</v>
      </c>
      <c r="E104" s="1">
        <v>384.10449000000006</v>
      </c>
      <c r="F104" s="1">
        <v>413.89546000000001</v>
      </c>
      <c r="G104" s="1">
        <v>441.89662000000004</v>
      </c>
      <c r="H104" s="1">
        <v>508.16678000000007</v>
      </c>
      <c r="I104" s="1">
        <v>601.47142000000008</v>
      </c>
      <c r="J104" s="1">
        <v>660.90816000000007</v>
      </c>
    </row>
    <row r="105" spans="1:10" hidden="1" x14ac:dyDescent="0.25">
      <c r="A105" t="s">
        <v>37</v>
      </c>
      <c r="B105" t="s">
        <v>109</v>
      </c>
      <c r="C105" s="1">
        <v>0</v>
      </c>
      <c r="D105" s="1">
        <v>191.05944000000002</v>
      </c>
      <c r="E105" s="1">
        <v>237.26934000000003</v>
      </c>
      <c r="F105" s="1">
        <v>247.1634</v>
      </c>
      <c r="G105" s="1">
        <v>253.05720000000002</v>
      </c>
      <c r="H105" s="1">
        <v>285.91200000000003</v>
      </c>
      <c r="I105" s="1">
        <v>434.97575000000006</v>
      </c>
      <c r="J105" s="1">
        <v>480.48330000000004</v>
      </c>
    </row>
    <row r="106" spans="1:10" x14ac:dyDescent="0.25">
      <c r="A106" t="s">
        <v>37</v>
      </c>
      <c r="B106" t="s">
        <v>118</v>
      </c>
      <c r="C106" s="1">
        <v>0</v>
      </c>
      <c r="D106" s="1">
        <v>155.75934000000001</v>
      </c>
      <c r="E106" s="1">
        <v>170.90348000000003</v>
      </c>
      <c r="F106" s="1">
        <v>182.74124</v>
      </c>
      <c r="G106" s="1">
        <v>203.09784000000002</v>
      </c>
      <c r="H106" s="1">
        <v>209.48070000000004</v>
      </c>
      <c r="I106" s="1">
        <v>342.49248000000006</v>
      </c>
      <c r="J106" s="1">
        <v>366.36864000000008</v>
      </c>
    </row>
    <row r="107" spans="1:10" hidden="1" x14ac:dyDescent="0.25">
      <c r="A107" t="s">
        <v>37</v>
      </c>
      <c r="B107" t="s">
        <v>127</v>
      </c>
      <c r="C107" s="1">
        <v>0</v>
      </c>
      <c r="D107" s="1">
        <v>183.30972</v>
      </c>
      <c r="E107" s="1">
        <v>226.51002000000003</v>
      </c>
      <c r="F107" s="1">
        <v>233.30670000000003</v>
      </c>
      <c r="G107" s="1">
        <v>253.05720000000002</v>
      </c>
      <c r="H107" s="1">
        <v>265.22100000000006</v>
      </c>
      <c r="I107" s="1">
        <v>428.79858999999999</v>
      </c>
      <c r="J107" s="1">
        <v>485.36323000000004</v>
      </c>
    </row>
    <row r="108" spans="1:10" hidden="1" x14ac:dyDescent="0.25">
      <c r="A108" t="s">
        <v>37</v>
      </c>
      <c r="B108" t="s">
        <v>136</v>
      </c>
      <c r="C108" s="1">
        <v>0</v>
      </c>
      <c r="D108" s="1">
        <v>187.52315999999999</v>
      </c>
      <c r="E108" s="1">
        <v>222.44563000000002</v>
      </c>
      <c r="F108" s="1">
        <v>242.87472000000002</v>
      </c>
      <c r="G108" s="1">
        <v>275.88000000000005</v>
      </c>
      <c r="H108" s="1">
        <v>302.27670000000006</v>
      </c>
      <c r="I108" s="1">
        <v>437.92188000000004</v>
      </c>
      <c r="J108" s="1">
        <v>469.99920000000003</v>
      </c>
    </row>
    <row r="109" spans="1:10" hidden="1" x14ac:dyDescent="0.25">
      <c r="A109" t="s">
        <v>37</v>
      </c>
      <c r="B109" t="s">
        <v>145</v>
      </c>
      <c r="C109" s="1">
        <v>0</v>
      </c>
      <c r="D109" s="1">
        <v>318.94236000000006</v>
      </c>
      <c r="E109" s="1">
        <v>415.38519000000002</v>
      </c>
      <c r="F109" s="1">
        <v>439.33384000000007</v>
      </c>
      <c r="G109" s="1">
        <v>473.52239000000003</v>
      </c>
      <c r="H109" s="1">
        <v>525.49068</v>
      </c>
      <c r="I109" s="1">
        <v>609.53244000000007</v>
      </c>
      <c r="J109" s="1">
        <v>679.71816000000013</v>
      </c>
    </row>
    <row r="110" spans="1:10" hidden="1" x14ac:dyDescent="0.25">
      <c r="A110" t="s">
        <v>37</v>
      </c>
      <c r="B110" t="s">
        <v>154</v>
      </c>
      <c r="C110" s="1">
        <v>0</v>
      </c>
      <c r="D110" s="1">
        <v>128.56008</v>
      </c>
      <c r="E110" s="1">
        <v>181.16538</v>
      </c>
      <c r="F110" s="1">
        <v>200.64000000000001</v>
      </c>
      <c r="G110" s="1">
        <v>216.34008</v>
      </c>
      <c r="H110" s="1">
        <v>239.63808000000003</v>
      </c>
      <c r="I110" s="1">
        <v>315.00480000000005</v>
      </c>
      <c r="J110" s="1">
        <v>333.21287999999998</v>
      </c>
    </row>
    <row r="111" spans="1:10" hidden="1" x14ac:dyDescent="0.25">
      <c r="A111" t="s">
        <v>37</v>
      </c>
      <c r="B111" t="s">
        <v>163</v>
      </c>
      <c r="C111" s="1">
        <v>0</v>
      </c>
      <c r="D111" s="1">
        <v>445.47095999999999</v>
      </c>
      <c r="E111" s="1">
        <v>488.05680000000001</v>
      </c>
      <c r="F111" s="1">
        <v>501.92604000000006</v>
      </c>
      <c r="G111" s="1">
        <v>541.67784000000006</v>
      </c>
      <c r="H111" s="1">
        <v>582.60840000000007</v>
      </c>
      <c r="I111" s="1">
        <v>879.00593000000015</v>
      </c>
      <c r="J111" s="1">
        <v>962.06880000000001</v>
      </c>
    </row>
    <row r="112" spans="1:10" hidden="1" x14ac:dyDescent="0.25">
      <c r="A112" t="s">
        <v>37</v>
      </c>
      <c r="B112" t="s">
        <v>172</v>
      </c>
      <c r="C112" s="1">
        <v>0</v>
      </c>
      <c r="D112" s="1">
        <v>332.57906000000003</v>
      </c>
      <c r="E112" s="1">
        <v>416.43855000000002</v>
      </c>
      <c r="F112" s="1">
        <v>440.38720000000001</v>
      </c>
      <c r="G112" s="1">
        <v>478.66379000000006</v>
      </c>
      <c r="H112" s="1">
        <v>530.82018000000005</v>
      </c>
      <c r="I112" s="1">
        <v>609.53244000000007</v>
      </c>
      <c r="J112" s="1">
        <v>696.91599999999994</v>
      </c>
    </row>
    <row r="113" spans="1:10" hidden="1" x14ac:dyDescent="0.25">
      <c r="A113" t="s">
        <v>37</v>
      </c>
      <c r="B113" t="s">
        <v>181</v>
      </c>
      <c r="C113" s="1">
        <v>0</v>
      </c>
      <c r="D113" s="1">
        <v>157.07604000000001</v>
      </c>
      <c r="E113" s="1">
        <v>191.09838000000002</v>
      </c>
      <c r="F113" s="1">
        <v>201.24192000000002</v>
      </c>
      <c r="G113" s="1">
        <v>209.37433000000004</v>
      </c>
      <c r="H113" s="1">
        <v>210.19856000000001</v>
      </c>
      <c r="I113" s="1">
        <v>325.67150000000004</v>
      </c>
      <c r="J113" s="1">
        <v>328.04156000000006</v>
      </c>
    </row>
    <row r="114" spans="1:10" hidden="1" x14ac:dyDescent="0.25">
      <c r="A114" t="s">
        <v>37</v>
      </c>
      <c r="B114" t="s">
        <v>190</v>
      </c>
      <c r="C114" s="1">
        <v>0</v>
      </c>
      <c r="D114" s="1">
        <v>197.93136000000001</v>
      </c>
      <c r="E114" s="1">
        <v>214.73496000000003</v>
      </c>
      <c r="F114" s="1">
        <v>225.72</v>
      </c>
      <c r="G114" s="1">
        <v>254.78772000000004</v>
      </c>
      <c r="H114" s="1">
        <v>286.51590000000004</v>
      </c>
      <c r="I114" s="1">
        <v>421.14248000000003</v>
      </c>
      <c r="J114" s="1">
        <v>457.69746000000004</v>
      </c>
    </row>
    <row r="115" spans="1:10" hidden="1" x14ac:dyDescent="0.25">
      <c r="A115" t="s">
        <v>37</v>
      </c>
      <c r="B115" t="s">
        <v>199</v>
      </c>
      <c r="C115" s="1">
        <v>0</v>
      </c>
      <c r="D115" s="1">
        <v>360.98062000000004</v>
      </c>
      <c r="E115" s="1">
        <v>392.16342000000003</v>
      </c>
      <c r="F115" s="1">
        <v>431.43056000000007</v>
      </c>
      <c r="G115" s="1">
        <v>459.67999000000003</v>
      </c>
      <c r="H115" s="1">
        <v>506.55330000000004</v>
      </c>
      <c r="I115" s="1">
        <v>631.61472000000003</v>
      </c>
      <c r="J115" s="1">
        <v>660.90816000000007</v>
      </c>
    </row>
    <row r="116" spans="1:10" hidden="1" x14ac:dyDescent="0.25">
      <c r="A116" t="s">
        <v>37</v>
      </c>
      <c r="B116" t="s">
        <v>208</v>
      </c>
      <c r="C116" s="1">
        <v>0</v>
      </c>
      <c r="D116" s="1">
        <v>107.38002000000002</v>
      </c>
      <c r="E116" s="1">
        <v>137.94000000000003</v>
      </c>
      <c r="F116" s="1">
        <v>140.69616000000002</v>
      </c>
      <c r="G116" s="1">
        <v>177.41130000000001</v>
      </c>
      <c r="H116" s="1">
        <v>182.64510000000001</v>
      </c>
      <c r="I116" s="1">
        <v>271.59121000000005</v>
      </c>
      <c r="J116" s="1">
        <v>309.26148000000001</v>
      </c>
    </row>
    <row r="117" spans="1:10" hidden="1" x14ac:dyDescent="0.25">
      <c r="A117" t="s">
        <v>37</v>
      </c>
      <c r="B117" t="s">
        <v>217</v>
      </c>
      <c r="C117" s="1">
        <v>0</v>
      </c>
      <c r="D117" s="1">
        <v>124.13346000000001</v>
      </c>
      <c r="E117" s="1">
        <v>157.74737000000002</v>
      </c>
      <c r="F117" s="1">
        <v>170.12665999999999</v>
      </c>
      <c r="G117" s="1">
        <v>187.16225000000003</v>
      </c>
      <c r="H117" s="1">
        <v>203.23886000000002</v>
      </c>
      <c r="I117" s="1">
        <v>241.71939000000003</v>
      </c>
      <c r="J117" s="1">
        <v>269.39011000000005</v>
      </c>
    </row>
    <row r="118" spans="1:10" hidden="1" x14ac:dyDescent="0.25">
      <c r="A118" t="s">
        <v>37</v>
      </c>
      <c r="B118" t="s">
        <v>226</v>
      </c>
      <c r="C118" s="1">
        <v>0</v>
      </c>
      <c r="D118" s="1">
        <v>179.08737000000002</v>
      </c>
      <c r="E118" s="1">
        <v>218.69045000000003</v>
      </c>
      <c r="F118" s="1">
        <v>240.90286000000003</v>
      </c>
      <c r="G118" s="1">
        <v>271.40938000000006</v>
      </c>
      <c r="H118" s="1">
        <v>298.99496000000005</v>
      </c>
      <c r="I118" s="1">
        <v>371.26936000000006</v>
      </c>
      <c r="J118" s="1">
        <v>406.79320000000007</v>
      </c>
    </row>
    <row r="119" spans="1:10" hidden="1" x14ac:dyDescent="0.25">
      <c r="A119" t="s">
        <v>37</v>
      </c>
      <c r="B119" t="s">
        <v>235</v>
      </c>
      <c r="C119" s="1">
        <v>0</v>
      </c>
      <c r="D119" s="1">
        <v>388.84032000000002</v>
      </c>
      <c r="E119" s="1">
        <v>451.70334000000008</v>
      </c>
      <c r="F119" s="1">
        <v>479.15340000000003</v>
      </c>
      <c r="G119" s="1">
        <v>542.83152000000007</v>
      </c>
      <c r="H119" s="1">
        <v>590.32050000000004</v>
      </c>
      <c r="I119" s="1">
        <v>771.51096000000007</v>
      </c>
      <c r="J119" s="1">
        <v>796.59096</v>
      </c>
    </row>
    <row r="120" spans="1:10" hidden="1" x14ac:dyDescent="0.25">
      <c r="A120" t="s">
        <v>37</v>
      </c>
      <c r="B120" t="s">
        <v>244</v>
      </c>
      <c r="C120" s="1">
        <v>0</v>
      </c>
      <c r="D120" s="1">
        <v>117.47472</v>
      </c>
      <c r="E120" s="1">
        <v>158.25480000000002</v>
      </c>
      <c r="F120" s="1">
        <v>176.46288000000004</v>
      </c>
      <c r="G120" s="1">
        <v>196.95775000000003</v>
      </c>
      <c r="H120" s="1">
        <v>205.87226000000001</v>
      </c>
      <c r="I120" s="1">
        <v>285.11009999999999</v>
      </c>
      <c r="J120" s="1">
        <v>319.57375999999999</v>
      </c>
    </row>
    <row r="121" spans="1:10" hidden="1" x14ac:dyDescent="0.25">
      <c r="A121" t="s">
        <v>37</v>
      </c>
      <c r="B121" t="s">
        <v>253</v>
      </c>
      <c r="C121" s="1">
        <v>0</v>
      </c>
      <c r="D121" s="1">
        <v>138.63355000000001</v>
      </c>
      <c r="E121" s="1">
        <v>151.39949000000001</v>
      </c>
      <c r="F121" s="1">
        <v>167.38392000000002</v>
      </c>
      <c r="G121" s="1">
        <v>203.05417</v>
      </c>
      <c r="H121" s="1">
        <v>209.44616000000002</v>
      </c>
      <c r="I121" s="1">
        <v>360.32436000000007</v>
      </c>
      <c r="J121" s="1">
        <v>371.38464000000005</v>
      </c>
    </row>
    <row r="122" spans="1:10" hidden="1" x14ac:dyDescent="0.25">
      <c r="A122" t="s">
        <v>37</v>
      </c>
      <c r="B122" t="s">
        <v>37</v>
      </c>
      <c r="C122" s="1">
        <v>0</v>
      </c>
      <c r="D122" s="1">
        <v>70.398020000000002</v>
      </c>
      <c r="E122" s="1">
        <v>79.679159999999996</v>
      </c>
      <c r="F122" s="1">
        <v>87.78</v>
      </c>
      <c r="G122" s="1">
        <v>100.32000000000001</v>
      </c>
      <c r="H122" s="1">
        <v>96.712000000000003</v>
      </c>
      <c r="I122" s="1">
        <v>121.89210000000001</v>
      </c>
      <c r="J122" s="1">
        <v>121.44077000000001</v>
      </c>
    </row>
    <row r="123" spans="1:10" hidden="1" x14ac:dyDescent="0.25">
      <c r="A123" t="s">
        <v>37</v>
      </c>
      <c r="B123" t="s">
        <v>270</v>
      </c>
      <c r="C123" s="1">
        <v>0</v>
      </c>
      <c r="D123" s="1">
        <v>113.98860000000002</v>
      </c>
      <c r="E123" s="1">
        <v>126.71670000000002</v>
      </c>
      <c r="F123" s="1">
        <v>140.30225000000002</v>
      </c>
      <c r="G123" s="1">
        <v>191.20024000000001</v>
      </c>
      <c r="H123" s="1">
        <v>205.61695</v>
      </c>
      <c r="I123" s="1">
        <v>254.67640000000003</v>
      </c>
      <c r="J123" s="1">
        <v>278.13236000000001</v>
      </c>
    </row>
    <row r="124" spans="1:10" hidden="1" x14ac:dyDescent="0.25">
      <c r="A124" t="s">
        <v>37</v>
      </c>
      <c r="B124" t="s">
        <v>279</v>
      </c>
      <c r="C124" s="1">
        <v>0</v>
      </c>
      <c r="D124" s="1">
        <v>153.11340000000001</v>
      </c>
      <c r="E124" s="1">
        <v>195.87480000000002</v>
      </c>
      <c r="F124" s="1">
        <v>208.41480000000001</v>
      </c>
      <c r="G124" s="1">
        <v>266.29944</v>
      </c>
      <c r="H124" s="1">
        <v>298.24256000000003</v>
      </c>
      <c r="I124" s="1">
        <v>383.76998000000003</v>
      </c>
      <c r="J124" s="1">
        <v>406.88538000000005</v>
      </c>
    </row>
    <row r="125" spans="1:10" hidden="1" x14ac:dyDescent="0.25">
      <c r="A125" t="s">
        <v>37</v>
      </c>
      <c r="B125" t="s">
        <v>288</v>
      </c>
      <c r="C125" s="1">
        <v>0</v>
      </c>
      <c r="D125" s="1">
        <v>219.55032</v>
      </c>
      <c r="E125" s="1">
        <v>273.69803999999999</v>
      </c>
      <c r="F125" s="1">
        <v>286.43868000000003</v>
      </c>
      <c r="G125" s="1">
        <v>334.31639999999999</v>
      </c>
      <c r="H125" s="1">
        <v>324.9554</v>
      </c>
      <c r="I125" s="1">
        <v>463.45398000000006</v>
      </c>
      <c r="J125" s="1">
        <v>479.29827000000006</v>
      </c>
    </row>
    <row r="126" spans="1:10" hidden="1" x14ac:dyDescent="0.25">
      <c r="A126" t="s">
        <v>37</v>
      </c>
      <c r="B126" t="s">
        <v>297</v>
      </c>
      <c r="C126" s="1">
        <v>0</v>
      </c>
      <c r="D126" s="1">
        <v>194.44018000000003</v>
      </c>
      <c r="E126" s="1">
        <v>213.82966000000002</v>
      </c>
      <c r="F126" s="1">
        <v>226.62475000000003</v>
      </c>
      <c r="G126" s="1">
        <v>250.85016000000002</v>
      </c>
      <c r="H126" s="1">
        <v>297.34914000000003</v>
      </c>
      <c r="I126" s="1">
        <v>389.11620000000005</v>
      </c>
      <c r="J126" s="1">
        <v>420.39096000000006</v>
      </c>
    </row>
    <row r="127" spans="1:10" hidden="1" x14ac:dyDescent="0.25">
      <c r="A127" t="s">
        <v>37</v>
      </c>
      <c r="B127" t="s">
        <v>306</v>
      </c>
      <c r="C127" s="1">
        <v>0</v>
      </c>
      <c r="D127" s="1">
        <v>180.42552000000001</v>
      </c>
      <c r="E127" s="1">
        <v>226.37208000000001</v>
      </c>
      <c r="F127" s="1">
        <v>239.31336000000002</v>
      </c>
      <c r="G127" s="1">
        <v>295.32283000000001</v>
      </c>
      <c r="H127" s="1">
        <v>300.87596000000002</v>
      </c>
      <c r="I127" s="1">
        <v>423.04944</v>
      </c>
      <c r="J127" s="1">
        <v>439.20096000000001</v>
      </c>
    </row>
    <row r="128" spans="1:10" hidden="1" x14ac:dyDescent="0.25">
      <c r="A128" t="s">
        <v>37</v>
      </c>
      <c r="B128" t="s">
        <v>315</v>
      </c>
      <c r="C128" s="1">
        <v>0</v>
      </c>
      <c r="D128" s="1">
        <v>481.03440000000001</v>
      </c>
      <c r="E128" s="1">
        <v>560.32482000000005</v>
      </c>
      <c r="F128" s="1">
        <v>579.14736000000005</v>
      </c>
      <c r="G128" s="1">
        <v>666.28661000000011</v>
      </c>
      <c r="H128" s="1">
        <v>707.30352000000005</v>
      </c>
      <c r="I128" s="1">
        <v>889.09568000000013</v>
      </c>
      <c r="J128" s="1">
        <v>892.48148000000015</v>
      </c>
    </row>
    <row r="129" spans="1:10" hidden="1" x14ac:dyDescent="0.25">
      <c r="A129" t="s">
        <v>37</v>
      </c>
      <c r="B129" t="s">
        <v>324</v>
      </c>
      <c r="C129" s="1">
        <v>0</v>
      </c>
      <c r="D129" s="1">
        <v>332.57906000000003</v>
      </c>
      <c r="E129" s="1">
        <v>417.07017000000002</v>
      </c>
      <c r="F129" s="1">
        <v>438.54382000000004</v>
      </c>
      <c r="G129" s="1">
        <v>483.85909000000004</v>
      </c>
      <c r="H129" s="1">
        <v>504.29610000000008</v>
      </c>
      <c r="I129" s="1">
        <v>618.56916000000001</v>
      </c>
      <c r="J129" s="1">
        <v>706.17052000000012</v>
      </c>
    </row>
    <row r="130" spans="1:10" hidden="1" x14ac:dyDescent="0.25">
      <c r="A130" t="s">
        <v>37</v>
      </c>
      <c r="B130" t="s">
        <v>333</v>
      </c>
      <c r="C130" s="1">
        <v>0</v>
      </c>
      <c r="D130" s="1">
        <v>106.38936000000001</v>
      </c>
      <c r="E130" s="1">
        <v>130.71553</v>
      </c>
      <c r="F130" s="1">
        <v>150.48000000000002</v>
      </c>
      <c r="G130" s="1">
        <v>175.93697000000003</v>
      </c>
      <c r="H130" s="1">
        <v>179.78224000000003</v>
      </c>
      <c r="I130" s="1">
        <v>234.90181000000001</v>
      </c>
      <c r="J130" s="1">
        <v>265.61678000000001</v>
      </c>
    </row>
    <row r="131" spans="1:10" hidden="1" x14ac:dyDescent="0.25">
      <c r="A131" t="s">
        <v>37</v>
      </c>
      <c r="B131" t="s">
        <v>342</v>
      </c>
      <c r="C131" s="1">
        <v>0</v>
      </c>
      <c r="D131" s="1">
        <v>138.84288000000001</v>
      </c>
      <c r="E131" s="1">
        <v>164.39753000000002</v>
      </c>
      <c r="F131" s="1">
        <v>181.82494000000003</v>
      </c>
      <c r="G131" s="1">
        <v>210.52152000000001</v>
      </c>
      <c r="H131" s="1">
        <v>209.82236000000003</v>
      </c>
      <c r="I131" s="1">
        <v>349.26408000000004</v>
      </c>
      <c r="J131" s="1">
        <v>360.77580000000006</v>
      </c>
    </row>
    <row r="132" spans="1:10" hidden="1" x14ac:dyDescent="0.25">
      <c r="A132" t="s">
        <v>37</v>
      </c>
      <c r="B132" t="s">
        <v>351</v>
      </c>
      <c r="C132" s="1">
        <v>0</v>
      </c>
      <c r="D132" s="1">
        <v>229.00977</v>
      </c>
      <c r="E132" s="1">
        <v>268.30067000000003</v>
      </c>
      <c r="F132" s="1">
        <v>304.94101000000006</v>
      </c>
      <c r="G132" s="1">
        <v>330.50039000000004</v>
      </c>
      <c r="H132" s="1">
        <v>369.42840000000001</v>
      </c>
      <c r="I132" s="1">
        <v>565.50065000000006</v>
      </c>
      <c r="J132" s="1">
        <v>594.6217200000001</v>
      </c>
    </row>
    <row r="133" spans="1:10" hidden="1" x14ac:dyDescent="0.25">
      <c r="A133" t="s">
        <v>37</v>
      </c>
      <c r="B133" t="s">
        <v>360</v>
      </c>
      <c r="C133" s="1">
        <v>0</v>
      </c>
      <c r="D133" s="1">
        <v>229.00977</v>
      </c>
      <c r="E133" s="1">
        <v>249.74279000000004</v>
      </c>
      <c r="F133" s="1">
        <v>257.16327999999999</v>
      </c>
      <c r="G133" s="1">
        <v>308.35860000000002</v>
      </c>
      <c r="H133" s="1">
        <v>303.40530000000001</v>
      </c>
      <c r="I133" s="1">
        <v>552.54595000000006</v>
      </c>
      <c r="J133" s="1">
        <v>597.93547000000012</v>
      </c>
    </row>
    <row r="134" spans="1:10" hidden="1" x14ac:dyDescent="0.25">
      <c r="A134" t="s">
        <v>37</v>
      </c>
      <c r="B134" t="s">
        <v>369</v>
      </c>
      <c r="C134" s="1">
        <v>0</v>
      </c>
      <c r="D134" s="1">
        <v>288.10342000000003</v>
      </c>
      <c r="E134" s="1">
        <v>371.28773000000001</v>
      </c>
      <c r="F134" s="1">
        <v>440.12386000000004</v>
      </c>
      <c r="G134" s="1">
        <v>475.57895000000002</v>
      </c>
      <c r="H134" s="1">
        <v>527.57100000000003</v>
      </c>
      <c r="I134" s="1">
        <v>607.05744000000004</v>
      </c>
      <c r="J134" s="1">
        <v>727.59433999999999</v>
      </c>
    </row>
    <row r="135" spans="1:10" hidden="1" x14ac:dyDescent="0.25">
      <c r="A135" t="s">
        <v>37</v>
      </c>
      <c r="B135" t="s">
        <v>378</v>
      </c>
      <c r="C135" s="1">
        <v>0</v>
      </c>
      <c r="D135" s="1">
        <v>215.83232000000001</v>
      </c>
      <c r="E135" s="1">
        <v>230.38587000000001</v>
      </c>
      <c r="F135" s="1">
        <v>259.25767999999999</v>
      </c>
      <c r="G135" s="1">
        <v>305.84774000000004</v>
      </c>
      <c r="H135" s="1">
        <v>324.9554</v>
      </c>
      <c r="I135" s="1">
        <v>453.11277000000007</v>
      </c>
      <c r="J135" s="1">
        <v>465.69094000000001</v>
      </c>
    </row>
    <row r="136" spans="1:10" hidden="1" x14ac:dyDescent="0.25">
      <c r="A136" t="s">
        <v>37</v>
      </c>
      <c r="B136" t="s">
        <v>387</v>
      </c>
      <c r="C136" s="1">
        <v>0</v>
      </c>
      <c r="D136" s="1">
        <v>125.94615</v>
      </c>
      <c r="E136" s="1">
        <v>157.62273999999999</v>
      </c>
      <c r="F136" s="1">
        <v>171.01271000000003</v>
      </c>
      <c r="G136" s="1">
        <v>192.12369000000004</v>
      </c>
      <c r="H136" s="1">
        <v>211.01003000000003</v>
      </c>
      <c r="I136" s="1">
        <v>251.65173000000004</v>
      </c>
      <c r="J136" s="1">
        <v>274.36321000000004</v>
      </c>
    </row>
    <row r="137" spans="1:10" hidden="1" x14ac:dyDescent="0.25">
      <c r="A137" t="s">
        <v>37</v>
      </c>
      <c r="B137" t="s">
        <v>396</v>
      </c>
      <c r="C137" s="1">
        <v>0</v>
      </c>
      <c r="D137" s="1">
        <v>227.97720000000004</v>
      </c>
      <c r="E137" s="1">
        <v>258.22731000000005</v>
      </c>
      <c r="F137" s="1">
        <v>290.52672000000007</v>
      </c>
      <c r="G137" s="1">
        <v>338.94663000000003</v>
      </c>
      <c r="H137" s="1">
        <v>344.14424000000002</v>
      </c>
      <c r="I137" s="1">
        <v>477.23060000000004</v>
      </c>
      <c r="J137" s="1">
        <v>484.90508</v>
      </c>
    </row>
    <row r="138" spans="1:10" hidden="1" x14ac:dyDescent="0.25">
      <c r="A138" t="s">
        <v>37</v>
      </c>
      <c r="B138" t="s">
        <v>405</v>
      </c>
      <c r="C138" s="1">
        <v>0</v>
      </c>
      <c r="D138" s="1">
        <v>77.497200000000007</v>
      </c>
      <c r="E138" s="1">
        <v>90.432100000000005</v>
      </c>
      <c r="F138" s="1">
        <v>102.89444000000002</v>
      </c>
      <c r="G138" s="1">
        <v>111.60600000000001</v>
      </c>
      <c r="H138" s="1">
        <v>122.89200000000001</v>
      </c>
      <c r="I138" s="1">
        <v>148.67600000000002</v>
      </c>
      <c r="J138" s="1">
        <v>154</v>
      </c>
    </row>
    <row r="139" spans="1:10" hidden="1" x14ac:dyDescent="0.25">
      <c r="A139" t="s">
        <v>37</v>
      </c>
      <c r="B139" t="s">
        <v>1064</v>
      </c>
      <c r="C139" s="1">
        <v>0</v>
      </c>
      <c r="D139" s="1">
        <v>94.050000000000011</v>
      </c>
      <c r="E139" s="1">
        <v>150.48000000000002</v>
      </c>
      <c r="F139" s="1">
        <v>156.75</v>
      </c>
      <c r="G139" s="1">
        <v>111.60600000000001</v>
      </c>
      <c r="H139" s="1">
        <v>122.89200000000001</v>
      </c>
      <c r="I139" s="1">
        <v>148.67600000000002</v>
      </c>
      <c r="J139" s="1">
        <v>154</v>
      </c>
    </row>
    <row r="140" spans="1:10" hidden="1" x14ac:dyDescent="0.25">
      <c r="A140" t="s">
        <v>37</v>
      </c>
      <c r="B140" t="s">
        <v>414</v>
      </c>
      <c r="C140" s="1">
        <v>0</v>
      </c>
      <c r="D140" s="1">
        <v>113.98860000000002</v>
      </c>
      <c r="E140" s="1">
        <v>126.03712000000002</v>
      </c>
      <c r="F140" s="1">
        <v>135.99707000000001</v>
      </c>
      <c r="G140" s="1">
        <v>201.76859999999999</v>
      </c>
      <c r="H140" s="1">
        <v>211.64154000000002</v>
      </c>
      <c r="I140" s="1">
        <v>305.48419000000001</v>
      </c>
      <c r="J140" s="1">
        <v>307.51567000000006</v>
      </c>
    </row>
    <row r="141" spans="1:10" hidden="1" x14ac:dyDescent="0.25">
      <c r="A141" t="s">
        <v>37</v>
      </c>
      <c r="B141" t="s">
        <v>423</v>
      </c>
      <c r="C141" s="1">
        <v>0</v>
      </c>
      <c r="D141" s="1">
        <v>229.00977</v>
      </c>
      <c r="E141" s="1">
        <v>268.30067000000003</v>
      </c>
      <c r="F141" s="1">
        <v>304.94101000000006</v>
      </c>
      <c r="G141" s="1">
        <v>330.50039000000004</v>
      </c>
      <c r="H141" s="1">
        <v>369.42840000000001</v>
      </c>
      <c r="I141" s="1">
        <v>552.11442</v>
      </c>
      <c r="J141" s="1">
        <v>597.68148000000008</v>
      </c>
    </row>
    <row r="142" spans="1:10" hidden="1" x14ac:dyDescent="0.25">
      <c r="A142" t="s">
        <v>37</v>
      </c>
      <c r="B142" t="s">
        <v>432</v>
      </c>
      <c r="C142" s="1">
        <v>0</v>
      </c>
      <c r="D142" s="1">
        <v>119.13000000000001</v>
      </c>
      <c r="E142" s="1">
        <v>151.08192</v>
      </c>
      <c r="F142" s="1">
        <v>171.14592000000002</v>
      </c>
      <c r="G142" s="1">
        <v>191.90886000000003</v>
      </c>
      <c r="H142" s="1">
        <v>210.13674</v>
      </c>
      <c r="I142" s="1">
        <v>250.44998000000004</v>
      </c>
      <c r="J142" s="1">
        <v>295.57253000000003</v>
      </c>
    </row>
    <row r="143" spans="1:10" hidden="1" x14ac:dyDescent="0.25">
      <c r="A143" t="s">
        <v>37</v>
      </c>
      <c r="B143" t="s">
        <v>441</v>
      </c>
      <c r="C143" s="1">
        <v>0</v>
      </c>
      <c r="D143" s="1">
        <v>185.4666</v>
      </c>
      <c r="E143" s="1">
        <v>250.8</v>
      </c>
      <c r="F143" s="1">
        <v>258.12336000000005</v>
      </c>
      <c r="G143" s="1">
        <v>311.31804</v>
      </c>
      <c r="H143" s="1">
        <v>290.84219999999999</v>
      </c>
      <c r="I143" s="1">
        <v>432.93096000000003</v>
      </c>
      <c r="J143" s="1">
        <v>445.47095999999999</v>
      </c>
    </row>
    <row r="144" spans="1:10" hidden="1" x14ac:dyDescent="0.25">
      <c r="A144" t="s">
        <v>37</v>
      </c>
      <c r="B144" t="s">
        <v>450</v>
      </c>
      <c r="C144" s="1">
        <v>0</v>
      </c>
      <c r="D144" s="1">
        <v>200.01300000000003</v>
      </c>
      <c r="E144" s="1">
        <v>237.58218000000002</v>
      </c>
      <c r="F144" s="1">
        <v>257.07</v>
      </c>
      <c r="G144" s="1">
        <v>277.91148000000004</v>
      </c>
      <c r="H144" s="1">
        <v>303.21719999999999</v>
      </c>
      <c r="I144" s="1">
        <v>436.95608000000004</v>
      </c>
      <c r="J144" s="1">
        <v>500.91217000000006</v>
      </c>
    </row>
    <row r="145" spans="1:10" hidden="1" x14ac:dyDescent="0.25">
      <c r="A145" t="s">
        <v>37</v>
      </c>
      <c r="B145" t="s">
        <v>459</v>
      </c>
      <c r="C145" s="1">
        <v>0</v>
      </c>
      <c r="D145" s="1">
        <v>222.46367000000001</v>
      </c>
      <c r="E145" s="1">
        <v>262.87349</v>
      </c>
      <c r="F145" s="1">
        <v>284.39191</v>
      </c>
      <c r="G145" s="1">
        <v>315.62959999999998</v>
      </c>
      <c r="H145" s="1">
        <v>360.04716000000008</v>
      </c>
      <c r="I145" s="1">
        <v>454.47017000000005</v>
      </c>
      <c r="J145" s="1">
        <v>526.20348000000001</v>
      </c>
    </row>
    <row r="146" spans="1:10" hidden="1" x14ac:dyDescent="0.25">
      <c r="A146" t="s">
        <v>37</v>
      </c>
      <c r="B146" t="s">
        <v>468</v>
      </c>
      <c r="C146" s="1">
        <v>0</v>
      </c>
      <c r="D146" s="1">
        <v>249.64632000000003</v>
      </c>
      <c r="E146" s="1">
        <v>327.36781000000002</v>
      </c>
      <c r="F146" s="1">
        <v>313.16142000000002</v>
      </c>
      <c r="G146" s="1">
        <v>363.65164000000004</v>
      </c>
      <c r="H146" s="1">
        <v>371.86204000000004</v>
      </c>
      <c r="I146" s="1">
        <v>548.44943999999998</v>
      </c>
      <c r="J146" s="1">
        <v>577.24128000000007</v>
      </c>
    </row>
    <row r="147" spans="1:10" hidden="1" x14ac:dyDescent="0.25">
      <c r="A147" t="s">
        <v>37</v>
      </c>
      <c r="B147" t="s">
        <v>477</v>
      </c>
      <c r="C147" s="1">
        <v>0</v>
      </c>
      <c r="D147" s="1">
        <v>203.67468000000002</v>
      </c>
      <c r="E147" s="1">
        <v>250.64116000000004</v>
      </c>
      <c r="F147" s="1">
        <v>262.38696000000004</v>
      </c>
      <c r="G147" s="1">
        <v>302.61671000000007</v>
      </c>
      <c r="H147" s="1">
        <v>319.68860000000001</v>
      </c>
      <c r="I147" s="1">
        <v>443.21376000000004</v>
      </c>
      <c r="J147" s="1">
        <v>466.23720000000003</v>
      </c>
    </row>
    <row r="148" spans="1:10" hidden="1" x14ac:dyDescent="0.25">
      <c r="A148" t="s">
        <v>37</v>
      </c>
      <c r="B148" t="s">
        <v>486</v>
      </c>
      <c r="C148" s="1">
        <v>0</v>
      </c>
      <c r="D148" s="1">
        <v>128.79086000000001</v>
      </c>
      <c r="E148" s="1">
        <v>150.73069000000001</v>
      </c>
      <c r="F148" s="1">
        <v>166.64406</v>
      </c>
      <c r="G148" s="1">
        <v>203.59944000000002</v>
      </c>
      <c r="H148" s="1">
        <v>210.13674</v>
      </c>
      <c r="I148" s="1">
        <v>276.08064000000002</v>
      </c>
      <c r="J148" s="1">
        <v>288.62064000000004</v>
      </c>
    </row>
    <row r="149" spans="1:10" hidden="1" x14ac:dyDescent="0.25">
      <c r="A149" t="s">
        <v>37</v>
      </c>
      <c r="B149" t="s">
        <v>495</v>
      </c>
      <c r="C149" s="1">
        <v>0</v>
      </c>
      <c r="D149" s="1">
        <v>221.97054000000003</v>
      </c>
      <c r="E149" s="1">
        <v>265.53098</v>
      </c>
      <c r="F149" s="1">
        <v>286.52668</v>
      </c>
      <c r="G149" s="1">
        <v>317.59937000000002</v>
      </c>
      <c r="H149" s="1">
        <v>340.57034000000004</v>
      </c>
      <c r="I149" s="1">
        <v>501.47460000000007</v>
      </c>
      <c r="J149" s="1">
        <v>535.40784000000008</v>
      </c>
    </row>
    <row r="150" spans="1:10" hidden="1" x14ac:dyDescent="0.25">
      <c r="A150" t="s">
        <v>37</v>
      </c>
      <c r="B150" t="s">
        <v>504</v>
      </c>
      <c r="C150" s="1">
        <v>0</v>
      </c>
      <c r="D150" s="1">
        <v>209.51832000000002</v>
      </c>
      <c r="E150" s="1">
        <v>265.53098</v>
      </c>
      <c r="F150" s="1">
        <v>285.91200000000003</v>
      </c>
      <c r="G150" s="1">
        <v>314.17320000000007</v>
      </c>
      <c r="H150" s="1">
        <v>323.26250000000005</v>
      </c>
      <c r="I150" s="1">
        <v>439.20096000000001</v>
      </c>
      <c r="J150" s="1">
        <v>450.71268000000009</v>
      </c>
    </row>
    <row r="151" spans="1:10" hidden="1" x14ac:dyDescent="0.25">
      <c r="A151" t="s">
        <v>37</v>
      </c>
      <c r="B151" t="s">
        <v>513</v>
      </c>
      <c r="C151" s="1">
        <v>0</v>
      </c>
      <c r="D151" s="1">
        <v>420.39096000000006</v>
      </c>
      <c r="E151" s="1">
        <v>481.78680000000003</v>
      </c>
      <c r="F151" s="1">
        <v>503.70672000000008</v>
      </c>
      <c r="G151" s="1">
        <v>601.29300000000001</v>
      </c>
      <c r="H151" s="1">
        <v>624.36660000000006</v>
      </c>
      <c r="I151" s="1">
        <v>841.81020000000012</v>
      </c>
      <c r="J151" s="1">
        <v>863.23248000000012</v>
      </c>
    </row>
    <row r="152" spans="1:10" hidden="1" x14ac:dyDescent="0.25">
      <c r="A152" t="s">
        <v>37</v>
      </c>
      <c r="B152" t="s">
        <v>522</v>
      </c>
      <c r="C152" s="1">
        <v>0</v>
      </c>
      <c r="D152" s="1">
        <v>141.96534000000003</v>
      </c>
      <c r="E152" s="1">
        <v>178.05546000000001</v>
      </c>
      <c r="F152" s="1">
        <v>183.93672000000004</v>
      </c>
      <c r="G152" s="1">
        <v>213.66290000000004</v>
      </c>
      <c r="H152" s="1">
        <v>241.76988</v>
      </c>
      <c r="I152" s="1">
        <v>285.33098000000001</v>
      </c>
      <c r="J152" s="1">
        <v>327.54480000000001</v>
      </c>
    </row>
    <row r="153" spans="1:10" hidden="1" x14ac:dyDescent="0.25">
      <c r="A153" t="s">
        <v>37</v>
      </c>
      <c r="B153" t="s">
        <v>531</v>
      </c>
      <c r="C153" s="1">
        <v>0</v>
      </c>
      <c r="D153" s="1">
        <v>129.91946000000002</v>
      </c>
      <c r="E153" s="1">
        <v>151.28453999999999</v>
      </c>
      <c r="F153" s="1">
        <v>171.91834</v>
      </c>
      <c r="G153" s="1">
        <v>207.35428999999999</v>
      </c>
      <c r="H153" s="1">
        <v>215.77974</v>
      </c>
      <c r="I153" s="1">
        <v>312.67236000000003</v>
      </c>
      <c r="J153" s="1">
        <v>324.18408000000005</v>
      </c>
    </row>
    <row r="154" spans="1:10" hidden="1" x14ac:dyDescent="0.25">
      <c r="A154" t="s">
        <v>37</v>
      </c>
      <c r="B154" t="s">
        <v>540</v>
      </c>
      <c r="C154" s="1">
        <v>0</v>
      </c>
      <c r="D154" s="1">
        <v>177.14004</v>
      </c>
      <c r="E154" s="1">
        <v>243.85658000000004</v>
      </c>
      <c r="F154" s="1">
        <v>263.99977999999999</v>
      </c>
      <c r="G154" s="1">
        <v>291.02678000000003</v>
      </c>
      <c r="H154" s="1">
        <v>290.08980000000003</v>
      </c>
      <c r="I154" s="1">
        <v>410.38404000000003</v>
      </c>
      <c r="J154" s="1">
        <v>431.64098999999999</v>
      </c>
    </row>
    <row r="155" spans="1:10" hidden="1" x14ac:dyDescent="0.25">
      <c r="A155" t="s">
        <v>37</v>
      </c>
      <c r="B155" t="s">
        <v>549</v>
      </c>
      <c r="C155" s="1">
        <v>0</v>
      </c>
      <c r="D155" s="1">
        <v>157.42716000000001</v>
      </c>
      <c r="E155" s="1">
        <v>180.92887999999999</v>
      </c>
      <c r="F155" s="1">
        <v>195.84763000000001</v>
      </c>
      <c r="G155" s="1">
        <v>216.19422000000003</v>
      </c>
      <c r="H155" s="1">
        <v>243.90168000000003</v>
      </c>
      <c r="I155" s="1">
        <v>346.73254000000003</v>
      </c>
      <c r="J155" s="1">
        <v>372.28752000000003</v>
      </c>
    </row>
    <row r="156" spans="1:10" hidden="1" x14ac:dyDescent="0.25">
      <c r="A156" t="s">
        <v>37</v>
      </c>
      <c r="B156" t="s">
        <v>558</v>
      </c>
      <c r="C156" s="1">
        <v>0</v>
      </c>
      <c r="D156" s="1">
        <v>207.49938</v>
      </c>
      <c r="E156" s="1">
        <v>252.14596000000003</v>
      </c>
      <c r="F156" s="1">
        <v>270.21192000000002</v>
      </c>
      <c r="G156" s="1">
        <v>300.52011000000005</v>
      </c>
      <c r="H156" s="1">
        <v>340.21019999999999</v>
      </c>
      <c r="I156" s="1">
        <v>416.10943000000003</v>
      </c>
      <c r="J156" s="1">
        <v>456.98268000000007</v>
      </c>
    </row>
    <row r="157" spans="1:10" hidden="1" x14ac:dyDescent="0.25">
      <c r="A157" t="s">
        <v>37</v>
      </c>
      <c r="B157" t="s">
        <v>567</v>
      </c>
      <c r="C157" s="1">
        <v>0</v>
      </c>
      <c r="D157" s="1">
        <v>116.70725</v>
      </c>
      <c r="E157" s="1">
        <v>102.99520000000001</v>
      </c>
      <c r="F157" s="1">
        <v>115.11720000000001</v>
      </c>
      <c r="G157" s="1">
        <v>157.67070000000001</v>
      </c>
      <c r="H157" s="1">
        <v>168.90885000000003</v>
      </c>
      <c r="I157" s="1">
        <v>256.75639000000001</v>
      </c>
      <c r="J157" s="1">
        <v>277.60788000000002</v>
      </c>
    </row>
    <row r="158" spans="1:10" hidden="1" x14ac:dyDescent="0.25">
      <c r="A158" t="s">
        <v>37</v>
      </c>
      <c r="B158" t="s">
        <v>585</v>
      </c>
      <c r="C158" s="1">
        <v>0</v>
      </c>
      <c r="D158" s="1">
        <v>219.45000000000002</v>
      </c>
      <c r="E158" s="1">
        <v>269.61</v>
      </c>
      <c r="F158" s="1">
        <v>288.42</v>
      </c>
      <c r="G158" s="1">
        <v>307.23</v>
      </c>
      <c r="H158" s="1">
        <v>332.31000000000006</v>
      </c>
      <c r="I158" s="1">
        <v>438.90000000000003</v>
      </c>
      <c r="J158" s="1">
        <v>451.44</v>
      </c>
    </row>
    <row r="159" spans="1:10" hidden="1" x14ac:dyDescent="0.25">
      <c r="A159" t="s">
        <v>37</v>
      </c>
      <c r="B159" t="s">
        <v>594</v>
      </c>
      <c r="C159" s="1">
        <v>0</v>
      </c>
      <c r="D159" s="1">
        <v>409.97770000000003</v>
      </c>
      <c r="E159" s="1">
        <v>445.25734000000006</v>
      </c>
      <c r="F159" s="1">
        <v>497.34729000000004</v>
      </c>
      <c r="G159" s="1">
        <v>560.85447000000011</v>
      </c>
      <c r="H159" s="1">
        <v>600.24712000000011</v>
      </c>
      <c r="I159" s="1">
        <v>662.63780000000008</v>
      </c>
      <c r="J159" s="1">
        <v>742.19948000000011</v>
      </c>
    </row>
    <row r="160" spans="1:10" hidden="1" x14ac:dyDescent="0.25">
      <c r="A160" t="s">
        <v>37</v>
      </c>
      <c r="B160" t="s">
        <v>603</v>
      </c>
      <c r="C160" s="1">
        <v>0</v>
      </c>
      <c r="D160" s="1">
        <v>175.82334000000003</v>
      </c>
      <c r="E160" s="1">
        <v>208.72181</v>
      </c>
      <c r="F160" s="1">
        <v>238.26000000000002</v>
      </c>
      <c r="G160" s="1">
        <v>293.08488000000006</v>
      </c>
      <c r="H160" s="1">
        <v>297.34914000000003</v>
      </c>
      <c r="I160" s="1">
        <v>393.67141000000004</v>
      </c>
      <c r="J160" s="1">
        <v>397.50865000000005</v>
      </c>
    </row>
    <row r="161" spans="1:10" hidden="1" x14ac:dyDescent="0.25">
      <c r="A161" t="s">
        <v>37</v>
      </c>
      <c r="B161" t="s">
        <v>612</v>
      </c>
      <c r="C161" s="1">
        <v>0</v>
      </c>
      <c r="D161" s="1">
        <v>116.97059000000002</v>
      </c>
      <c r="E161" s="1">
        <v>102.99520000000001</v>
      </c>
      <c r="F161" s="1">
        <v>116.32104</v>
      </c>
      <c r="G161" s="1">
        <v>152.52930000000003</v>
      </c>
      <c r="H161" s="1">
        <v>162.51345000000001</v>
      </c>
      <c r="I161" s="1">
        <v>256.75639000000001</v>
      </c>
      <c r="J161" s="1">
        <v>277.60788000000002</v>
      </c>
    </row>
    <row r="162" spans="1:10" hidden="1" x14ac:dyDescent="0.25">
      <c r="A162" t="s">
        <v>37</v>
      </c>
      <c r="B162" t="s">
        <v>621</v>
      </c>
      <c r="C162" s="1">
        <v>0</v>
      </c>
      <c r="D162" s="1">
        <v>251.53150000000002</v>
      </c>
      <c r="E162" s="1">
        <v>269.07132999999999</v>
      </c>
      <c r="F162" s="1">
        <v>300.13291000000004</v>
      </c>
      <c r="G162" s="1">
        <v>342.02168000000006</v>
      </c>
      <c r="H162" s="1">
        <v>378.82174000000003</v>
      </c>
      <c r="I162" s="1">
        <v>517.17941000000008</v>
      </c>
      <c r="J162" s="1">
        <v>571.21690999999998</v>
      </c>
    </row>
    <row r="163" spans="1:10" hidden="1" x14ac:dyDescent="0.25">
      <c r="A163" t="s">
        <v>37</v>
      </c>
      <c r="B163" t="s">
        <v>630</v>
      </c>
      <c r="C163" s="1">
        <v>0</v>
      </c>
      <c r="D163" s="1">
        <v>197.66802000000004</v>
      </c>
      <c r="E163" s="1">
        <v>227.58307000000002</v>
      </c>
      <c r="F163" s="1">
        <v>246.93768000000003</v>
      </c>
      <c r="G163" s="1">
        <v>274.52964000000003</v>
      </c>
      <c r="H163" s="1">
        <v>291.9708</v>
      </c>
      <c r="I163" s="1">
        <v>420.39096000000006</v>
      </c>
      <c r="J163" s="1">
        <v>450.26124000000004</v>
      </c>
    </row>
    <row r="164" spans="1:10" hidden="1" x14ac:dyDescent="0.25">
      <c r="A164" t="s">
        <v>37</v>
      </c>
      <c r="B164" t="s">
        <v>639</v>
      </c>
      <c r="C164" s="1">
        <v>0</v>
      </c>
      <c r="D164" s="1">
        <v>200.01300000000003</v>
      </c>
      <c r="E164" s="1">
        <v>223.40010000000004</v>
      </c>
      <c r="F164" s="1">
        <v>240.89340000000001</v>
      </c>
      <c r="G164" s="1">
        <v>277.68576000000002</v>
      </c>
      <c r="H164" s="1">
        <v>303.40200000000004</v>
      </c>
      <c r="I164" s="1">
        <v>510.22477000000009</v>
      </c>
      <c r="J164" s="1">
        <v>557.45316000000003</v>
      </c>
    </row>
    <row r="165" spans="1:10" hidden="1" x14ac:dyDescent="0.25">
      <c r="A165" t="s">
        <v>37</v>
      </c>
      <c r="B165" t="s">
        <v>648</v>
      </c>
      <c r="C165" s="1">
        <v>0</v>
      </c>
      <c r="D165" s="1">
        <v>240.90594000000002</v>
      </c>
      <c r="E165" s="1">
        <v>268.27867000000003</v>
      </c>
      <c r="F165" s="1">
        <v>282.76105000000001</v>
      </c>
      <c r="G165" s="1">
        <v>319.54813000000001</v>
      </c>
      <c r="H165" s="1">
        <v>348.28244000000007</v>
      </c>
      <c r="I165" s="1">
        <v>495.84975000000003</v>
      </c>
      <c r="J165" s="1">
        <v>526.68000000000006</v>
      </c>
    </row>
    <row r="166" spans="1:10" hidden="1" x14ac:dyDescent="0.25">
      <c r="A166" t="s">
        <v>37</v>
      </c>
      <c r="B166" t="s">
        <v>657</v>
      </c>
      <c r="C166" s="1">
        <v>0</v>
      </c>
      <c r="D166" s="1">
        <v>209.29259999999999</v>
      </c>
      <c r="E166" s="1">
        <v>251.32789</v>
      </c>
      <c r="F166" s="1">
        <v>268.61934000000002</v>
      </c>
      <c r="G166" s="1">
        <v>301.78577000000007</v>
      </c>
      <c r="H166" s="1">
        <v>320.25290000000001</v>
      </c>
      <c r="I166" s="1">
        <v>437.58627000000001</v>
      </c>
      <c r="J166" s="1">
        <v>481.78680000000003</v>
      </c>
    </row>
    <row r="167" spans="1:10" hidden="1" x14ac:dyDescent="0.25">
      <c r="A167" t="s">
        <v>37</v>
      </c>
      <c r="B167" t="s">
        <v>666</v>
      </c>
      <c r="C167" s="1">
        <v>0</v>
      </c>
      <c r="D167" s="1">
        <v>229.72202000000001</v>
      </c>
      <c r="E167" s="1">
        <v>261.86710000000005</v>
      </c>
      <c r="F167" s="1">
        <v>291.39594</v>
      </c>
      <c r="G167" s="1">
        <v>330.02551999999997</v>
      </c>
      <c r="H167" s="1">
        <v>367.51671000000005</v>
      </c>
      <c r="I167" s="1">
        <v>565.50065000000006</v>
      </c>
      <c r="J167" s="1">
        <v>590.04462000000001</v>
      </c>
    </row>
    <row r="168" spans="1:10" hidden="1" x14ac:dyDescent="0.25">
      <c r="A168" t="s">
        <v>37</v>
      </c>
      <c r="B168" t="s">
        <v>675</v>
      </c>
      <c r="C168" s="1">
        <v>0</v>
      </c>
      <c r="D168" s="1">
        <v>129.42534000000001</v>
      </c>
      <c r="E168" s="1">
        <v>174.25584000000001</v>
      </c>
      <c r="F168" s="1">
        <v>177.06479999999999</v>
      </c>
      <c r="G168" s="1">
        <v>222.63516000000001</v>
      </c>
      <c r="H168" s="1">
        <v>208.31756000000001</v>
      </c>
      <c r="I168" s="1">
        <v>299.94337999999999</v>
      </c>
      <c r="J168" s="1">
        <v>323.35644000000002</v>
      </c>
    </row>
    <row r="169" spans="1:10" hidden="1" x14ac:dyDescent="0.25">
      <c r="A169" t="s">
        <v>37</v>
      </c>
      <c r="B169" t="s">
        <v>684</v>
      </c>
      <c r="C169" s="1">
        <v>0</v>
      </c>
      <c r="D169" s="1">
        <v>212.37744000000004</v>
      </c>
      <c r="E169" s="1">
        <v>262.34934000000004</v>
      </c>
      <c r="F169" s="1">
        <v>261.48408000000001</v>
      </c>
      <c r="G169" s="1">
        <v>316.71376000000004</v>
      </c>
      <c r="H169" s="1">
        <v>336.99644000000006</v>
      </c>
      <c r="I169" s="1">
        <v>472.22131000000002</v>
      </c>
      <c r="J169" s="1">
        <v>495.07920000000007</v>
      </c>
    </row>
    <row r="170" spans="1:10" hidden="1" x14ac:dyDescent="0.25">
      <c r="A170" t="s">
        <v>37</v>
      </c>
      <c r="B170" t="s">
        <v>693</v>
      </c>
      <c r="C170" s="1">
        <v>0</v>
      </c>
      <c r="D170" s="1">
        <v>246.78720000000001</v>
      </c>
      <c r="E170" s="1">
        <v>313.16142000000002</v>
      </c>
      <c r="F170" s="1">
        <v>313.16142000000002</v>
      </c>
      <c r="G170" s="1">
        <v>358.34535000000005</v>
      </c>
      <c r="H170" s="1">
        <v>369.98104000000006</v>
      </c>
      <c r="I170" s="1">
        <v>505.08612000000005</v>
      </c>
      <c r="J170" s="1">
        <v>529.1378400000001</v>
      </c>
    </row>
    <row r="171" spans="1:10" hidden="1" x14ac:dyDescent="0.25">
      <c r="A171" t="s">
        <v>37</v>
      </c>
      <c r="B171" t="s">
        <v>702</v>
      </c>
      <c r="C171" s="1">
        <v>0</v>
      </c>
      <c r="D171" s="1">
        <v>214.40892000000002</v>
      </c>
      <c r="E171" s="1">
        <v>239.74401</v>
      </c>
      <c r="F171" s="1">
        <v>251.05949000000001</v>
      </c>
      <c r="G171" s="1">
        <v>307.73160000000001</v>
      </c>
      <c r="H171" s="1">
        <v>302.84100000000001</v>
      </c>
      <c r="I171" s="1">
        <v>492.56196</v>
      </c>
      <c r="J171" s="1">
        <v>566.10576000000015</v>
      </c>
    </row>
    <row r="172" spans="1:10" hidden="1" x14ac:dyDescent="0.25">
      <c r="A172" t="s">
        <v>37</v>
      </c>
      <c r="B172" t="s">
        <v>711</v>
      </c>
      <c r="C172" s="1">
        <v>0</v>
      </c>
      <c r="D172" s="1">
        <v>205.07916</v>
      </c>
      <c r="E172" s="1">
        <v>262.08600000000001</v>
      </c>
      <c r="F172" s="1">
        <v>263.66604000000001</v>
      </c>
      <c r="G172" s="1">
        <v>302.73540000000003</v>
      </c>
      <c r="H172" s="1">
        <v>321.19340000000005</v>
      </c>
      <c r="I172" s="1">
        <v>448.45548000000002</v>
      </c>
      <c r="J172" s="1">
        <v>468.49440000000004</v>
      </c>
    </row>
    <row r="173" spans="1:10" hidden="1" x14ac:dyDescent="0.25">
      <c r="A173" t="s">
        <v>37</v>
      </c>
      <c r="B173" t="s">
        <v>720</v>
      </c>
      <c r="C173" s="1">
        <v>0</v>
      </c>
      <c r="D173" s="1">
        <v>251.62566000000001</v>
      </c>
      <c r="E173" s="1">
        <v>266.98749000000004</v>
      </c>
      <c r="F173" s="1">
        <v>299.09098999999998</v>
      </c>
      <c r="G173" s="1">
        <v>337.69571000000002</v>
      </c>
      <c r="H173" s="1">
        <v>373.33615000000003</v>
      </c>
      <c r="I173" s="1">
        <v>472.75349</v>
      </c>
      <c r="J173" s="1">
        <v>547.28146000000004</v>
      </c>
    </row>
    <row r="174" spans="1:10" hidden="1" x14ac:dyDescent="0.25">
      <c r="A174" t="s">
        <v>37</v>
      </c>
      <c r="B174" t="s">
        <v>729</v>
      </c>
      <c r="C174" s="1">
        <v>0</v>
      </c>
      <c r="D174" s="1">
        <v>167.39723000000004</v>
      </c>
      <c r="E174" s="1">
        <v>226.94100000000003</v>
      </c>
      <c r="F174" s="1">
        <v>238.26000000000002</v>
      </c>
      <c r="G174" s="1">
        <v>277.58544000000001</v>
      </c>
      <c r="H174" s="1">
        <v>256.03842000000003</v>
      </c>
      <c r="I174" s="1">
        <v>418.08316000000002</v>
      </c>
      <c r="J174" s="1">
        <v>443.11344000000003</v>
      </c>
    </row>
    <row r="175" spans="1:10" hidden="1" x14ac:dyDescent="0.25">
      <c r="A175" t="s">
        <v>37</v>
      </c>
      <c r="B175" t="s">
        <v>738</v>
      </c>
      <c r="C175" s="1">
        <v>0</v>
      </c>
      <c r="D175" s="1">
        <v>166.60721000000001</v>
      </c>
      <c r="E175" s="1">
        <v>227.22480000000004</v>
      </c>
      <c r="F175" s="1">
        <v>244.83096</v>
      </c>
      <c r="G175" s="1">
        <v>269.98642000000001</v>
      </c>
      <c r="H175" s="1">
        <v>254.34552000000002</v>
      </c>
      <c r="I175" s="1">
        <v>403.24878000000007</v>
      </c>
      <c r="J175" s="1">
        <v>421.06812000000002</v>
      </c>
    </row>
    <row r="176" spans="1:10" hidden="1" x14ac:dyDescent="0.25">
      <c r="A176" t="s">
        <v>37</v>
      </c>
      <c r="B176" t="s">
        <v>747</v>
      </c>
      <c r="C176" s="1">
        <v>0</v>
      </c>
      <c r="D176" s="1">
        <v>196.01274000000001</v>
      </c>
      <c r="E176" s="1">
        <v>235.75200000000001</v>
      </c>
      <c r="F176" s="1">
        <v>278.21244000000002</v>
      </c>
      <c r="G176" s="1">
        <v>302.73540000000003</v>
      </c>
      <c r="H176" s="1">
        <v>320.62909999999999</v>
      </c>
      <c r="I176" s="1">
        <v>443.21376000000004</v>
      </c>
      <c r="J176" s="1">
        <v>456.98268000000007</v>
      </c>
    </row>
    <row r="177" spans="1:10" hidden="1" x14ac:dyDescent="0.25">
      <c r="A177" t="s">
        <v>37</v>
      </c>
      <c r="B177" t="s">
        <v>756</v>
      </c>
      <c r="C177" s="1">
        <v>0</v>
      </c>
      <c r="D177" s="1">
        <v>292.56832000000003</v>
      </c>
      <c r="E177" s="1">
        <v>310.46796000000006</v>
      </c>
      <c r="F177" s="1">
        <v>357.58030000000002</v>
      </c>
      <c r="G177" s="1">
        <v>420.07756999999998</v>
      </c>
      <c r="H177" s="1">
        <v>435.95024000000001</v>
      </c>
      <c r="I177" s="1">
        <v>574.33464000000004</v>
      </c>
      <c r="J177" s="1">
        <v>578.62332000000004</v>
      </c>
    </row>
    <row r="178" spans="1:10" hidden="1" x14ac:dyDescent="0.25">
      <c r="A178" t="s">
        <v>37</v>
      </c>
      <c r="B178" t="s">
        <v>1626</v>
      </c>
      <c r="C178" s="1">
        <v>0</v>
      </c>
      <c r="D178" s="1">
        <v>796.29000000000008</v>
      </c>
      <c r="E178" s="1">
        <v>927.96000000000015</v>
      </c>
      <c r="F178" s="1">
        <v>978.12000000000012</v>
      </c>
      <c r="G178" s="1">
        <v>1216.3800000000001</v>
      </c>
      <c r="H178" s="1">
        <v>1254</v>
      </c>
      <c r="I178" s="1">
        <v>1680.3600000000001</v>
      </c>
      <c r="J178" s="1">
        <v>1755.6000000000001</v>
      </c>
    </row>
    <row r="179" spans="1:10" hidden="1" x14ac:dyDescent="0.25">
      <c r="A179" t="s">
        <v>37</v>
      </c>
      <c r="B179" t="s">
        <v>765</v>
      </c>
      <c r="C179" s="1">
        <v>0</v>
      </c>
      <c r="D179" s="1">
        <v>496.57234000000005</v>
      </c>
      <c r="E179" s="1">
        <v>563.60919999999999</v>
      </c>
      <c r="F179" s="1">
        <v>618.72821999999996</v>
      </c>
      <c r="G179" s="1">
        <v>716.3767600000001</v>
      </c>
      <c r="H179" s="1">
        <v>782.47554000000014</v>
      </c>
      <c r="I179" s="1">
        <v>888.26628000000017</v>
      </c>
      <c r="J179" s="1">
        <v>973.36140000000012</v>
      </c>
    </row>
    <row r="180" spans="1:10" hidden="1" x14ac:dyDescent="0.25">
      <c r="A180" t="s">
        <v>37</v>
      </c>
      <c r="B180" t="s">
        <v>774</v>
      </c>
      <c r="C180" s="1">
        <v>0</v>
      </c>
      <c r="D180" s="1">
        <v>249.13262</v>
      </c>
      <c r="E180" s="1">
        <v>266.05216000000001</v>
      </c>
      <c r="F180" s="1">
        <v>291.51936000000006</v>
      </c>
      <c r="G180" s="1">
        <v>340.45077000000003</v>
      </c>
      <c r="H180" s="1">
        <v>405.11273</v>
      </c>
      <c r="I180" s="1">
        <v>466.72505000000007</v>
      </c>
      <c r="J180" s="1">
        <v>546.41257000000007</v>
      </c>
    </row>
    <row r="181" spans="1:10" hidden="1" x14ac:dyDescent="0.25">
      <c r="A181" t="s">
        <v>37</v>
      </c>
      <c r="B181" t="s">
        <v>783</v>
      </c>
      <c r="C181" s="1">
        <v>0</v>
      </c>
      <c r="D181" s="1">
        <v>203.41134000000002</v>
      </c>
      <c r="E181" s="1">
        <v>232.22540000000004</v>
      </c>
      <c r="F181" s="1">
        <v>266.78278</v>
      </c>
      <c r="G181" s="1">
        <v>286.26444000000004</v>
      </c>
      <c r="H181" s="1">
        <v>292.72320000000008</v>
      </c>
      <c r="I181" s="1">
        <v>425.77953000000002</v>
      </c>
      <c r="J181" s="1">
        <v>430.06821000000002</v>
      </c>
    </row>
    <row r="182" spans="1:10" hidden="1" x14ac:dyDescent="0.25">
      <c r="A182" t="s">
        <v>37</v>
      </c>
      <c r="B182" t="s">
        <v>792</v>
      </c>
      <c r="C182" s="1">
        <v>0</v>
      </c>
      <c r="D182" s="1">
        <v>278.78928000000002</v>
      </c>
      <c r="E182" s="1">
        <v>359.56987000000004</v>
      </c>
      <c r="F182" s="1">
        <v>408.62866000000002</v>
      </c>
      <c r="G182" s="1">
        <v>438.73654000000005</v>
      </c>
      <c r="H182" s="1">
        <v>479.07662000000005</v>
      </c>
      <c r="I182" s="1">
        <v>598.98850000000004</v>
      </c>
      <c r="J182" s="1">
        <v>667.17816000000016</v>
      </c>
    </row>
    <row r="183" spans="1:10" hidden="1" x14ac:dyDescent="0.25">
      <c r="A183" t="s">
        <v>37</v>
      </c>
      <c r="B183" t="s">
        <v>801</v>
      </c>
      <c r="C183" s="1">
        <v>0</v>
      </c>
      <c r="D183" s="1">
        <v>207.66240000000002</v>
      </c>
      <c r="E183" s="1">
        <v>254.89574000000002</v>
      </c>
      <c r="F183" s="1">
        <v>275.68464</v>
      </c>
      <c r="G183" s="1">
        <v>311.61614000000003</v>
      </c>
      <c r="H183" s="1">
        <v>337.61046000000005</v>
      </c>
      <c r="I183" s="1">
        <v>418.61127000000005</v>
      </c>
      <c r="J183" s="1">
        <v>469.60342000000003</v>
      </c>
    </row>
    <row r="184" spans="1:10" hidden="1" x14ac:dyDescent="0.25">
      <c r="A184" t="s">
        <v>37</v>
      </c>
      <c r="B184" t="s">
        <v>810</v>
      </c>
      <c r="C184" s="1">
        <v>0</v>
      </c>
      <c r="D184" s="1">
        <v>135.35929000000002</v>
      </c>
      <c r="E184" s="1">
        <v>152.66911000000002</v>
      </c>
      <c r="F184" s="1">
        <v>174.55812</v>
      </c>
      <c r="G184" s="1">
        <v>210.26192</v>
      </c>
      <c r="H184" s="1">
        <v>245.91929999999999</v>
      </c>
      <c r="I184" s="1">
        <v>352.34892000000002</v>
      </c>
      <c r="J184" s="1">
        <v>384.82752000000005</v>
      </c>
    </row>
    <row r="185" spans="1:10" hidden="1" x14ac:dyDescent="0.25">
      <c r="A185" t="s">
        <v>37</v>
      </c>
      <c r="B185" t="s">
        <v>819</v>
      </c>
      <c r="C185" s="1">
        <v>0</v>
      </c>
      <c r="D185" s="1">
        <v>225.72</v>
      </c>
      <c r="E185" s="1">
        <v>263.60334</v>
      </c>
      <c r="F185" s="1">
        <v>289.73670000000004</v>
      </c>
      <c r="G185" s="1">
        <v>316.71376000000004</v>
      </c>
      <c r="H185" s="1">
        <v>336.99644000000006</v>
      </c>
      <c r="I185" s="1">
        <v>467.45611000000002</v>
      </c>
      <c r="J185" s="1">
        <v>493.57440000000003</v>
      </c>
    </row>
    <row r="186" spans="1:10" hidden="1" x14ac:dyDescent="0.25">
      <c r="A186" t="s">
        <v>37</v>
      </c>
      <c r="B186" t="s">
        <v>828</v>
      </c>
      <c r="C186" s="1">
        <v>0</v>
      </c>
      <c r="D186" s="1">
        <v>163.02000000000001</v>
      </c>
      <c r="E186" s="1">
        <v>222.74802000000003</v>
      </c>
      <c r="F186" s="1">
        <v>232.64207999999999</v>
      </c>
      <c r="G186" s="1">
        <v>247.82494000000003</v>
      </c>
      <c r="H186" s="1">
        <v>251.52402000000001</v>
      </c>
      <c r="I186" s="1">
        <v>360.77580000000006</v>
      </c>
      <c r="J186" s="1">
        <v>372.28752000000003</v>
      </c>
    </row>
    <row r="187" spans="1:10" hidden="1" x14ac:dyDescent="0.25">
      <c r="A187" t="s">
        <v>37</v>
      </c>
      <c r="B187" t="s">
        <v>837</v>
      </c>
      <c r="C187" s="1">
        <v>0</v>
      </c>
      <c r="D187" s="1">
        <v>163.02000000000001</v>
      </c>
      <c r="E187" s="1">
        <v>221.75736000000001</v>
      </c>
      <c r="F187" s="1">
        <v>235.94010000000003</v>
      </c>
      <c r="G187" s="1">
        <v>281.22203999999999</v>
      </c>
      <c r="H187" s="1">
        <v>293.08554000000004</v>
      </c>
      <c r="I187" s="1">
        <v>397.36752000000001</v>
      </c>
      <c r="J187" s="1">
        <v>420.39096000000006</v>
      </c>
    </row>
    <row r="188" spans="1:10" hidden="1" x14ac:dyDescent="0.25">
      <c r="A188" t="s">
        <v>37</v>
      </c>
      <c r="B188" t="s">
        <v>846</v>
      </c>
      <c r="C188" s="1">
        <v>0</v>
      </c>
      <c r="D188" s="1">
        <v>108.89736000000002</v>
      </c>
      <c r="E188" s="1">
        <v>107.55140000000002</v>
      </c>
      <c r="F188" s="1">
        <v>118.16860000000001</v>
      </c>
      <c r="G188" s="1">
        <v>152.52930000000003</v>
      </c>
      <c r="H188" s="1">
        <v>159.31575000000004</v>
      </c>
      <c r="I188" s="1">
        <v>255.04886000000002</v>
      </c>
      <c r="J188" s="1">
        <v>275.63327000000004</v>
      </c>
    </row>
    <row r="189" spans="1:10" hidden="1" x14ac:dyDescent="0.25">
      <c r="A189" t="s">
        <v>37</v>
      </c>
      <c r="B189" t="s">
        <v>855</v>
      </c>
      <c r="C189" s="1">
        <v>0</v>
      </c>
      <c r="D189" s="1">
        <v>200.84064000000004</v>
      </c>
      <c r="E189" s="1">
        <v>226.54137</v>
      </c>
      <c r="F189" s="1">
        <v>262.34934000000004</v>
      </c>
      <c r="G189" s="1">
        <v>285.81299999999999</v>
      </c>
      <c r="H189" s="1">
        <v>286.75184999999999</v>
      </c>
      <c r="I189" s="1">
        <v>398.79708000000005</v>
      </c>
      <c r="J189" s="1">
        <v>399.47303000000005</v>
      </c>
    </row>
    <row r="190" spans="1:10" hidden="1" x14ac:dyDescent="0.25">
      <c r="A190" t="s">
        <v>37</v>
      </c>
      <c r="B190" t="s">
        <v>864</v>
      </c>
      <c r="C190" s="1">
        <v>0</v>
      </c>
      <c r="D190" s="1">
        <v>185.68836000000002</v>
      </c>
      <c r="E190" s="1">
        <v>194.32875000000001</v>
      </c>
      <c r="F190" s="1">
        <v>205.26682000000002</v>
      </c>
      <c r="G190" s="1">
        <v>238.26000000000002</v>
      </c>
      <c r="H190" s="1">
        <v>250.8</v>
      </c>
      <c r="I190" s="1">
        <v>366.33850000000007</v>
      </c>
      <c r="J190" s="1">
        <v>409.40592000000004</v>
      </c>
    </row>
    <row r="191" spans="1:10" hidden="1" x14ac:dyDescent="0.25">
      <c r="A191" t="s">
        <v>37</v>
      </c>
      <c r="B191" t="s">
        <v>873</v>
      </c>
      <c r="C191" s="1">
        <v>0</v>
      </c>
      <c r="D191" s="1">
        <v>456.98268000000007</v>
      </c>
      <c r="E191" s="1">
        <v>529.96548000000007</v>
      </c>
      <c r="F191" s="1">
        <v>548.78801999999996</v>
      </c>
      <c r="G191" s="1">
        <v>637.88472000000013</v>
      </c>
      <c r="H191" s="1">
        <v>659.85480000000007</v>
      </c>
      <c r="I191" s="1">
        <v>868.3738800000001</v>
      </c>
      <c r="J191" s="1">
        <v>882.76980000000015</v>
      </c>
    </row>
    <row r="192" spans="1:10" hidden="1" x14ac:dyDescent="0.25">
      <c r="A192" t="s">
        <v>37</v>
      </c>
      <c r="B192" t="s">
        <v>882</v>
      </c>
      <c r="C192" s="1">
        <v>0</v>
      </c>
      <c r="D192" s="1">
        <v>305.67933000000005</v>
      </c>
      <c r="E192" s="1">
        <v>390.78402</v>
      </c>
      <c r="F192" s="1">
        <v>421.06130000000007</v>
      </c>
      <c r="G192" s="1">
        <v>432.78807</v>
      </c>
      <c r="H192" s="1">
        <v>439.52414000000005</v>
      </c>
      <c r="I192" s="1">
        <v>607.5630000000001</v>
      </c>
      <c r="J192" s="1">
        <v>637.88472000000013</v>
      </c>
    </row>
    <row r="193" spans="1:10" hidden="1" x14ac:dyDescent="0.25">
      <c r="A193" t="s">
        <v>37</v>
      </c>
      <c r="B193" t="s">
        <v>891</v>
      </c>
      <c r="C193" s="1">
        <v>0</v>
      </c>
      <c r="D193" s="1">
        <v>141.75777000000002</v>
      </c>
      <c r="E193" s="1">
        <v>178.31836000000001</v>
      </c>
      <c r="F193" s="1">
        <v>193.83001000000002</v>
      </c>
      <c r="G193" s="1">
        <v>215.16594000000003</v>
      </c>
      <c r="H193" s="1">
        <v>209.06996000000004</v>
      </c>
      <c r="I193" s="1">
        <v>284.88911000000002</v>
      </c>
      <c r="J193" s="1">
        <v>333.78972000000005</v>
      </c>
    </row>
    <row r="194" spans="1:10" hidden="1" x14ac:dyDescent="0.25">
      <c r="A194" t="s">
        <v>37</v>
      </c>
      <c r="B194" t="s">
        <v>900</v>
      </c>
      <c r="C194" s="1">
        <v>0</v>
      </c>
      <c r="D194" s="1">
        <v>118.87238000000001</v>
      </c>
      <c r="E194" s="1">
        <v>114.2163</v>
      </c>
      <c r="F194" s="1">
        <v>125.00510000000001</v>
      </c>
      <c r="G194" s="1">
        <v>161.83464000000001</v>
      </c>
      <c r="H194" s="1">
        <v>170.87400000000002</v>
      </c>
      <c r="I194" s="1">
        <v>259.56326000000001</v>
      </c>
      <c r="J194" s="1">
        <v>300.31914000000006</v>
      </c>
    </row>
    <row r="195" spans="1:10" hidden="1" x14ac:dyDescent="0.25">
      <c r="A195" t="s">
        <v>37</v>
      </c>
      <c r="B195" t="s">
        <v>909</v>
      </c>
      <c r="C195" s="1">
        <v>0</v>
      </c>
      <c r="D195" s="1">
        <v>92.33202</v>
      </c>
      <c r="E195" s="1">
        <v>107.49288</v>
      </c>
      <c r="F195" s="1">
        <v>111.90696</v>
      </c>
      <c r="G195" s="1">
        <v>125.4</v>
      </c>
      <c r="H195" s="1">
        <v>132.06270000000001</v>
      </c>
      <c r="I195" s="1">
        <v>176.51304000000002</v>
      </c>
      <c r="J195" s="1">
        <v>184.28784000000002</v>
      </c>
    </row>
    <row r="196" spans="1:10" hidden="1" x14ac:dyDescent="0.25">
      <c r="A196" t="s">
        <v>333</v>
      </c>
      <c r="B196" t="s">
        <v>47</v>
      </c>
      <c r="C196" s="1">
        <v>0</v>
      </c>
      <c r="D196" s="1">
        <v>168.08539000000002</v>
      </c>
      <c r="E196" s="1">
        <v>204.20135999999999</v>
      </c>
      <c r="F196" s="1">
        <v>214.49670000000003</v>
      </c>
      <c r="G196" s="1">
        <v>245.05514000000002</v>
      </c>
      <c r="H196" s="1">
        <v>251.33592000000002</v>
      </c>
      <c r="I196" s="1">
        <v>347.76082000000002</v>
      </c>
      <c r="J196" s="1">
        <v>355.68346000000003</v>
      </c>
    </row>
    <row r="197" spans="1:10" hidden="1" x14ac:dyDescent="0.25">
      <c r="A197" t="s">
        <v>333</v>
      </c>
      <c r="B197" t="s">
        <v>56</v>
      </c>
      <c r="C197" s="1">
        <v>0</v>
      </c>
      <c r="D197" s="1">
        <v>151.20105000000001</v>
      </c>
      <c r="E197" s="1">
        <v>211.27392000000003</v>
      </c>
      <c r="F197" s="1">
        <v>227.22480000000004</v>
      </c>
      <c r="G197" s="1">
        <v>258.1986</v>
      </c>
      <c r="H197" s="1">
        <v>298.99496000000005</v>
      </c>
      <c r="I197" s="1">
        <v>389.57479000000006</v>
      </c>
      <c r="J197" s="1">
        <v>411.76344</v>
      </c>
    </row>
    <row r="198" spans="1:10" hidden="1" x14ac:dyDescent="0.25">
      <c r="A198" t="s">
        <v>333</v>
      </c>
      <c r="B198" t="s">
        <v>46</v>
      </c>
      <c r="C198" s="1">
        <v>0</v>
      </c>
      <c r="D198" s="1">
        <v>301.39064999999999</v>
      </c>
      <c r="E198" s="1">
        <v>382.01064000000002</v>
      </c>
      <c r="F198" s="1">
        <v>388.41880000000003</v>
      </c>
      <c r="G198" s="1">
        <v>427.27553000000006</v>
      </c>
      <c r="H198" s="1">
        <v>438.77174000000002</v>
      </c>
      <c r="I198" s="1">
        <v>590.79394000000013</v>
      </c>
      <c r="J198" s="1">
        <v>606.71974</v>
      </c>
    </row>
    <row r="199" spans="1:10" hidden="1" x14ac:dyDescent="0.25">
      <c r="A199" t="s">
        <v>333</v>
      </c>
      <c r="B199" t="s">
        <v>73</v>
      </c>
      <c r="C199" s="1">
        <v>0</v>
      </c>
      <c r="D199" s="1">
        <v>599.82010000000014</v>
      </c>
      <c r="E199" s="1">
        <v>626.32284000000004</v>
      </c>
      <c r="F199" s="1">
        <v>650.09868000000006</v>
      </c>
      <c r="G199" s="1">
        <v>737.59510000000012</v>
      </c>
      <c r="H199" s="1">
        <v>739.02158000000009</v>
      </c>
      <c r="I199" s="1">
        <v>938.01708000000008</v>
      </c>
      <c r="J199" s="1">
        <v>955.79880000000014</v>
      </c>
    </row>
    <row r="200" spans="1:10" hidden="1" x14ac:dyDescent="0.25">
      <c r="A200" t="s">
        <v>333</v>
      </c>
      <c r="B200" t="s">
        <v>82</v>
      </c>
      <c r="C200" s="1">
        <v>0</v>
      </c>
      <c r="D200" s="1">
        <v>158.06670000000003</v>
      </c>
      <c r="E200" s="1">
        <v>203.64960000000002</v>
      </c>
      <c r="F200" s="1">
        <v>220.00176000000002</v>
      </c>
      <c r="G200" s="1">
        <v>241.97030000000004</v>
      </c>
      <c r="H200" s="1">
        <v>249.64302000000004</v>
      </c>
      <c r="I200" s="1">
        <v>375.17172000000005</v>
      </c>
      <c r="J200" s="1">
        <v>378.90864000000005</v>
      </c>
    </row>
    <row r="201" spans="1:10" hidden="1" x14ac:dyDescent="0.25">
      <c r="A201" t="s">
        <v>333</v>
      </c>
      <c r="B201" t="s">
        <v>91</v>
      </c>
      <c r="C201" s="1">
        <v>0</v>
      </c>
      <c r="D201" s="1">
        <v>186.04971</v>
      </c>
      <c r="E201" s="1">
        <v>214.68480000000002</v>
      </c>
      <c r="F201" s="1">
        <v>228.72960000000003</v>
      </c>
      <c r="G201" s="1">
        <v>257.04888000000005</v>
      </c>
      <c r="H201" s="1">
        <v>289.71359999999999</v>
      </c>
      <c r="I201" s="1">
        <v>385.00231000000002</v>
      </c>
      <c r="J201" s="1">
        <v>388.84032000000002</v>
      </c>
    </row>
    <row r="202" spans="1:10" hidden="1" x14ac:dyDescent="0.25">
      <c r="A202" t="s">
        <v>333</v>
      </c>
      <c r="B202" t="s">
        <v>100</v>
      </c>
      <c r="C202" s="1">
        <v>0</v>
      </c>
      <c r="D202" s="1">
        <v>330.45408000000003</v>
      </c>
      <c r="E202" s="1">
        <v>405.41820000000007</v>
      </c>
      <c r="F202" s="1">
        <v>423.63882000000001</v>
      </c>
      <c r="G202" s="1">
        <v>453.99816000000004</v>
      </c>
      <c r="H202" s="1">
        <v>495.01650000000001</v>
      </c>
      <c r="I202" s="1">
        <v>636.06796000000008</v>
      </c>
      <c r="J202" s="1">
        <v>655.66643999999997</v>
      </c>
    </row>
    <row r="203" spans="1:10" hidden="1" x14ac:dyDescent="0.25">
      <c r="A203" t="s">
        <v>333</v>
      </c>
      <c r="B203" t="s">
        <v>109</v>
      </c>
      <c r="C203" s="1">
        <v>0</v>
      </c>
      <c r="D203" s="1">
        <v>216.46548000000001</v>
      </c>
      <c r="E203" s="1">
        <v>252.07435000000004</v>
      </c>
      <c r="F203" s="1">
        <v>264.39336000000003</v>
      </c>
      <c r="G203" s="1">
        <v>301.16064</v>
      </c>
      <c r="H203" s="1">
        <v>318.45330000000001</v>
      </c>
      <c r="I203" s="1">
        <v>462.71533000000005</v>
      </c>
      <c r="J203" s="1">
        <v>490.38990000000007</v>
      </c>
    </row>
    <row r="204" spans="1:10" hidden="1" x14ac:dyDescent="0.25">
      <c r="A204" t="s">
        <v>333</v>
      </c>
      <c r="B204" t="s">
        <v>118</v>
      </c>
      <c r="C204" s="1">
        <v>0</v>
      </c>
      <c r="D204" s="1">
        <v>232.59819000000002</v>
      </c>
      <c r="E204" s="1">
        <v>300.74352000000005</v>
      </c>
      <c r="F204" s="1">
        <v>308.71808000000004</v>
      </c>
      <c r="G204" s="1">
        <v>294.39035999999999</v>
      </c>
      <c r="H204" s="1">
        <v>298.74240000000003</v>
      </c>
      <c r="I204" s="1">
        <v>383.19732000000005</v>
      </c>
      <c r="J204" s="1">
        <v>416.34559999999999</v>
      </c>
    </row>
    <row r="205" spans="1:10" hidden="1" x14ac:dyDescent="0.25">
      <c r="A205" t="s">
        <v>333</v>
      </c>
      <c r="B205" t="s">
        <v>127</v>
      </c>
      <c r="C205" s="1">
        <v>0</v>
      </c>
      <c r="D205" s="1">
        <v>276.08064000000002</v>
      </c>
      <c r="E205" s="1">
        <v>313.16142000000002</v>
      </c>
      <c r="F205" s="1">
        <v>326.30334000000005</v>
      </c>
      <c r="G205" s="1">
        <v>359.29949000000005</v>
      </c>
      <c r="H205" s="1">
        <v>368.10004000000004</v>
      </c>
      <c r="I205" s="1">
        <v>488.15459000000004</v>
      </c>
      <c r="J205" s="1">
        <v>519.52967000000001</v>
      </c>
    </row>
    <row r="206" spans="1:10" hidden="1" x14ac:dyDescent="0.25">
      <c r="A206" t="s">
        <v>333</v>
      </c>
      <c r="B206" t="s">
        <v>136</v>
      </c>
      <c r="C206" s="1">
        <v>0</v>
      </c>
      <c r="D206" s="1">
        <v>204.95376000000002</v>
      </c>
      <c r="E206" s="1">
        <v>252.07435000000004</v>
      </c>
      <c r="F206" s="1">
        <v>262.34934000000004</v>
      </c>
      <c r="G206" s="1">
        <v>301.16064</v>
      </c>
      <c r="H206" s="1">
        <v>318.45330000000001</v>
      </c>
      <c r="I206" s="1">
        <v>463.70588000000004</v>
      </c>
      <c r="J206" s="1">
        <v>494.28225000000009</v>
      </c>
    </row>
    <row r="207" spans="1:10" hidden="1" x14ac:dyDescent="0.25">
      <c r="A207" t="s">
        <v>333</v>
      </c>
      <c r="B207" t="s">
        <v>145</v>
      </c>
      <c r="C207" s="1">
        <v>0</v>
      </c>
      <c r="D207" s="1">
        <v>373.91772000000003</v>
      </c>
      <c r="E207" s="1">
        <v>411.86838</v>
      </c>
      <c r="F207" s="1">
        <v>441.50832000000003</v>
      </c>
      <c r="G207" s="1">
        <v>472.28390000000002</v>
      </c>
      <c r="H207" s="1">
        <v>510.56808000000007</v>
      </c>
      <c r="I207" s="1">
        <v>676.55808000000013</v>
      </c>
      <c r="J207" s="1">
        <v>705.17435999999998</v>
      </c>
    </row>
    <row r="208" spans="1:10" hidden="1" x14ac:dyDescent="0.25">
      <c r="A208" t="s">
        <v>333</v>
      </c>
      <c r="B208" t="s">
        <v>154</v>
      </c>
      <c r="C208" s="1">
        <v>0</v>
      </c>
      <c r="D208" s="1">
        <v>221.81038000000004</v>
      </c>
      <c r="E208" s="1">
        <v>253.98681000000002</v>
      </c>
      <c r="F208" s="1">
        <v>271.53060000000005</v>
      </c>
      <c r="G208" s="1">
        <v>302.10862000000003</v>
      </c>
      <c r="H208" s="1">
        <v>321.00529999999998</v>
      </c>
      <c r="I208" s="1">
        <v>347.73420000000004</v>
      </c>
      <c r="J208" s="1">
        <v>364.62096000000003</v>
      </c>
    </row>
    <row r="209" spans="1:10" hidden="1" x14ac:dyDescent="0.25">
      <c r="A209" t="s">
        <v>333</v>
      </c>
      <c r="B209" t="s">
        <v>163</v>
      </c>
      <c r="C209" s="1">
        <v>0</v>
      </c>
      <c r="D209" s="1">
        <v>541.67784000000006</v>
      </c>
      <c r="E209" s="1">
        <v>683.03158000000008</v>
      </c>
      <c r="F209" s="1">
        <v>704.87340000000006</v>
      </c>
      <c r="G209" s="1">
        <v>805.21848</v>
      </c>
      <c r="H209" s="1">
        <v>816.47940000000006</v>
      </c>
      <c r="I209" s="1">
        <v>992.39052000000004</v>
      </c>
      <c r="J209" s="1">
        <v>1010.1722400000001</v>
      </c>
    </row>
    <row r="210" spans="1:10" hidden="1" x14ac:dyDescent="0.25">
      <c r="A210" t="s">
        <v>333</v>
      </c>
      <c r="B210" t="s">
        <v>172</v>
      </c>
      <c r="C210" s="1">
        <v>0</v>
      </c>
      <c r="D210" s="1">
        <v>181.27824000000001</v>
      </c>
      <c r="E210" s="1">
        <v>202.54608000000002</v>
      </c>
      <c r="F210" s="1">
        <v>215.21148000000002</v>
      </c>
      <c r="G210" s="1">
        <v>227.70132000000004</v>
      </c>
      <c r="H210" s="1">
        <v>242.1474</v>
      </c>
      <c r="I210" s="1">
        <v>290.04228000000001</v>
      </c>
      <c r="J210" s="1">
        <v>301.35336000000007</v>
      </c>
    </row>
    <row r="211" spans="1:10" hidden="1" x14ac:dyDescent="0.25">
      <c r="A211" t="s">
        <v>333</v>
      </c>
      <c r="B211" t="s">
        <v>181</v>
      </c>
      <c r="C211" s="1">
        <v>0</v>
      </c>
      <c r="D211" s="1">
        <v>134.11717000000002</v>
      </c>
      <c r="E211" s="1">
        <v>175.20888000000002</v>
      </c>
      <c r="F211" s="1">
        <v>178.01784000000001</v>
      </c>
      <c r="G211" s="1">
        <v>200.15633</v>
      </c>
      <c r="H211" s="1">
        <v>210.13674</v>
      </c>
      <c r="I211" s="1">
        <v>308.34155000000004</v>
      </c>
      <c r="J211" s="1">
        <v>323.47821000000005</v>
      </c>
    </row>
    <row r="212" spans="1:10" hidden="1" x14ac:dyDescent="0.25">
      <c r="A212" t="s">
        <v>333</v>
      </c>
      <c r="B212" t="s">
        <v>190</v>
      </c>
      <c r="C212" s="1">
        <v>0</v>
      </c>
      <c r="D212" s="1">
        <v>126.71670000000002</v>
      </c>
      <c r="E212" s="1">
        <v>189.60480000000001</v>
      </c>
      <c r="F212" s="1">
        <v>200.64000000000001</v>
      </c>
      <c r="G212" s="1">
        <v>250.8</v>
      </c>
      <c r="H212" s="1">
        <v>267.66630000000004</v>
      </c>
      <c r="I212" s="1">
        <v>339.98448000000002</v>
      </c>
      <c r="J212" s="1">
        <v>357.66588000000002</v>
      </c>
    </row>
    <row r="213" spans="1:10" hidden="1" x14ac:dyDescent="0.25">
      <c r="A213" t="s">
        <v>333</v>
      </c>
      <c r="B213" t="s">
        <v>199</v>
      </c>
      <c r="C213" s="1">
        <v>0</v>
      </c>
      <c r="D213" s="1">
        <v>166.88231999999999</v>
      </c>
      <c r="E213" s="1">
        <v>209.48070000000004</v>
      </c>
      <c r="F213" s="1">
        <v>220.76670000000001</v>
      </c>
      <c r="G213" s="1">
        <v>266.27436</v>
      </c>
      <c r="H213" s="1">
        <v>286.72710000000001</v>
      </c>
      <c r="I213" s="1">
        <v>381.94332000000003</v>
      </c>
      <c r="J213" s="1">
        <v>397.36752000000001</v>
      </c>
    </row>
    <row r="214" spans="1:10" hidden="1" x14ac:dyDescent="0.25">
      <c r="A214" t="s">
        <v>333</v>
      </c>
      <c r="B214" t="s">
        <v>208</v>
      </c>
      <c r="C214" s="1">
        <v>0</v>
      </c>
      <c r="D214" s="1">
        <v>107.9067</v>
      </c>
      <c r="E214" s="1">
        <v>120.63480000000001</v>
      </c>
      <c r="F214" s="1">
        <v>125.51880000000001</v>
      </c>
      <c r="G214" s="1">
        <v>163.02000000000001</v>
      </c>
      <c r="H214" s="1">
        <v>171.61056000000002</v>
      </c>
      <c r="I214" s="1">
        <v>209.53174000000001</v>
      </c>
      <c r="J214" s="1">
        <v>218.18368000000004</v>
      </c>
    </row>
    <row r="215" spans="1:10" hidden="1" x14ac:dyDescent="0.25">
      <c r="A215" t="s">
        <v>333</v>
      </c>
      <c r="B215" t="s">
        <v>217</v>
      </c>
      <c r="C215" s="1">
        <v>0</v>
      </c>
      <c r="D215" s="1">
        <v>156.26996000000003</v>
      </c>
      <c r="E215" s="1">
        <v>180.27295000000001</v>
      </c>
      <c r="F215" s="1">
        <v>193.60176000000001</v>
      </c>
      <c r="G215" s="1">
        <v>231.14641000000003</v>
      </c>
      <c r="H215" s="1">
        <v>245.34840000000003</v>
      </c>
      <c r="I215" s="1">
        <v>283.73004000000003</v>
      </c>
      <c r="J215" s="1">
        <v>302.30178000000001</v>
      </c>
    </row>
    <row r="216" spans="1:10" hidden="1" x14ac:dyDescent="0.25">
      <c r="A216" t="s">
        <v>333</v>
      </c>
      <c r="B216" t="s">
        <v>226</v>
      </c>
      <c r="C216" s="1">
        <v>0</v>
      </c>
      <c r="D216" s="1">
        <v>205.70517000000004</v>
      </c>
      <c r="E216" s="1">
        <v>252.95688000000004</v>
      </c>
      <c r="F216" s="1">
        <v>264.09394000000003</v>
      </c>
      <c r="G216" s="1">
        <v>290.77884000000006</v>
      </c>
      <c r="H216" s="1">
        <v>293.47560000000004</v>
      </c>
      <c r="I216" s="1">
        <v>395.96744000000001</v>
      </c>
      <c r="J216" s="1">
        <v>418.74008000000003</v>
      </c>
    </row>
    <row r="217" spans="1:10" hidden="1" x14ac:dyDescent="0.25">
      <c r="A217" t="s">
        <v>333</v>
      </c>
      <c r="B217" t="s">
        <v>235</v>
      </c>
      <c r="C217" s="1">
        <v>0</v>
      </c>
      <c r="D217" s="1">
        <v>293.63741000000005</v>
      </c>
      <c r="E217" s="1">
        <v>339.35836000000006</v>
      </c>
      <c r="F217" s="1">
        <v>367.20541000000003</v>
      </c>
      <c r="G217" s="1">
        <v>426.12086000000005</v>
      </c>
      <c r="H217" s="1">
        <v>435.87918000000008</v>
      </c>
      <c r="I217" s="1">
        <v>551.78167000000008</v>
      </c>
      <c r="J217" s="1">
        <v>567.20587000000012</v>
      </c>
    </row>
    <row r="218" spans="1:10" hidden="1" x14ac:dyDescent="0.25">
      <c r="A218" t="s">
        <v>333</v>
      </c>
      <c r="B218" t="s">
        <v>244</v>
      </c>
      <c r="C218" s="1">
        <v>0</v>
      </c>
      <c r="D218" s="1">
        <v>120.23352000000001</v>
      </c>
      <c r="E218" s="1">
        <v>142.95600000000002</v>
      </c>
      <c r="F218" s="1">
        <v>164.62622000000002</v>
      </c>
      <c r="G218" s="1">
        <v>178.18031000000002</v>
      </c>
      <c r="H218" s="1">
        <v>179.97364000000002</v>
      </c>
      <c r="I218" s="1">
        <v>224.71504000000002</v>
      </c>
      <c r="J218" s="1">
        <v>224.71504000000002</v>
      </c>
    </row>
    <row r="219" spans="1:10" hidden="1" x14ac:dyDescent="0.25">
      <c r="A219" t="s">
        <v>333</v>
      </c>
      <c r="B219" t="s">
        <v>253</v>
      </c>
      <c r="C219" s="1">
        <v>0</v>
      </c>
      <c r="D219" s="1">
        <v>120.2586</v>
      </c>
      <c r="E219" s="1">
        <v>131.99603999999999</v>
      </c>
      <c r="F219" s="1">
        <v>138.99336000000002</v>
      </c>
      <c r="G219" s="1">
        <v>168.36204000000001</v>
      </c>
      <c r="H219" s="1">
        <v>185.84280000000001</v>
      </c>
      <c r="I219" s="1">
        <v>276.08064000000002</v>
      </c>
      <c r="J219" s="1">
        <v>288.62064000000004</v>
      </c>
    </row>
    <row r="220" spans="1:10" hidden="1" x14ac:dyDescent="0.25">
      <c r="A220" t="s">
        <v>333</v>
      </c>
      <c r="B220" t="s">
        <v>37</v>
      </c>
      <c r="C220" s="1">
        <v>0</v>
      </c>
      <c r="D220" s="1">
        <v>126.03712000000002</v>
      </c>
      <c r="E220" s="1">
        <v>141.15024</v>
      </c>
      <c r="F220" s="1">
        <v>141.45120000000003</v>
      </c>
      <c r="G220" s="1">
        <v>175.56</v>
      </c>
      <c r="H220" s="1">
        <v>183.33150000000001</v>
      </c>
      <c r="I220" s="1">
        <v>258.57480000000004</v>
      </c>
      <c r="J220" s="1">
        <v>262.21646000000004</v>
      </c>
    </row>
    <row r="221" spans="1:10" hidden="1" x14ac:dyDescent="0.25">
      <c r="A221" t="s">
        <v>333</v>
      </c>
      <c r="B221" t="s">
        <v>270</v>
      </c>
      <c r="C221" s="1">
        <v>0</v>
      </c>
      <c r="D221" s="1">
        <v>146.24148</v>
      </c>
      <c r="E221" s="1">
        <v>163.86018000000001</v>
      </c>
      <c r="F221" s="1">
        <v>170.92020000000002</v>
      </c>
      <c r="G221" s="1">
        <v>228.25308000000004</v>
      </c>
      <c r="H221" s="1">
        <v>240.07830000000001</v>
      </c>
      <c r="I221" s="1">
        <v>272.21524000000005</v>
      </c>
      <c r="J221" s="1">
        <v>286.41052000000002</v>
      </c>
    </row>
    <row r="222" spans="1:10" hidden="1" x14ac:dyDescent="0.25">
      <c r="A222" t="s">
        <v>333</v>
      </c>
      <c r="B222" t="s">
        <v>279</v>
      </c>
      <c r="C222" s="1">
        <v>0</v>
      </c>
      <c r="D222" s="1">
        <v>163.02000000000001</v>
      </c>
      <c r="E222" s="1">
        <v>195.87480000000002</v>
      </c>
      <c r="F222" s="1">
        <v>214.68480000000002</v>
      </c>
      <c r="G222" s="1">
        <v>247.11170000000001</v>
      </c>
      <c r="H222" s="1">
        <v>251.14782000000002</v>
      </c>
      <c r="I222" s="1">
        <v>281.77380000000005</v>
      </c>
      <c r="J222" s="1">
        <v>281.77380000000005</v>
      </c>
    </row>
    <row r="223" spans="1:10" hidden="1" x14ac:dyDescent="0.25">
      <c r="A223" t="s">
        <v>333</v>
      </c>
      <c r="B223" t="s">
        <v>288</v>
      </c>
      <c r="C223" s="1">
        <v>0</v>
      </c>
      <c r="D223" s="1">
        <v>194.21952000000002</v>
      </c>
      <c r="E223" s="1">
        <v>239.99459000000002</v>
      </c>
      <c r="F223" s="1">
        <v>262.97634000000005</v>
      </c>
      <c r="G223" s="1">
        <v>279.26580000000001</v>
      </c>
      <c r="H223" s="1">
        <v>320.08350000000002</v>
      </c>
      <c r="I223" s="1">
        <v>383.21052000000003</v>
      </c>
      <c r="J223" s="1">
        <v>396.08283000000006</v>
      </c>
    </row>
    <row r="224" spans="1:10" hidden="1" x14ac:dyDescent="0.25">
      <c r="A224" t="s">
        <v>333</v>
      </c>
      <c r="B224" t="s">
        <v>297</v>
      </c>
      <c r="C224" s="1">
        <v>0</v>
      </c>
      <c r="D224" s="1">
        <v>173.27695</v>
      </c>
      <c r="E224" s="1">
        <v>224.80700000000002</v>
      </c>
      <c r="F224" s="1">
        <v>233.63274000000004</v>
      </c>
      <c r="G224" s="1">
        <v>248.27638000000005</v>
      </c>
      <c r="H224" s="1">
        <v>251.90022000000002</v>
      </c>
      <c r="I224" s="1">
        <v>377.72669000000002</v>
      </c>
      <c r="J224" s="1">
        <v>404.92749000000003</v>
      </c>
    </row>
    <row r="225" spans="1:10" hidden="1" x14ac:dyDescent="0.25">
      <c r="A225" t="s">
        <v>333</v>
      </c>
      <c r="B225" t="s">
        <v>306</v>
      </c>
      <c r="C225" s="1">
        <v>0</v>
      </c>
      <c r="D225" s="1">
        <v>114.43553000000001</v>
      </c>
      <c r="E225" s="1">
        <v>192.71472000000003</v>
      </c>
      <c r="F225" s="1">
        <v>201.16668000000004</v>
      </c>
      <c r="G225" s="1">
        <v>248.05066000000002</v>
      </c>
      <c r="H225" s="1">
        <v>252.08832000000001</v>
      </c>
      <c r="I225" s="1">
        <v>365.91720000000004</v>
      </c>
      <c r="J225" s="1">
        <v>378.55752000000001</v>
      </c>
    </row>
    <row r="226" spans="1:10" hidden="1" x14ac:dyDescent="0.25">
      <c r="A226" t="s">
        <v>333</v>
      </c>
      <c r="B226" t="s">
        <v>315</v>
      </c>
      <c r="C226" s="1">
        <v>0</v>
      </c>
      <c r="D226" s="1">
        <v>230.00868000000003</v>
      </c>
      <c r="E226" s="1">
        <v>286.35232999999999</v>
      </c>
      <c r="F226" s="1">
        <v>315.44370000000004</v>
      </c>
      <c r="G226" s="1">
        <v>341.22022000000004</v>
      </c>
      <c r="H226" s="1">
        <v>347.02932000000004</v>
      </c>
      <c r="I226" s="1">
        <v>493.05168000000003</v>
      </c>
      <c r="J226" s="1">
        <v>516.70212000000004</v>
      </c>
    </row>
    <row r="227" spans="1:10" hidden="1" x14ac:dyDescent="0.25">
      <c r="A227" t="s">
        <v>333</v>
      </c>
      <c r="B227" t="s">
        <v>324</v>
      </c>
      <c r="C227" s="1">
        <v>0</v>
      </c>
      <c r="D227" s="1">
        <v>400.96870000000001</v>
      </c>
      <c r="E227" s="1">
        <v>428.79881</v>
      </c>
      <c r="F227" s="1">
        <v>466.20222000000001</v>
      </c>
      <c r="G227" s="1">
        <v>501.75840000000005</v>
      </c>
      <c r="H227" s="1">
        <v>541.86</v>
      </c>
      <c r="I227" s="1">
        <v>710.14526000000001</v>
      </c>
      <c r="J227" s="1">
        <v>761.47896000000003</v>
      </c>
    </row>
    <row r="228" spans="1:10" hidden="1" x14ac:dyDescent="0.25">
      <c r="A228" t="s">
        <v>333</v>
      </c>
      <c r="B228" t="s">
        <v>333</v>
      </c>
      <c r="C228" s="1">
        <v>0</v>
      </c>
      <c r="D228" s="1">
        <v>89.297340000000005</v>
      </c>
      <c r="E228" s="1">
        <v>106.88040000000001</v>
      </c>
      <c r="F228" s="1">
        <v>106.88040000000001</v>
      </c>
      <c r="G228" s="1">
        <v>156.85032000000001</v>
      </c>
      <c r="H228" s="1">
        <v>168.09870000000001</v>
      </c>
      <c r="I228" s="1">
        <v>214.03272000000001</v>
      </c>
      <c r="J228" s="1">
        <v>198.58344</v>
      </c>
    </row>
    <row r="229" spans="1:10" hidden="1" x14ac:dyDescent="0.25">
      <c r="A229" t="s">
        <v>333</v>
      </c>
      <c r="B229" t="s">
        <v>342</v>
      </c>
      <c r="C229" s="1">
        <v>0</v>
      </c>
      <c r="D229" s="1">
        <v>101.72448</v>
      </c>
      <c r="E229" s="1">
        <v>119.18016000000001</v>
      </c>
      <c r="F229" s="1">
        <v>130.66679999999999</v>
      </c>
      <c r="G229" s="1">
        <v>176.01144000000002</v>
      </c>
      <c r="H229" s="1">
        <v>191.17230000000004</v>
      </c>
      <c r="I229" s="1">
        <v>220.97988000000004</v>
      </c>
      <c r="J229" s="1">
        <v>232.82952</v>
      </c>
    </row>
    <row r="230" spans="1:10" hidden="1" x14ac:dyDescent="0.25">
      <c r="A230" t="s">
        <v>333</v>
      </c>
      <c r="B230" t="s">
        <v>351</v>
      </c>
      <c r="C230" s="1">
        <v>0</v>
      </c>
      <c r="D230" s="1">
        <v>194.57064</v>
      </c>
      <c r="E230" s="1">
        <v>213.74430000000001</v>
      </c>
      <c r="F230" s="1">
        <v>225.35634000000005</v>
      </c>
      <c r="G230" s="1">
        <v>252.00384000000003</v>
      </c>
      <c r="H230" s="1">
        <v>291.86849999999998</v>
      </c>
      <c r="I230" s="1">
        <v>402.55589000000003</v>
      </c>
      <c r="J230" s="1">
        <v>426.71178000000003</v>
      </c>
    </row>
    <row r="231" spans="1:10" hidden="1" x14ac:dyDescent="0.25">
      <c r="A231" t="s">
        <v>333</v>
      </c>
      <c r="B231" t="s">
        <v>360</v>
      </c>
      <c r="C231" s="1">
        <v>0</v>
      </c>
      <c r="D231" s="1">
        <v>312.67236000000003</v>
      </c>
      <c r="E231" s="1">
        <v>361.34010000000001</v>
      </c>
      <c r="F231" s="1">
        <v>375.20934000000005</v>
      </c>
      <c r="G231" s="1">
        <v>423.72660000000008</v>
      </c>
      <c r="H231" s="1">
        <v>449.99790000000002</v>
      </c>
      <c r="I231" s="1">
        <v>594.39908000000003</v>
      </c>
      <c r="J231" s="1">
        <v>627.56122000000016</v>
      </c>
    </row>
    <row r="232" spans="1:10" hidden="1" x14ac:dyDescent="0.25">
      <c r="A232" t="s">
        <v>333</v>
      </c>
      <c r="B232" t="s">
        <v>369</v>
      </c>
      <c r="C232" s="1">
        <v>0</v>
      </c>
      <c r="D232" s="1">
        <v>344.41330000000005</v>
      </c>
      <c r="E232" s="1">
        <v>387.10188000000005</v>
      </c>
      <c r="F232" s="1">
        <v>418.65054000000003</v>
      </c>
      <c r="G232" s="1">
        <v>472.96656000000007</v>
      </c>
      <c r="H232" s="1">
        <v>485.36730000000006</v>
      </c>
      <c r="I232" s="1">
        <v>706.03214000000003</v>
      </c>
      <c r="J232" s="1">
        <v>724.02946000000009</v>
      </c>
    </row>
    <row r="233" spans="1:10" hidden="1" x14ac:dyDescent="0.25">
      <c r="A233" t="s">
        <v>333</v>
      </c>
      <c r="B233" t="s">
        <v>378</v>
      </c>
      <c r="C233" s="1">
        <v>0</v>
      </c>
      <c r="D233" s="1">
        <v>186.14376000000001</v>
      </c>
      <c r="E233" s="1">
        <v>271.25274000000002</v>
      </c>
      <c r="F233" s="1">
        <v>280.16868000000005</v>
      </c>
      <c r="G233" s="1">
        <v>316.22976000000006</v>
      </c>
      <c r="H233" s="1">
        <v>318.74810000000002</v>
      </c>
      <c r="I233" s="1">
        <v>469.64742000000007</v>
      </c>
      <c r="J233" s="1">
        <v>470.77602000000007</v>
      </c>
    </row>
    <row r="234" spans="1:10" hidden="1" x14ac:dyDescent="0.25">
      <c r="A234" t="s">
        <v>333</v>
      </c>
      <c r="B234" t="s">
        <v>387</v>
      </c>
      <c r="C234" s="1">
        <v>0</v>
      </c>
      <c r="D234" s="1">
        <v>144.31032000000002</v>
      </c>
      <c r="E234" s="1">
        <v>167.39723000000004</v>
      </c>
      <c r="F234" s="1">
        <v>162.35538</v>
      </c>
      <c r="G234" s="1">
        <v>179.87376000000003</v>
      </c>
      <c r="H234" s="1">
        <v>192.11280000000002</v>
      </c>
      <c r="I234" s="1">
        <v>251.33856000000003</v>
      </c>
      <c r="J234" s="1">
        <v>263.44031999999999</v>
      </c>
    </row>
    <row r="235" spans="1:10" hidden="1" x14ac:dyDescent="0.25">
      <c r="A235" t="s">
        <v>333</v>
      </c>
      <c r="B235" t="s">
        <v>396</v>
      </c>
      <c r="C235" s="1">
        <v>0</v>
      </c>
      <c r="D235" s="1">
        <v>176.37268</v>
      </c>
      <c r="E235" s="1">
        <v>205.45459000000002</v>
      </c>
      <c r="F235" s="1">
        <v>207.02154000000002</v>
      </c>
      <c r="G235" s="1">
        <v>230.53536</v>
      </c>
      <c r="H235" s="1">
        <v>235.26096000000004</v>
      </c>
      <c r="I235" s="1">
        <v>320.53746999999998</v>
      </c>
      <c r="J235" s="1">
        <v>337.74235000000004</v>
      </c>
    </row>
    <row r="236" spans="1:10" hidden="1" x14ac:dyDescent="0.25">
      <c r="A236" t="s">
        <v>333</v>
      </c>
      <c r="B236" t="s">
        <v>405</v>
      </c>
      <c r="C236" s="1">
        <v>0</v>
      </c>
      <c r="D236" s="1">
        <v>120.44670000000001</v>
      </c>
      <c r="E236" s="1">
        <v>138.49176</v>
      </c>
      <c r="F236" s="1">
        <v>145.41384000000002</v>
      </c>
      <c r="G236" s="1">
        <v>168.36204000000001</v>
      </c>
      <c r="H236" s="1">
        <v>179.5728</v>
      </c>
      <c r="I236" s="1">
        <v>240.89340000000001</v>
      </c>
      <c r="J236" s="1">
        <v>251.42832000000001</v>
      </c>
    </row>
    <row r="237" spans="1:10" hidden="1" x14ac:dyDescent="0.25">
      <c r="A237" t="s">
        <v>333</v>
      </c>
      <c r="B237" t="s">
        <v>414</v>
      </c>
      <c r="C237" s="1">
        <v>0</v>
      </c>
      <c r="D237" s="1">
        <v>132.68893</v>
      </c>
      <c r="E237" s="1">
        <v>148.76367000000002</v>
      </c>
      <c r="F237" s="1">
        <v>165.13717</v>
      </c>
      <c r="G237" s="1">
        <v>188.49974000000003</v>
      </c>
      <c r="H237" s="1">
        <v>197.00208000000003</v>
      </c>
      <c r="I237" s="1">
        <v>269.61154000000005</v>
      </c>
      <c r="J237" s="1">
        <v>279.89434</v>
      </c>
    </row>
    <row r="238" spans="1:10" hidden="1" x14ac:dyDescent="0.25">
      <c r="A238" t="s">
        <v>333</v>
      </c>
      <c r="B238" t="s">
        <v>423</v>
      </c>
      <c r="C238" s="1">
        <v>0</v>
      </c>
      <c r="D238" s="1">
        <v>194.57064</v>
      </c>
      <c r="E238" s="1">
        <v>221.66958000000002</v>
      </c>
      <c r="F238" s="1">
        <v>248.14152000000001</v>
      </c>
      <c r="G238" s="1">
        <v>287.99364000000003</v>
      </c>
      <c r="H238" s="1">
        <v>303.59340000000003</v>
      </c>
      <c r="I238" s="1">
        <v>422.27196000000004</v>
      </c>
      <c r="J238" s="1">
        <v>437.57076000000006</v>
      </c>
    </row>
    <row r="239" spans="1:10" hidden="1" x14ac:dyDescent="0.25">
      <c r="A239" t="s">
        <v>333</v>
      </c>
      <c r="B239" t="s">
        <v>432</v>
      </c>
      <c r="C239" s="1">
        <v>0</v>
      </c>
      <c r="D239" s="1">
        <v>120.44670000000001</v>
      </c>
      <c r="E239" s="1">
        <v>139.44480000000001</v>
      </c>
      <c r="F239" s="1">
        <v>151.98480000000001</v>
      </c>
      <c r="G239" s="1">
        <v>177.59148000000002</v>
      </c>
      <c r="H239" s="1">
        <v>199.57410000000002</v>
      </c>
      <c r="I239" s="1">
        <v>235.48767000000001</v>
      </c>
      <c r="J239" s="1">
        <v>242.51524000000003</v>
      </c>
    </row>
    <row r="240" spans="1:10" hidden="1" x14ac:dyDescent="0.25">
      <c r="A240" t="s">
        <v>333</v>
      </c>
      <c r="B240" t="s">
        <v>441</v>
      </c>
      <c r="C240" s="1">
        <v>0</v>
      </c>
      <c r="D240" s="1">
        <v>136.91172</v>
      </c>
      <c r="E240" s="1">
        <v>169.59096</v>
      </c>
      <c r="F240" s="1">
        <v>181.14030000000002</v>
      </c>
      <c r="G240" s="1">
        <v>200.41427999999999</v>
      </c>
      <c r="H240" s="1">
        <v>222.73614000000003</v>
      </c>
      <c r="I240" s="1">
        <v>263.08920000000001</v>
      </c>
      <c r="J240" s="1">
        <v>273.37915000000004</v>
      </c>
    </row>
    <row r="241" spans="1:10" hidden="1" x14ac:dyDescent="0.25">
      <c r="A241" t="s">
        <v>333</v>
      </c>
      <c r="B241" t="s">
        <v>450</v>
      </c>
      <c r="C241" s="1">
        <v>0</v>
      </c>
      <c r="D241" s="1">
        <v>198.35772</v>
      </c>
      <c r="E241" s="1">
        <v>258.81713000000002</v>
      </c>
      <c r="F241" s="1">
        <v>295.26684</v>
      </c>
      <c r="G241" s="1">
        <v>323.30968999999999</v>
      </c>
      <c r="H241" s="1">
        <v>372.99064000000004</v>
      </c>
      <c r="I241" s="1">
        <v>454.16558000000003</v>
      </c>
      <c r="J241" s="1">
        <v>468.05363000000006</v>
      </c>
    </row>
    <row r="242" spans="1:10" hidden="1" x14ac:dyDescent="0.25">
      <c r="A242" t="s">
        <v>333</v>
      </c>
      <c r="B242" t="s">
        <v>459</v>
      </c>
      <c r="C242" s="1">
        <v>0</v>
      </c>
      <c r="D242" s="1">
        <v>216.80406000000002</v>
      </c>
      <c r="E242" s="1">
        <v>255.55849000000001</v>
      </c>
      <c r="F242" s="1">
        <v>274.70542</v>
      </c>
      <c r="G242" s="1">
        <v>315.58120000000002</v>
      </c>
      <c r="H242" s="1">
        <v>323.07440000000003</v>
      </c>
      <c r="I242" s="1">
        <v>460.86326000000008</v>
      </c>
      <c r="J242" s="1">
        <v>470.77602000000007</v>
      </c>
    </row>
    <row r="243" spans="1:10" hidden="1" x14ac:dyDescent="0.25">
      <c r="A243" t="s">
        <v>333</v>
      </c>
      <c r="B243" t="s">
        <v>468</v>
      </c>
      <c r="C243" s="1">
        <v>0</v>
      </c>
      <c r="D243" s="1">
        <v>210.42120000000003</v>
      </c>
      <c r="E243" s="1">
        <v>249.90119000000001</v>
      </c>
      <c r="F243" s="1">
        <v>269.83572000000004</v>
      </c>
      <c r="G243" s="1">
        <v>292.70868000000002</v>
      </c>
      <c r="H243" s="1">
        <v>330.20196000000004</v>
      </c>
      <c r="I243" s="1">
        <v>474.81456000000009</v>
      </c>
      <c r="J243" s="1">
        <v>494.55252000000007</v>
      </c>
    </row>
    <row r="244" spans="1:10" hidden="1" x14ac:dyDescent="0.25">
      <c r="A244" t="s">
        <v>333</v>
      </c>
      <c r="B244" t="s">
        <v>477</v>
      </c>
      <c r="C244" s="1">
        <v>0</v>
      </c>
      <c r="D244" s="1">
        <v>157.07604000000001</v>
      </c>
      <c r="E244" s="1">
        <v>217.6944</v>
      </c>
      <c r="F244" s="1">
        <v>230.23440000000002</v>
      </c>
      <c r="G244" s="1">
        <v>257.04888000000005</v>
      </c>
      <c r="H244" s="1">
        <v>289.71359999999999</v>
      </c>
      <c r="I244" s="1">
        <v>381.39156000000003</v>
      </c>
      <c r="J244" s="1">
        <v>414.27144000000004</v>
      </c>
    </row>
    <row r="245" spans="1:10" hidden="1" x14ac:dyDescent="0.25">
      <c r="A245" t="s">
        <v>333</v>
      </c>
      <c r="B245" t="s">
        <v>486</v>
      </c>
      <c r="C245" s="1">
        <v>0</v>
      </c>
      <c r="D245" s="1">
        <v>156.85032000000001</v>
      </c>
      <c r="E245" s="1">
        <v>191.03711000000001</v>
      </c>
      <c r="F245" s="1">
        <v>203.53674000000001</v>
      </c>
      <c r="G245" s="1">
        <v>246.19716</v>
      </c>
      <c r="H245" s="1">
        <v>255.97660000000002</v>
      </c>
      <c r="I245" s="1">
        <v>360.77580000000006</v>
      </c>
      <c r="J245" s="1">
        <v>371.15892000000002</v>
      </c>
    </row>
    <row r="246" spans="1:10" hidden="1" x14ac:dyDescent="0.25">
      <c r="A246" t="s">
        <v>333</v>
      </c>
      <c r="B246" t="s">
        <v>495</v>
      </c>
      <c r="C246" s="1">
        <v>0</v>
      </c>
      <c r="D246" s="1">
        <v>194.87160000000003</v>
      </c>
      <c r="E246" s="1">
        <v>212.18164000000002</v>
      </c>
      <c r="F246" s="1">
        <v>226.18156000000002</v>
      </c>
      <c r="G246" s="1">
        <v>271.91736000000003</v>
      </c>
      <c r="H246" s="1">
        <v>277.82040000000001</v>
      </c>
      <c r="I246" s="1">
        <v>395.05334000000005</v>
      </c>
      <c r="J246" s="1">
        <v>423.84518000000003</v>
      </c>
    </row>
    <row r="247" spans="1:10" hidden="1" x14ac:dyDescent="0.25">
      <c r="A247" t="s">
        <v>333</v>
      </c>
      <c r="B247" t="s">
        <v>504</v>
      </c>
      <c r="C247" s="1">
        <v>0</v>
      </c>
      <c r="D247" s="1">
        <v>162.09204000000003</v>
      </c>
      <c r="E247" s="1">
        <v>234.62340000000003</v>
      </c>
      <c r="F247" s="1">
        <v>244.53000000000003</v>
      </c>
      <c r="G247" s="1">
        <v>285.58728000000002</v>
      </c>
      <c r="H247" s="1">
        <v>290.08980000000003</v>
      </c>
      <c r="I247" s="1">
        <v>413.79415</v>
      </c>
      <c r="J247" s="1">
        <v>423.04867000000002</v>
      </c>
    </row>
    <row r="248" spans="1:10" hidden="1" x14ac:dyDescent="0.25">
      <c r="A248" t="s">
        <v>333</v>
      </c>
      <c r="B248" t="s">
        <v>513</v>
      </c>
      <c r="C248" s="1">
        <v>0</v>
      </c>
      <c r="D248" s="1">
        <v>252.02892000000003</v>
      </c>
      <c r="E248" s="1">
        <v>294.11316000000005</v>
      </c>
      <c r="F248" s="1">
        <v>323.21850000000001</v>
      </c>
      <c r="G248" s="1">
        <v>374.34408000000002</v>
      </c>
      <c r="H248" s="1">
        <v>395.1354</v>
      </c>
      <c r="I248" s="1">
        <v>503.15496000000002</v>
      </c>
      <c r="J248" s="1">
        <v>540.35256000000004</v>
      </c>
    </row>
    <row r="249" spans="1:10" hidden="1" x14ac:dyDescent="0.25">
      <c r="A249" t="s">
        <v>333</v>
      </c>
      <c r="B249" t="s">
        <v>522</v>
      </c>
      <c r="C249" s="1">
        <v>0</v>
      </c>
      <c r="D249" s="1">
        <v>210.53406000000001</v>
      </c>
      <c r="E249" s="1">
        <v>248.65984</v>
      </c>
      <c r="F249" s="1">
        <v>268.65696000000003</v>
      </c>
      <c r="G249" s="1">
        <v>298.70137</v>
      </c>
      <c r="H249" s="1">
        <v>303.69746000000004</v>
      </c>
      <c r="I249" s="1">
        <v>333.76463999999999</v>
      </c>
      <c r="J249" s="1">
        <v>365.99243999999999</v>
      </c>
    </row>
    <row r="250" spans="1:10" hidden="1" x14ac:dyDescent="0.25">
      <c r="A250" t="s">
        <v>333</v>
      </c>
      <c r="B250" t="s">
        <v>531</v>
      </c>
      <c r="C250" s="1">
        <v>0</v>
      </c>
      <c r="D250" s="1">
        <v>128.79086000000001</v>
      </c>
      <c r="E250" s="1">
        <v>149.48934000000003</v>
      </c>
      <c r="F250" s="1">
        <v>152.58672000000001</v>
      </c>
      <c r="G250" s="1">
        <v>192.41376000000002</v>
      </c>
      <c r="H250" s="1">
        <v>208.34616</v>
      </c>
      <c r="I250" s="1">
        <v>288.62064000000004</v>
      </c>
      <c r="J250" s="1">
        <v>303.66281000000004</v>
      </c>
    </row>
    <row r="251" spans="1:10" hidden="1" x14ac:dyDescent="0.25">
      <c r="A251" t="s">
        <v>333</v>
      </c>
      <c r="B251" t="s">
        <v>540</v>
      </c>
      <c r="C251" s="1">
        <v>0</v>
      </c>
      <c r="D251" s="1">
        <v>149.67744000000002</v>
      </c>
      <c r="E251" s="1">
        <v>173.86710000000002</v>
      </c>
      <c r="F251" s="1">
        <v>186.40710000000004</v>
      </c>
      <c r="G251" s="1">
        <v>215.98896000000002</v>
      </c>
      <c r="H251" s="1">
        <v>232.05270000000002</v>
      </c>
      <c r="I251" s="1">
        <v>329.71070000000003</v>
      </c>
      <c r="J251" s="1">
        <v>349.12262000000004</v>
      </c>
    </row>
    <row r="252" spans="1:10" hidden="1" x14ac:dyDescent="0.25">
      <c r="A252" t="s">
        <v>333</v>
      </c>
      <c r="B252" t="s">
        <v>549</v>
      </c>
      <c r="C252" s="1">
        <v>0</v>
      </c>
      <c r="D252" s="1">
        <v>144.31032000000002</v>
      </c>
      <c r="E252" s="1">
        <v>157.07604000000001</v>
      </c>
      <c r="F252" s="1">
        <v>165.12672000000001</v>
      </c>
      <c r="G252" s="1">
        <v>192.41376000000002</v>
      </c>
      <c r="H252" s="1">
        <v>204.65280000000001</v>
      </c>
      <c r="I252" s="1">
        <v>288.62064000000004</v>
      </c>
      <c r="J252" s="1">
        <v>306.40235999999999</v>
      </c>
    </row>
    <row r="253" spans="1:10" hidden="1" x14ac:dyDescent="0.25">
      <c r="A253" t="s">
        <v>333</v>
      </c>
      <c r="B253" t="s">
        <v>558</v>
      </c>
      <c r="C253" s="1">
        <v>0</v>
      </c>
      <c r="D253" s="1">
        <v>171.07068000000001</v>
      </c>
      <c r="E253" s="1">
        <v>193.26461</v>
      </c>
      <c r="F253" s="1">
        <v>208.16400000000002</v>
      </c>
      <c r="G253" s="1">
        <v>240.24638000000002</v>
      </c>
      <c r="H253" s="1">
        <v>270.55050000000006</v>
      </c>
      <c r="I253" s="1">
        <v>362.85744000000005</v>
      </c>
      <c r="J253" s="1">
        <v>384.75228000000004</v>
      </c>
    </row>
    <row r="254" spans="1:10" hidden="1" x14ac:dyDescent="0.25">
      <c r="A254" t="s">
        <v>333</v>
      </c>
      <c r="B254" t="s">
        <v>567</v>
      </c>
      <c r="C254" s="1">
        <v>0</v>
      </c>
      <c r="D254" s="1">
        <v>178.15853000000001</v>
      </c>
      <c r="E254" s="1">
        <v>199.38380000000004</v>
      </c>
      <c r="F254" s="1">
        <v>228.84367000000003</v>
      </c>
      <c r="G254" s="1">
        <v>264.69432</v>
      </c>
      <c r="H254" s="1">
        <v>264.12540000000001</v>
      </c>
      <c r="I254" s="1">
        <v>352.24860000000001</v>
      </c>
      <c r="J254" s="1">
        <v>370.56228000000004</v>
      </c>
    </row>
    <row r="255" spans="1:10" hidden="1" x14ac:dyDescent="0.25">
      <c r="A255" t="s">
        <v>333</v>
      </c>
      <c r="B255" t="s">
        <v>585</v>
      </c>
      <c r="C255" s="1">
        <v>0</v>
      </c>
      <c r="D255" s="1">
        <v>300.96000000000004</v>
      </c>
      <c r="E255" s="1">
        <v>332.31000000000006</v>
      </c>
      <c r="F255" s="1">
        <v>344.85</v>
      </c>
      <c r="G255" s="1">
        <v>363.66000000000008</v>
      </c>
      <c r="H255" s="1">
        <v>382.47</v>
      </c>
      <c r="I255" s="1">
        <v>441.90960000000001</v>
      </c>
      <c r="J255" s="1">
        <v>454.63770000000005</v>
      </c>
    </row>
    <row r="256" spans="1:10" hidden="1" x14ac:dyDescent="0.25">
      <c r="A256" t="s">
        <v>333</v>
      </c>
      <c r="B256" t="s">
        <v>594</v>
      </c>
      <c r="C256" s="1">
        <v>0</v>
      </c>
      <c r="D256" s="1">
        <v>326.46636000000001</v>
      </c>
      <c r="E256" s="1">
        <v>359.17156000000006</v>
      </c>
      <c r="F256" s="1">
        <v>380.13756000000006</v>
      </c>
      <c r="G256" s="1">
        <v>396.16368</v>
      </c>
      <c r="H256" s="1">
        <v>414.56118000000004</v>
      </c>
      <c r="I256" s="1">
        <v>581.49222999999995</v>
      </c>
      <c r="J256" s="1">
        <v>596.91642999999999</v>
      </c>
    </row>
    <row r="257" spans="1:10" hidden="1" x14ac:dyDescent="0.25">
      <c r="A257" t="s">
        <v>333</v>
      </c>
      <c r="B257" t="s">
        <v>603</v>
      </c>
      <c r="C257" s="1">
        <v>0</v>
      </c>
      <c r="D257" s="1">
        <v>163.62357000000003</v>
      </c>
      <c r="E257" s="1">
        <v>204.05088000000001</v>
      </c>
      <c r="F257" s="1">
        <v>213.18000000000004</v>
      </c>
      <c r="G257" s="1">
        <v>236.82890000000003</v>
      </c>
      <c r="H257" s="1">
        <v>248.70252000000002</v>
      </c>
      <c r="I257" s="1">
        <v>342.61941999999999</v>
      </c>
      <c r="J257" s="1">
        <v>370.03032000000007</v>
      </c>
    </row>
    <row r="258" spans="1:10" hidden="1" x14ac:dyDescent="0.25">
      <c r="A258" t="s">
        <v>333</v>
      </c>
      <c r="B258" t="s">
        <v>612</v>
      </c>
      <c r="C258" s="1">
        <v>0</v>
      </c>
      <c r="D258" s="1">
        <v>182.12117000000001</v>
      </c>
      <c r="E258" s="1">
        <v>199.68476000000001</v>
      </c>
      <c r="F258" s="1">
        <v>229.57231000000002</v>
      </c>
      <c r="G258" s="1">
        <v>263.56572</v>
      </c>
      <c r="H258" s="1">
        <v>259.86180000000002</v>
      </c>
      <c r="I258" s="1">
        <v>352.24860000000001</v>
      </c>
      <c r="J258" s="1">
        <v>370.56228000000004</v>
      </c>
    </row>
    <row r="259" spans="1:10" hidden="1" x14ac:dyDescent="0.25">
      <c r="A259" t="s">
        <v>333</v>
      </c>
      <c r="B259" t="s">
        <v>621</v>
      </c>
      <c r="C259" s="1">
        <v>0</v>
      </c>
      <c r="D259" s="1">
        <v>214.53432000000004</v>
      </c>
      <c r="E259" s="1">
        <v>258.81713000000002</v>
      </c>
      <c r="F259" s="1">
        <v>281.72363999999999</v>
      </c>
      <c r="G259" s="1">
        <v>355.43376000000001</v>
      </c>
      <c r="H259" s="1">
        <v>368.10004000000004</v>
      </c>
      <c r="I259" s="1">
        <v>426.48540000000003</v>
      </c>
      <c r="J259" s="1">
        <v>443.13852000000003</v>
      </c>
    </row>
    <row r="260" spans="1:10" hidden="1" x14ac:dyDescent="0.25">
      <c r="A260" t="s">
        <v>333</v>
      </c>
      <c r="B260" t="s">
        <v>630</v>
      </c>
      <c r="C260" s="1">
        <v>0</v>
      </c>
      <c r="D260" s="1">
        <v>171.87401</v>
      </c>
      <c r="E260" s="1">
        <v>211.27392000000003</v>
      </c>
      <c r="F260" s="1">
        <v>225.72</v>
      </c>
      <c r="G260" s="1">
        <v>248.05066000000002</v>
      </c>
      <c r="H260" s="1">
        <v>253.21692000000004</v>
      </c>
      <c r="I260" s="1">
        <v>351.00901000000005</v>
      </c>
      <c r="J260" s="1">
        <v>351.00901000000005</v>
      </c>
    </row>
    <row r="261" spans="1:10" hidden="1" x14ac:dyDescent="0.25">
      <c r="A261" t="s">
        <v>333</v>
      </c>
      <c r="B261" t="s">
        <v>639</v>
      </c>
      <c r="C261" s="1">
        <v>0</v>
      </c>
      <c r="D261" s="1">
        <v>237.10621</v>
      </c>
      <c r="E261" s="1">
        <v>258.81713000000002</v>
      </c>
      <c r="F261" s="1">
        <v>284.94191000000001</v>
      </c>
      <c r="G261" s="1">
        <v>323.30968999999999</v>
      </c>
      <c r="H261" s="1">
        <v>337.66326000000004</v>
      </c>
      <c r="I261" s="1">
        <v>431.40735000000001</v>
      </c>
      <c r="J261" s="1">
        <v>465.42144000000008</v>
      </c>
    </row>
    <row r="262" spans="1:10" hidden="1" x14ac:dyDescent="0.25">
      <c r="A262" t="s">
        <v>333</v>
      </c>
      <c r="B262" t="s">
        <v>648</v>
      </c>
      <c r="C262" s="1">
        <v>0</v>
      </c>
      <c r="D262" s="1">
        <v>192.41376000000002</v>
      </c>
      <c r="E262" s="1">
        <v>276.53208000000001</v>
      </c>
      <c r="F262" s="1">
        <v>286.43868000000003</v>
      </c>
      <c r="G262" s="1">
        <v>323.76905000000005</v>
      </c>
      <c r="H262" s="1">
        <v>336.80833999999999</v>
      </c>
      <c r="I262" s="1">
        <v>483.42437000000001</v>
      </c>
      <c r="J262" s="1">
        <v>497.66431000000006</v>
      </c>
    </row>
    <row r="263" spans="1:10" hidden="1" x14ac:dyDescent="0.25">
      <c r="A263" t="s">
        <v>333</v>
      </c>
      <c r="B263" t="s">
        <v>657</v>
      </c>
      <c r="C263" s="1">
        <v>0</v>
      </c>
      <c r="D263" s="1">
        <v>203.12291999999999</v>
      </c>
      <c r="E263" s="1">
        <v>245.84670000000003</v>
      </c>
      <c r="F263" s="1">
        <v>251.85336000000004</v>
      </c>
      <c r="G263" s="1">
        <v>347.38308000000001</v>
      </c>
      <c r="H263" s="1">
        <v>364.53780000000006</v>
      </c>
      <c r="I263" s="1">
        <v>506.87934000000001</v>
      </c>
      <c r="J263" s="1">
        <v>521.20001999999999</v>
      </c>
    </row>
    <row r="264" spans="1:10" hidden="1" x14ac:dyDescent="0.25">
      <c r="A264" t="s">
        <v>333</v>
      </c>
      <c r="B264" t="s">
        <v>666</v>
      </c>
      <c r="C264" s="1">
        <v>0</v>
      </c>
      <c r="D264" s="1">
        <v>303.54324000000003</v>
      </c>
      <c r="E264" s="1">
        <v>352.76274000000001</v>
      </c>
      <c r="F264" s="1">
        <v>381.47934000000004</v>
      </c>
      <c r="G264" s="1">
        <v>420.59160000000003</v>
      </c>
      <c r="H264" s="1">
        <v>477.83670000000001</v>
      </c>
      <c r="I264" s="1">
        <v>577.47008000000005</v>
      </c>
      <c r="J264" s="1">
        <v>636.52336000000003</v>
      </c>
    </row>
    <row r="265" spans="1:10" hidden="1" x14ac:dyDescent="0.25">
      <c r="A265" t="s">
        <v>333</v>
      </c>
      <c r="B265" t="s">
        <v>675</v>
      </c>
      <c r="C265" s="1">
        <v>0</v>
      </c>
      <c r="D265" s="1">
        <v>168.45059000000001</v>
      </c>
      <c r="E265" s="1">
        <v>217.14264000000003</v>
      </c>
      <c r="F265" s="1">
        <v>228.72960000000003</v>
      </c>
      <c r="G265" s="1">
        <v>254.14510000000001</v>
      </c>
      <c r="H265" s="1">
        <v>256.79082000000005</v>
      </c>
      <c r="I265" s="1">
        <v>326.10270000000003</v>
      </c>
      <c r="J265" s="1">
        <v>341.35133999999999</v>
      </c>
    </row>
    <row r="266" spans="1:10" hidden="1" x14ac:dyDescent="0.25">
      <c r="A266" t="s">
        <v>333</v>
      </c>
      <c r="B266" t="s">
        <v>684</v>
      </c>
      <c r="C266" s="1">
        <v>0</v>
      </c>
      <c r="D266" s="1">
        <v>205.70616000000001</v>
      </c>
      <c r="E266" s="1">
        <v>239.00393</v>
      </c>
      <c r="F266" s="1">
        <v>270.08201000000003</v>
      </c>
      <c r="G266" s="1">
        <v>352.10153000000003</v>
      </c>
      <c r="H266" s="1">
        <v>367.50846000000001</v>
      </c>
      <c r="I266" s="1">
        <v>423.61627000000004</v>
      </c>
      <c r="J266" s="1">
        <v>451.85635000000002</v>
      </c>
    </row>
    <row r="267" spans="1:10" hidden="1" x14ac:dyDescent="0.25">
      <c r="A267" t="s">
        <v>333</v>
      </c>
      <c r="B267" t="s">
        <v>693</v>
      </c>
      <c r="C267" s="1">
        <v>0</v>
      </c>
      <c r="D267" s="1">
        <v>204.95376000000002</v>
      </c>
      <c r="E267" s="1">
        <v>286.55561000000006</v>
      </c>
      <c r="F267" s="1">
        <v>298.97868000000005</v>
      </c>
      <c r="G267" s="1">
        <v>336.72408000000001</v>
      </c>
      <c r="H267" s="1">
        <v>353.65176000000002</v>
      </c>
      <c r="I267" s="1">
        <v>498.81612000000007</v>
      </c>
      <c r="J267" s="1">
        <v>510.22752000000008</v>
      </c>
    </row>
    <row r="268" spans="1:10" hidden="1" x14ac:dyDescent="0.25">
      <c r="A268" t="s">
        <v>333</v>
      </c>
      <c r="B268" t="s">
        <v>702</v>
      </c>
      <c r="C268" s="1">
        <v>0</v>
      </c>
      <c r="D268" s="1">
        <v>227.78668000000002</v>
      </c>
      <c r="E268" s="1">
        <v>317.96160000000003</v>
      </c>
      <c r="F268" s="1">
        <v>320.94744000000003</v>
      </c>
      <c r="G268" s="1">
        <v>365.56608000000006</v>
      </c>
      <c r="H268" s="1">
        <v>379.15746000000001</v>
      </c>
      <c r="I268" s="1">
        <v>523.57008000000008</v>
      </c>
      <c r="J268" s="1">
        <v>542.08968000000004</v>
      </c>
    </row>
    <row r="269" spans="1:10" hidden="1" x14ac:dyDescent="0.25">
      <c r="A269" t="s">
        <v>333</v>
      </c>
      <c r="B269" t="s">
        <v>711</v>
      </c>
      <c r="C269" s="1">
        <v>0</v>
      </c>
      <c r="D269" s="1">
        <v>138.48725000000002</v>
      </c>
      <c r="E269" s="1">
        <v>213.44334000000001</v>
      </c>
      <c r="F269" s="1">
        <v>225.72</v>
      </c>
      <c r="G269" s="1">
        <v>256.21728000000002</v>
      </c>
      <c r="H269" s="1">
        <v>298.99496000000005</v>
      </c>
      <c r="I269" s="1">
        <v>378.23147999999998</v>
      </c>
      <c r="J269" s="1">
        <v>394.34857</v>
      </c>
    </row>
    <row r="270" spans="1:10" hidden="1" x14ac:dyDescent="0.25">
      <c r="A270" t="s">
        <v>333</v>
      </c>
      <c r="B270" t="s">
        <v>720</v>
      </c>
      <c r="C270" s="1">
        <v>0</v>
      </c>
      <c r="D270" s="1">
        <v>161.13900000000001</v>
      </c>
      <c r="E270" s="1">
        <v>224.14403000000001</v>
      </c>
      <c r="F270" s="1">
        <v>266.11937000000006</v>
      </c>
      <c r="G270" s="1">
        <v>288.34817000000004</v>
      </c>
      <c r="H270" s="1">
        <v>332.33376000000004</v>
      </c>
      <c r="I270" s="1">
        <v>444.14172000000002</v>
      </c>
      <c r="J270" s="1">
        <v>468.79536000000002</v>
      </c>
    </row>
    <row r="271" spans="1:10" hidden="1" x14ac:dyDescent="0.25">
      <c r="A271" t="s">
        <v>333</v>
      </c>
      <c r="B271" t="s">
        <v>729</v>
      </c>
      <c r="C271" s="1">
        <v>0</v>
      </c>
      <c r="D271" s="1">
        <v>176.35002</v>
      </c>
      <c r="E271" s="1">
        <v>179.66190000000003</v>
      </c>
      <c r="F271" s="1">
        <v>190.43640000000002</v>
      </c>
      <c r="G271" s="1">
        <v>222.31913000000003</v>
      </c>
      <c r="H271" s="1">
        <v>223.19550000000001</v>
      </c>
      <c r="I271" s="1">
        <v>350.12934000000001</v>
      </c>
      <c r="J271" s="1">
        <v>356.00917000000004</v>
      </c>
    </row>
    <row r="272" spans="1:10" hidden="1" x14ac:dyDescent="0.25">
      <c r="A272" t="s">
        <v>333</v>
      </c>
      <c r="B272" t="s">
        <v>738</v>
      </c>
      <c r="C272" s="1">
        <v>0</v>
      </c>
      <c r="D272" s="1">
        <v>163.28334000000001</v>
      </c>
      <c r="E272" s="1">
        <v>187.89936</v>
      </c>
      <c r="F272" s="1">
        <v>190.73098000000002</v>
      </c>
      <c r="G272" s="1">
        <v>207.35428999999999</v>
      </c>
      <c r="H272" s="1">
        <v>211.82964000000001</v>
      </c>
      <c r="I272" s="1">
        <v>337.85268000000002</v>
      </c>
      <c r="J272" s="1">
        <v>347.05341000000004</v>
      </c>
    </row>
    <row r="273" spans="1:10" hidden="1" x14ac:dyDescent="0.25">
      <c r="A273" t="s">
        <v>333</v>
      </c>
      <c r="B273" t="s">
        <v>747</v>
      </c>
      <c r="C273" s="1">
        <v>0</v>
      </c>
      <c r="D273" s="1">
        <v>151.84884</v>
      </c>
      <c r="E273" s="1">
        <v>201.54288000000003</v>
      </c>
      <c r="F273" s="1">
        <v>219.45000000000002</v>
      </c>
      <c r="G273" s="1">
        <v>247.71516000000003</v>
      </c>
      <c r="H273" s="1">
        <v>281.36063999999999</v>
      </c>
      <c r="I273" s="1">
        <v>337.12536</v>
      </c>
      <c r="J273" s="1">
        <v>351.52843000000001</v>
      </c>
    </row>
    <row r="274" spans="1:10" hidden="1" x14ac:dyDescent="0.25">
      <c r="A274" t="s">
        <v>333</v>
      </c>
      <c r="B274" t="s">
        <v>756</v>
      </c>
      <c r="C274" s="1">
        <v>0</v>
      </c>
      <c r="D274" s="1">
        <v>186.94632000000001</v>
      </c>
      <c r="E274" s="1">
        <v>226.12535000000003</v>
      </c>
      <c r="F274" s="1">
        <v>247.29683000000003</v>
      </c>
      <c r="G274" s="1">
        <v>280.12193000000002</v>
      </c>
      <c r="H274" s="1">
        <v>316.34526</v>
      </c>
      <c r="I274" s="1">
        <v>443.08836000000002</v>
      </c>
      <c r="J274" s="1">
        <v>477.07968000000005</v>
      </c>
    </row>
    <row r="275" spans="1:10" hidden="1" x14ac:dyDescent="0.25">
      <c r="A275" t="s">
        <v>333</v>
      </c>
      <c r="B275" t="s">
        <v>1626</v>
      </c>
      <c r="C275" s="1">
        <v>0</v>
      </c>
      <c r="D275" s="1">
        <v>827.64</v>
      </c>
      <c r="E275" s="1">
        <v>1078.44</v>
      </c>
      <c r="F275" s="1">
        <v>1116.0600000000002</v>
      </c>
      <c r="G275" s="1">
        <v>1254</v>
      </c>
      <c r="H275" s="1">
        <v>1285.3500000000001</v>
      </c>
      <c r="I275" s="1">
        <v>1617.66</v>
      </c>
      <c r="J275" s="1">
        <v>1649.01</v>
      </c>
    </row>
    <row r="276" spans="1:10" hidden="1" x14ac:dyDescent="0.25">
      <c r="A276" t="s">
        <v>333</v>
      </c>
      <c r="B276" t="s">
        <v>765</v>
      </c>
      <c r="C276" s="1">
        <v>0</v>
      </c>
      <c r="D276" s="1">
        <v>331.40393</v>
      </c>
      <c r="E276" s="1">
        <v>721.39320000000009</v>
      </c>
      <c r="F276" s="1">
        <v>740.93052000000012</v>
      </c>
      <c r="G276" s="1">
        <v>437.88514000000004</v>
      </c>
      <c r="H276" s="1">
        <v>425.26209000000006</v>
      </c>
      <c r="I276" s="1">
        <v>638.11440000000005</v>
      </c>
      <c r="J276" s="1">
        <v>1043.1399000000001</v>
      </c>
    </row>
    <row r="277" spans="1:10" hidden="1" x14ac:dyDescent="0.25">
      <c r="A277" t="s">
        <v>333</v>
      </c>
      <c r="B277" t="s">
        <v>774</v>
      </c>
      <c r="C277" s="1">
        <v>0</v>
      </c>
      <c r="D277" s="1">
        <v>216.38419000000002</v>
      </c>
      <c r="E277" s="1">
        <v>312.18330000000003</v>
      </c>
      <c r="F277" s="1">
        <v>321.77640000000002</v>
      </c>
      <c r="G277" s="1">
        <v>360.44173000000006</v>
      </c>
      <c r="H277" s="1">
        <v>382.50762000000003</v>
      </c>
      <c r="I277" s="1">
        <v>522.7173600000001</v>
      </c>
      <c r="J277" s="1">
        <v>533.75256000000002</v>
      </c>
    </row>
    <row r="278" spans="1:10" hidden="1" x14ac:dyDescent="0.25">
      <c r="A278" t="s">
        <v>333</v>
      </c>
      <c r="B278" t="s">
        <v>783</v>
      </c>
      <c r="C278" s="1">
        <v>0</v>
      </c>
      <c r="D278" s="1">
        <v>145.57884000000001</v>
      </c>
      <c r="E278" s="1">
        <v>213.78192000000001</v>
      </c>
      <c r="F278" s="1">
        <v>226.36625000000001</v>
      </c>
      <c r="G278" s="1">
        <v>255.08868000000001</v>
      </c>
      <c r="H278" s="1">
        <v>298.80686000000003</v>
      </c>
      <c r="I278" s="1">
        <v>379.29199000000006</v>
      </c>
      <c r="J278" s="1">
        <v>406.62204000000003</v>
      </c>
    </row>
    <row r="279" spans="1:10" hidden="1" x14ac:dyDescent="0.25">
      <c r="A279" t="s">
        <v>333</v>
      </c>
      <c r="B279" t="s">
        <v>792</v>
      </c>
      <c r="C279" s="1">
        <v>0</v>
      </c>
      <c r="D279" s="1">
        <v>207.26112000000001</v>
      </c>
      <c r="E279" s="1">
        <v>252.68100000000004</v>
      </c>
      <c r="F279" s="1">
        <v>271.02702000000005</v>
      </c>
      <c r="G279" s="1">
        <v>295.14144000000005</v>
      </c>
      <c r="H279" s="1">
        <v>318.95490000000001</v>
      </c>
      <c r="I279" s="1">
        <v>455.59536000000003</v>
      </c>
      <c r="J279" s="1">
        <v>488.50032000000004</v>
      </c>
    </row>
    <row r="280" spans="1:10" hidden="1" x14ac:dyDescent="0.25">
      <c r="A280" t="s">
        <v>333</v>
      </c>
      <c r="B280" t="s">
        <v>801</v>
      </c>
      <c r="C280" s="1">
        <v>0</v>
      </c>
      <c r="D280" s="1">
        <v>178.38150000000002</v>
      </c>
      <c r="E280" s="1">
        <v>213.63144</v>
      </c>
      <c r="F280" s="1">
        <v>226.8486</v>
      </c>
      <c r="G280" s="1">
        <v>253.20768000000001</v>
      </c>
      <c r="H280" s="1">
        <v>300.25776000000002</v>
      </c>
      <c r="I280" s="1">
        <v>383.72399999999999</v>
      </c>
      <c r="J280" s="1">
        <v>416.64150000000001</v>
      </c>
    </row>
    <row r="281" spans="1:10" hidden="1" x14ac:dyDescent="0.25">
      <c r="A281" t="s">
        <v>333</v>
      </c>
      <c r="B281" t="s">
        <v>810</v>
      </c>
      <c r="C281" s="1">
        <v>0</v>
      </c>
      <c r="D281" s="1">
        <v>144.53604000000001</v>
      </c>
      <c r="E281" s="1">
        <v>161.80373000000003</v>
      </c>
      <c r="F281" s="1">
        <v>170.19288</v>
      </c>
      <c r="G281" s="1">
        <v>198.68376000000001</v>
      </c>
      <c r="H281" s="1">
        <v>216.12690000000003</v>
      </c>
      <c r="I281" s="1">
        <v>288.62064000000004</v>
      </c>
      <c r="J281" s="1">
        <v>301.16064</v>
      </c>
    </row>
    <row r="282" spans="1:10" hidden="1" x14ac:dyDescent="0.25">
      <c r="A282" t="s">
        <v>333</v>
      </c>
      <c r="B282" t="s">
        <v>819</v>
      </c>
      <c r="C282" s="1">
        <v>0</v>
      </c>
      <c r="D282" s="1">
        <v>290.68237000000005</v>
      </c>
      <c r="E282" s="1">
        <v>343.75726000000003</v>
      </c>
      <c r="F282" s="1">
        <v>347.70736000000005</v>
      </c>
      <c r="G282" s="1">
        <v>374.89199000000002</v>
      </c>
      <c r="H282" s="1">
        <v>381.07894000000005</v>
      </c>
      <c r="I282" s="1">
        <v>516.8755900000001</v>
      </c>
      <c r="J282" s="1">
        <v>566.29573000000005</v>
      </c>
    </row>
    <row r="283" spans="1:10" hidden="1" x14ac:dyDescent="0.25">
      <c r="A283" t="s">
        <v>333</v>
      </c>
      <c r="B283" t="s">
        <v>828</v>
      </c>
      <c r="C283" s="1">
        <v>0</v>
      </c>
      <c r="D283" s="1">
        <v>232.61502000000002</v>
      </c>
      <c r="E283" s="1">
        <v>278.65134</v>
      </c>
      <c r="F283" s="1">
        <v>288.68333999999999</v>
      </c>
      <c r="G283" s="1">
        <v>300.73285000000004</v>
      </c>
      <c r="H283" s="1">
        <v>305.57846000000006</v>
      </c>
      <c r="I283" s="1">
        <v>371.21216000000004</v>
      </c>
      <c r="J283" s="1">
        <v>378.11972000000003</v>
      </c>
    </row>
    <row r="284" spans="1:10" hidden="1" x14ac:dyDescent="0.25">
      <c r="A284" t="s">
        <v>333</v>
      </c>
      <c r="B284" t="s">
        <v>837</v>
      </c>
      <c r="C284" s="1">
        <v>0</v>
      </c>
      <c r="D284" s="1">
        <v>164.14860000000002</v>
      </c>
      <c r="E284" s="1">
        <v>204.92868000000001</v>
      </c>
      <c r="F284" s="1">
        <v>213.50604000000001</v>
      </c>
      <c r="G284" s="1">
        <v>234.65849</v>
      </c>
      <c r="H284" s="1">
        <v>243.12134</v>
      </c>
      <c r="I284" s="1">
        <v>354.28008</v>
      </c>
      <c r="J284" s="1">
        <v>381.21600000000001</v>
      </c>
    </row>
    <row r="285" spans="1:10" hidden="1" x14ac:dyDescent="0.25">
      <c r="A285" t="s">
        <v>333</v>
      </c>
      <c r="B285" t="s">
        <v>846</v>
      </c>
      <c r="C285" s="1">
        <v>0</v>
      </c>
      <c r="D285" s="1">
        <v>193.53873000000002</v>
      </c>
      <c r="E285" s="1">
        <v>197.57804000000002</v>
      </c>
      <c r="F285" s="1">
        <v>222.39316000000002</v>
      </c>
      <c r="G285" s="1">
        <v>255.90685999999999</v>
      </c>
      <c r="H285" s="1">
        <v>256.84395000000001</v>
      </c>
      <c r="I285" s="1">
        <v>319.08140000000003</v>
      </c>
      <c r="J285" s="1">
        <v>334.21795000000003</v>
      </c>
    </row>
    <row r="286" spans="1:10" hidden="1" x14ac:dyDescent="0.25">
      <c r="A286" t="s">
        <v>333</v>
      </c>
      <c r="B286" t="s">
        <v>855</v>
      </c>
      <c r="C286" s="1">
        <v>0</v>
      </c>
      <c r="D286" s="1">
        <v>216.46548000000001</v>
      </c>
      <c r="E286" s="1">
        <v>252.07435000000004</v>
      </c>
      <c r="F286" s="1">
        <v>264.39336000000003</v>
      </c>
      <c r="G286" s="1">
        <v>301.16064</v>
      </c>
      <c r="H286" s="1">
        <v>318.45330000000001</v>
      </c>
      <c r="I286" s="1">
        <v>438.95478000000003</v>
      </c>
      <c r="J286" s="1">
        <v>468.94826</v>
      </c>
    </row>
    <row r="287" spans="1:10" hidden="1" x14ac:dyDescent="0.25">
      <c r="A287" t="s">
        <v>333</v>
      </c>
      <c r="B287" t="s">
        <v>864</v>
      </c>
      <c r="C287" s="1">
        <v>0</v>
      </c>
      <c r="D287" s="1">
        <v>253.77132000000003</v>
      </c>
      <c r="E287" s="1">
        <v>308.89166000000006</v>
      </c>
      <c r="F287" s="1">
        <v>312.05174000000005</v>
      </c>
      <c r="G287" s="1">
        <v>323.33840000000004</v>
      </c>
      <c r="H287" s="1">
        <v>328.34120000000007</v>
      </c>
      <c r="I287" s="1">
        <v>423.54928000000007</v>
      </c>
      <c r="J287" s="1">
        <v>450.37377000000004</v>
      </c>
    </row>
    <row r="288" spans="1:10" hidden="1" x14ac:dyDescent="0.25">
      <c r="A288" t="s">
        <v>333</v>
      </c>
      <c r="B288" t="s">
        <v>873</v>
      </c>
      <c r="C288" s="1">
        <v>0</v>
      </c>
      <c r="D288" s="1">
        <v>595.02300000000002</v>
      </c>
      <c r="E288" s="1">
        <v>613.78284000000008</v>
      </c>
      <c r="F288" s="1">
        <v>637.55867999999998</v>
      </c>
      <c r="G288" s="1">
        <v>739.33332000000007</v>
      </c>
      <c r="H288" s="1">
        <v>750.70710000000008</v>
      </c>
      <c r="I288" s="1">
        <v>924.01056000000005</v>
      </c>
      <c r="J288" s="1">
        <v>938.4064800000001</v>
      </c>
    </row>
    <row r="289" spans="1:10" hidden="1" x14ac:dyDescent="0.25">
      <c r="A289" t="s">
        <v>333</v>
      </c>
      <c r="B289" t="s">
        <v>882</v>
      </c>
      <c r="C289" s="1">
        <v>0</v>
      </c>
      <c r="D289" s="1">
        <v>282.28552000000002</v>
      </c>
      <c r="E289" s="1">
        <v>375.47268000000003</v>
      </c>
      <c r="F289" s="1">
        <v>395.27334000000002</v>
      </c>
      <c r="G289" s="1">
        <v>426.24725000000007</v>
      </c>
      <c r="H289" s="1">
        <v>434.63354000000004</v>
      </c>
      <c r="I289" s="1">
        <v>597.45576000000005</v>
      </c>
      <c r="J289" s="1">
        <v>607.5630000000001</v>
      </c>
    </row>
    <row r="290" spans="1:10" hidden="1" x14ac:dyDescent="0.25">
      <c r="A290" t="s">
        <v>333</v>
      </c>
      <c r="B290" t="s">
        <v>891</v>
      </c>
      <c r="C290" s="1">
        <v>0</v>
      </c>
      <c r="D290" s="1">
        <v>170.34259</v>
      </c>
      <c r="E290" s="1">
        <v>233.39910000000003</v>
      </c>
      <c r="F290" s="1">
        <v>239.92430000000002</v>
      </c>
      <c r="G290" s="1">
        <v>255.49942000000001</v>
      </c>
      <c r="H290" s="1">
        <v>258.48372000000001</v>
      </c>
      <c r="I290" s="1">
        <v>399.34224000000006</v>
      </c>
      <c r="J290" s="1">
        <v>404.52983999999998</v>
      </c>
    </row>
    <row r="291" spans="1:10" hidden="1" x14ac:dyDescent="0.25">
      <c r="A291" t="s">
        <v>333</v>
      </c>
      <c r="B291" t="s">
        <v>900</v>
      </c>
      <c r="C291" s="1">
        <v>0</v>
      </c>
      <c r="D291" s="1">
        <v>197.02353000000002</v>
      </c>
      <c r="E291" s="1">
        <v>203.54565000000002</v>
      </c>
      <c r="F291" s="1">
        <v>227.93661000000003</v>
      </c>
      <c r="G291" s="1">
        <v>266.18966</v>
      </c>
      <c r="H291" s="1">
        <v>271.24020000000002</v>
      </c>
      <c r="I291" s="1">
        <v>323.92448000000007</v>
      </c>
      <c r="J291" s="1">
        <v>336.90249999999997</v>
      </c>
    </row>
    <row r="292" spans="1:10" hidden="1" x14ac:dyDescent="0.25">
      <c r="A292" t="s">
        <v>333</v>
      </c>
      <c r="B292" t="s">
        <v>909</v>
      </c>
      <c r="C292" s="1">
        <v>0</v>
      </c>
      <c r="D292" s="1">
        <v>128.85037000000003</v>
      </c>
      <c r="E292" s="1">
        <v>146.53407999999999</v>
      </c>
      <c r="F292" s="1">
        <v>148.64079999999998</v>
      </c>
      <c r="G292" s="1">
        <v>202.21289000000002</v>
      </c>
      <c r="H292" s="1">
        <v>209.94864000000001</v>
      </c>
      <c r="I292" s="1">
        <v>292.29134000000005</v>
      </c>
      <c r="J292" s="1">
        <v>301.82174000000003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264B-EE82-4A0E-9492-614AABDF2D38}">
  <sheetPr>
    <tabColor theme="9" tint="0.39997558519241921"/>
  </sheetPr>
  <dimension ref="A1:D5"/>
  <sheetViews>
    <sheetView workbookViewId="0">
      <selection activeCell="D1" sqref="A1:D3"/>
    </sheetView>
  </sheetViews>
  <sheetFormatPr baseColWidth="10" defaultColWidth="11.42578125" defaultRowHeight="15" x14ac:dyDescent="0.25"/>
  <cols>
    <col min="3" max="3" width="14.7109375" style="1" customWidth="1"/>
    <col min="4" max="4" width="10.85546875" style="1"/>
  </cols>
  <sheetData>
    <row r="1" spans="1:4" x14ac:dyDescent="0.25">
      <c r="A1" t="s">
        <v>1</v>
      </c>
      <c r="B1" t="s">
        <v>2</v>
      </c>
      <c r="C1" s="1" t="s">
        <v>2791</v>
      </c>
      <c r="D1" s="1" t="s">
        <v>2792</v>
      </c>
    </row>
    <row r="2" spans="1:4" hidden="1" x14ac:dyDescent="0.25">
      <c r="A2" t="s">
        <v>2793</v>
      </c>
      <c r="B2" t="s">
        <v>468</v>
      </c>
      <c r="C2" s="1">
        <v>2.508</v>
      </c>
      <c r="D2" s="1">
        <v>3.3880000000000003</v>
      </c>
    </row>
    <row r="3" spans="1:4" x14ac:dyDescent="0.25">
      <c r="A3" t="s">
        <v>468</v>
      </c>
      <c r="B3" t="s">
        <v>37</v>
      </c>
      <c r="C3" s="1">
        <v>16.148</v>
      </c>
      <c r="D3" s="1">
        <v>21.802000000000003</v>
      </c>
    </row>
    <row r="4" spans="1:4" x14ac:dyDescent="0.25">
      <c r="A4" t="s">
        <v>468</v>
      </c>
      <c r="B4" t="s">
        <v>333</v>
      </c>
      <c r="C4" s="1">
        <v>16.28</v>
      </c>
      <c r="D4" s="1">
        <v>21.966999999999999</v>
      </c>
    </row>
    <row r="5" spans="1:4" x14ac:dyDescent="0.25">
      <c r="A5" t="s">
        <v>468</v>
      </c>
      <c r="B5" t="s">
        <v>46</v>
      </c>
      <c r="C5" s="1">
        <v>40</v>
      </c>
      <c r="D5" s="1" t="s">
        <v>2794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352D7-3B64-4CC6-8BDE-70BF44C18C85}">
  <sheetPr>
    <tabColor theme="9" tint="0.39997558519241921"/>
  </sheetPr>
  <dimension ref="A1:D11"/>
  <sheetViews>
    <sheetView workbookViewId="0">
      <selection sqref="A1:C7"/>
    </sheetView>
  </sheetViews>
  <sheetFormatPr baseColWidth="10" defaultColWidth="11.42578125" defaultRowHeight="15" x14ac:dyDescent="0.25"/>
  <cols>
    <col min="1" max="1" width="23.85546875" bestFit="1" customWidth="1"/>
    <col min="2" max="2" width="42.85546875" bestFit="1" customWidth="1"/>
    <col min="3" max="3" width="14" style="1" customWidth="1"/>
    <col min="4" max="4" width="0" style="1" hidden="1" customWidth="1"/>
  </cols>
  <sheetData>
    <row r="1" spans="1:4" x14ac:dyDescent="0.25">
      <c r="A1" s="5" t="s">
        <v>1</v>
      </c>
      <c r="B1" s="6" t="s">
        <v>2</v>
      </c>
      <c r="C1" s="6" t="s">
        <v>2795</v>
      </c>
      <c r="D1" s="6" t="s">
        <v>2792</v>
      </c>
    </row>
    <row r="2" spans="1:4" x14ac:dyDescent="0.25">
      <c r="A2" t="s">
        <v>37</v>
      </c>
      <c r="B2" s="108" t="s">
        <v>37</v>
      </c>
      <c r="C2" s="1">
        <v>3.0579999999999998</v>
      </c>
      <c r="D2" s="1">
        <v>3.4210000000000003</v>
      </c>
    </row>
    <row r="3" spans="1:4" x14ac:dyDescent="0.25">
      <c r="A3" t="s">
        <v>37</v>
      </c>
      <c r="B3" s="108" t="s">
        <v>333</v>
      </c>
      <c r="C3" s="1">
        <v>8.8880000000000017</v>
      </c>
      <c r="D3" s="1">
        <v>9.9</v>
      </c>
    </row>
    <row r="4" spans="1:4" x14ac:dyDescent="0.25">
      <c r="A4" t="s">
        <v>2796</v>
      </c>
      <c r="B4" s="108" t="s">
        <v>2797</v>
      </c>
      <c r="C4" s="1">
        <v>8.8880000000000017</v>
      </c>
      <c r="D4" s="1">
        <v>9.9</v>
      </c>
    </row>
    <row r="5" spans="1:4" x14ac:dyDescent="0.25">
      <c r="A5" t="s">
        <v>2798</v>
      </c>
      <c r="B5" s="109" t="s">
        <v>2799</v>
      </c>
      <c r="C5" s="1">
        <v>3.0579999999999998</v>
      </c>
      <c r="D5" s="1">
        <v>3.4210000000000003</v>
      </c>
    </row>
    <row r="6" spans="1:4" x14ac:dyDescent="0.25">
      <c r="A6" t="s">
        <v>2800</v>
      </c>
      <c r="B6" s="109" t="s">
        <v>2801</v>
      </c>
      <c r="C6" s="1">
        <v>6.3580000000000005</v>
      </c>
      <c r="D6" s="1">
        <v>7.1060000000000008</v>
      </c>
    </row>
    <row r="7" spans="1:4" x14ac:dyDescent="0.25">
      <c r="A7" t="s">
        <v>37</v>
      </c>
      <c r="B7" s="108" t="s">
        <v>46</v>
      </c>
      <c r="C7" s="1">
        <v>24.277000000000001</v>
      </c>
      <c r="D7" s="1">
        <v>28.622000000000003</v>
      </c>
    </row>
    <row r="8" spans="1:4" x14ac:dyDescent="0.25">
      <c r="B8" s="1"/>
    </row>
    <row r="9" spans="1:4" x14ac:dyDescent="0.25">
      <c r="B9" s="1"/>
    </row>
    <row r="10" spans="1:4" x14ac:dyDescent="0.25">
      <c r="B10" s="1"/>
    </row>
    <row r="11" spans="1:4" x14ac:dyDescent="0.25">
      <c r="B11" s="1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D6C6E-2B66-4202-9093-AFF7CF5F4BB3}">
  <sheetPr>
    <tabColor theme="9" tint="0.39997558519241921"/>
  </sheetPr>
  <dimension ref="A1:D7"/>
  <sheetViews>
    <sheetView workbookViewId="0">
      <selection activeCell="G4" sqref="G4"/>
    </sheetView>
  </sheetViews>
  <sheetFormatPr baseColWidth="10" defaultColWidth="11.42578125" defaultRowHeight="15" x14ac:dyDescent="0.25"/>
  <cols>
    <col min="1" max="1" width="14" bestFit="1" customWidth="1"/>
  </cols>
  <sheetData>
    <row r="1" spans="1:4" x14ac:dyDescent="0.25">
      <c r="A1" t="s">
        <v>1</v>
      </c>
      <c r="B1" t="s">
        <v>2</v>
      </c>
      <c r="C1" s="7" t="s">
        <v>2802</v>
      </c>
      <c r="D1" t="s">
        <v>2803</v>
      </c>
    </row>
    <row r="2" spans="1:4" x14ac:dyDescent="0.25">
      <c r="A2" t="s">
        <v>2804</v>
      </c>
      <c r="B2" t="s">
        <v>37</v>
      </c>
      <c r="C2" s="1">
        <v>453.75000000000006</v>
      </c>
      <c r="D2" s="124">
        <f>Tabla1[[#This Row],[30 TM]]/30</f>
        <v>15.125000000000002</v>
      </c>
    </row>
    <row r="3" spans="1:4" x14ac:dyDescent="0.25">
      <c r="A3" t="s">
        <v>2804</v>
      </c>
      <c r="B3" t="s">
        <v>2805</v>
      </c>
      <c r="C3" s="179">
        <v>1140</v>
      </c>
      <c r="D3" s="124">
        <f>Tabla1[[#This Row],[30 TM]]/30</f>
        <v>38</v>
      </c>
    </row>
    <row r="4" spans="1:4" x14ac:dyDescent="0.25">
      <c r="A4" t="s">
        <v>2804</v>
      </c>
      <c r="B4" t="s">
        <v>2806</v>
      </c>
      <c r="C4" s="1">
        <v>453.75</v>
      </c>
      <c r="D4" s="124">
        <f>Tabla1[[#This Row],[30 TM]]/30</f>
        <v>15.125</v>
      </c>
    </row>
    <row r="5" spans="1:4" x14ac:dyDescent="0.25">
      <c r="A5" t="s">
        <v>2807</v>
      </c>
      <c r="B5" t="s">
        <v>333</v>
      </c>
      <c r="C5" s="1">
        <v>433.12500000000006</v>
      </c>
      <c r="D5" s="124">
        <f>Tabla1[[#This Row],[30 TM]]/30</f>
        <v>14.437500000000002</v>
      </c>
    </row>
    <row r="6" spans="1:4" x14ac:dyDescent="0.25">
      <c r="A6" t="s">
        <v>2807</v>
      </c>
      <c r="B6" t="s">
        <v>37</v>
      </c>
      <c r="C6" s="1">
        <v>474.37500000000006</v>
      </c>
      <c r="D6" s="124">
        <f>Tabla1[[#This Row],[30 TM]]/30</f>
        <v>15.812500000000002</v>
      </c>
    </row>
    <row r="7" spans="1:4" x14ac:dyDescent="0.25">
      <c r="A7" t="s">
        <v>2808</v>
      </c>
      <c r="B7" t="s">
        <v>333</v>
      </c>
      <c r="C7" s="1">
        <v>453.75000000000006</v>
      </c>
      <c r="D7" s="124">
        <f>Tabla1[[#This Row],[30 TM]]/30</f>
        <v>15.125000000000002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F92BF-9D5A-4A87-B08B-C47DB84AED50}">
  <sheetPr>
    <tabColor theme="9" tint="0.39997558519241921"/>
  </sheetPr>
  <dimension ref="A1:D14"/>
  <sheetViews>
    <sheetView workbookViewId="0">
      <selection activeCell="F8" sqref="F8"/>
    </sheetView>
  </sheetViews>
  <sheetFormatPr baseColWidth="10" defaultColWidth="11.42578125" defaultRowHeight="15" x14ac:dyDescent="0.25"/>
  <cols>
    <col min="1" max="1" width="23.28515625" customWidth="1"/>
    <col min="2" max="2" width="15.85546875" customWidth="1"/>
    <col min="3" max="3" width="11.42578125" style="1" bestFit="1"/>
  </cols>
  <sheetData>
    <row r="1" spans="1:4" ht="15.75" thickBot="1" x14ac:dyDescent="0.3">
      <c r="A1" s="99" t="s">
        <v>1</v>
      </c>
      <c r="B1" s="99" t="s">
        <v>2</v>
      </c>
      <c r="C1" s="100" t="s">
        <v>2809</v>
      </c>
      <c r="D1" s="126" t="s">
        <v>2810</v>
      </c>
    </row>
    <row r="2" spans="1:4" x14ac:dyDescent="0.25">
      <c r="A2" s="103" t="s">
        <v>2807</v>
      </c>
      <c r="B2" s="103" t="s">
        <v>37</v>
      </c>
      <c r="C2" s="104">
        <v>286</v>
      </c>
      <c r="D2" s="125">
        <f>Tabla2647[[#This Row],[20 TM]]/20</f>
        <v>14.3</v>
      </c>
    </row>
    <row r="3" spans="1:4" x14ac:dyDescent="0.25">
      <c r="A3" s="101" t="s">
        <v>2807</v>
      </c>
      <c r="B3" s="105" t="s">
        <v>333</v>
      </c>
      <c r="C3" s="106">
        <v>271.04000000000002</v>
      </c>
      <c r="D3" s="125">
        <f>Tabla2647[[#This Row],[20 TM]]/20</f>
        <v>13.552000000000001</v>
      </c>
    </row>
    <row r="4" spans="1:4" x14ac:dyDescent="0.25">
      <c r="A4" s="127" t="s">
        <v>2804</v>
      </c>
      <c r="B4" s="127" t="s">
        <v>37</v>
      </c>
      <c r="C4" s="128">
        <v>286</v>
      </c>
      <c r="D4" s="125">
        <f>Tabla2647[[#This Row],[20 TM]]/20</f>
        <v>14.3</v>
      </c>
    </row>
    <row r="5" spans="1:4" x14ac:dyDescent="0.25">
      <c r="A5" s="129" t="s">
        <v>2804</v>
      </c>
      <c r="B5" s="129" t="s">
        <v>333</v>
      </c>
      <c r="C5" s="130">
        <v>242.00000000000003</v>
      </c>
      <c r="D5" s="125">
        <f>Tabla2647[[#This Row],[20 TM]]/20</f>
        <v>12.100000000000001</v>
      </c>
    </row>
    <row r="6" spans="1:4" x14ac:dyDescent="0.25">
      <c r="A6" s="101" t="s">
        <v>2811</v>
      </c>
      <c r="B6" s="101" t="s">
        <v>333</v>
      </c>
      <c r="C6" s="102">
        <v>638</v>
      </c>
      <c r="D6" s="125">
        <f>Tabla2647[[#This Row],[20 TM]]/20</f>
        <v>31.9</v>
      </c>
    </row>
    <row r="7" spans="1:4" x14ac:dyDescent="0.25">
      <c r="A7" s="101" t="s">
        <v>2811</v>
      </c>
      <c r="B7" s="101" t="s">
        <v>37</v>
      </c>
      <c r="C7" s="102">
        <v>660</v>
      </c>
      <c r="D7" s="125">
        <f>Tabla2647[[#This Row],[20 TM]]/20</f>
        <v>33</v>
      </c>
    </row>
    <row r="8" spans="1:4" x14ac:dyDescent="0.25">
      <c r="A8" s="101" t="s">
        <v>2812</v>
      </c>
      <c r="B8" s="101" t="s">
        <v>333</v>
      </c>
      <c r="C8" s="102">
        <v>682</v>
      </c>
      <c r="D8" s="125">
        <f>Tabla2647[[#This Row],[20 TM]]/20</f>
        <v>34.1</v>
      </c>
    </row>
    <row r="9" spans="1:4" x14ac:dyDescent="0.25">
      <c r="A9" s="103" t="s">
        <v>2812</v>
      </c>
      <c r="B9" s="103" t="s">
        <v>37</v>
      </c>
      <c r="C9" s="104">
        <v>704</v>
      </c>
      <c r="D9" s="125">
        <f>Tabla2647[[#This Row],[20 TM]]/20</f>
        <v>35.200000000000003</v>
      </c>
    </row>
    <row r="10" spans="1:4" x14ac:dyDescent="0.25">
      <c r="A10" s="101" t="s">
        <v>190</v>
      </c>
      <c r="B10" s="101" t="s">
        <v>333</v>
      </c>
      <c r="C10" s="102">
        <v>638</v>
      </c>
      <c r="D10" s="125">
        <f>Tabla2647[[#This Row],[20 TM]]/20</f>
        <v>31.9</v>
      </c>
    </row>
    <row r="11" spans="1:4" x14ac:dyDescent="0.25">
      <c r="A11" s="101" t="s">
        <v>190</v>
      </c>
      <c r="B11" s="101" t="s">
        <v>37</v>
      </c>
      <c r="C11" s="102">
        <v>660</v>
      </c>
      <c r="D11" s="125">
        <f>Tabla2647[[#This Row],[20 TM]]/20</f>
        <v>33</v>
      </c>
    </row>
    <row r="12" spans="1:4" x14ac:dyDescent="0.25">
      <c r="A12" s="101" t="s">
        <v>630</v>
      </c>
      <c r="B12" s="101" t="s">
        <v>333</v>
      </c>
      <c r="C12" s="102">
        <v>440.00000000000006</v>
      </c>
      <c r="D12" s="125">
        <f>Tabla2647[[#This Row],[20 TM]]/20</f>
        <v>22.000000000000004</v>
      </c>
    </row>
    <row r="13" spans="1:4" x14ac:dyDescent="0.25">
      <c r="A13" s="101" t="s">
        <v>630</v>
      </c>
      <c r="B13" s="101" t="s">
        <v>37</v>
      </c>
      <c r="C13" s="102">
        <v>594</v>
      </c>
      <c r="D13" s="125">
        <f>Tabla2647[[#This Row],[20 TM]]/20</f>
        <v>29.7</v>
      </c>
    </row>
    <row r="14" spans="1:4" x14ac:dyDescent="0.25">
      <c r="A14" s="57"/>
      <c r="B14" s="57"/>
      <c r="C14" s="12"/>
    </row>
  </sheetData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68B0A-0542-46E1-BD87-10083CFE933C}">
  <sheetPr>
    <tabColor theme="9" tint="0.39997558519241921"/>
  </sheetPr>
  <dimension ref="A1:C2"/>
  <sheetViews>
    <sheetView workbookViewId="0">
      <selection activeCell="D1" sqref="D1:D1048576"/>
    </sheetView>
  </sheetViews>
  <sheetFormatPr baseColWidth="10" defaultColWidth="11.42578125" defaultRowHeight="15" x14ac:dyDescent="0.25"/>
  <cols>
    <col min="1" max="1" width="12.85546875" customWidth="1"/>
    <col min="5" max="5" width="11.42578125" customWidth="1"/>
  </cols>
  <sheetData>
    <row r="1" spans="1:3" x14ac:dyDescent="0.25">
      <c r="A1" t="s">
        <v>1</v>
      </c>
      <c r="B1" t="s">
        <v>2</v>
      </c>
      <c r="C1" s="7" t="s">
        <v>2809</v>
      </c>
    </row>
    <row r="2" spans="1:3" x14ac:dyDescent="0.25">
      <c r="A2" t="s">
        <v>333</v>
      </c>
      <c r="B2" t="s">
        <v>333</v>
      </c>
      <c r="C2" s="1">
        <v>271.04000000000002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BA50D-F6F1-4AC6-B99B-2AB8BCB582B9}">
  <dimension ref="A1:J9"/>
  <sheetViews>
    <sheetView workbookViewId="0">
      <selection activeCell="E6" sqref="E6"/>
    </sheetView>
  </sheetViews>
  <sheetFormatPr baseColWidth="10" defaultColWidth="11.42578125" defaultRowHeight="15" x14ac:dyDescent="0.25"/>
  <cols>
    <col min="1" max="1" width="9.5703125" bestFit="1" customWidth="1"/>
    <col min="2" max="2" width="10.42578125" bestFit="1" customWidth="1"/>
    <col min="3" max="3" width="7.42578125" bestFit="1" customWidth="1"/>
    <col min="4" max="4" width="10" bestFit="1" customWidth="1"/>
    <col min="5" max="6" width="11" bestFit="1" customWidth="1"/>
    <col min="7" max="7" width="13.5703125" bestFit="1" customWidth="1"/>
    <col min="8" max="8" width="13" bestFit="1" customWidth="1"/>
    <col min="9" max="9" width="12.42578125" bestFit="1" customWidth="1"/>
    <col min="10" max="10" width="13.42578125" bestFit="1" customWidth="1"/>
    <col min="11" max="11" width="12.42578125" bestFit="1" customWidth="1"/>
    <col min="12" max="12" width="13.42578125" bestFit="1" customWidth="1"/>
  </cols>
  <sheetData>
    <row r="1" spans="1:10" x14ac:dyDescent="0.25">
      <c r="A1" t="s">
        <v>1</v>
      </c>
      <c r="B1" t="s">
        <v>2</v>
      </c>
      <c r="C1" t="s">
        <v>2587</v>
      </c>
      <c r="D1" t="s">
        <v>2589</v>
      </c>
      <c r="E1" t="s">
        <v>2593</v>
      </c>
      <c r="F1" t="s">
        <v>2595</v>
      </c>
      <c r="G1" t="s">
        <v>2597</v>
      </c>
      <c r="H1" t="s">
        <v>2591</v>
      </c>
      <c r="I1" t="s">
        <v>2599</v>
      </c>
      <c r="J1" t="s">
        <v>2786</v>
      </c>
    </row>
    <row r="2" spans="1:10" x14ac:dyDescent="0.25">
      <c r="A2" t="s">
        <v>37</v>
      </c>
      <c r="B2">
        <v>5</v>
      </c>
      <c r="C2">
        <v>0</v>
      </c>
      <c r="D2">
        <v>35.520000000000003</v>
      </c>
      <c r="E2">
        <v>33.82</v>
      </c>
      <c r="F2">
        <v>33.82</v>
      </c>
      <c r="G2">
        <v>33.82</v>
      </c>
      <c r="H2">
        <v>33.82</v>
      </c>
      <c r="I2">
        <v>33.82</v>
      </c>
      <c r="J2" t="s">
        <v>2581</v>
      </c>
    </row>
    <row r="3" spans="1:10" x14ac:dyDescent="0.25">
      <c r="A3" t="s">
        <v>37</v>
      </c>
      <c r="B3">
        <v>6</v>
      </c>
      <c r="C3">
        <v>0</v>
      </c>
      <c r="D3">
        <v>29.87</v>
      </c>
      <c r="E3">
        <v>28.45</v>
      </c>
      <c r="F3">
        <v>28.45</v>
      </c>
      <c r="G3">
        <v>28.45</v>
      </c>
      <c r="H3">
        <v>28.45</v>
      </c>
      <c r="I3">
        <v>28.45</v>
      </c>
      <c r="J3" t="s">
        <v>2581</v>
      </c>
    </row>
    <row r="4" spans="1:10" x14ac:dyDescent="0.25">
      <c r="A4" t="s">
        <v>37</v>
      </c>
      <c r="B4" t="s">
        <v>2609</v>
      </c>
      <c r="C4">
        <v>0</v>
      </c>
      <c r="D4">
        <v>30.34</v>
      </c>
      <c r="E4">
        <v>28.9</v>
      </c>
      <c r="F4">
        <v>28.9</v>
      </c>
      <c r="G4">
        <v>28.9</v>
      </c>
      <c r="H4">
        <v>28.9</v>
      </c>
      <c r="I4">
        <v>28.9</v>
      </c>
      <c r="J4" t="s">
        <v>2581</v>
      </c>
    </row>
    <row r="5" spans="1:10" x14ac:dyDescent="0.25">
      <c r="A5" t="s">
        <v>37</v>
      </c>
      <c r="B5" t="s">
        <v>2617</v>
      </c>
      <c r="C5">
        <v>0</v>
      </c>
      <c r="D5">
        <v>29.16</v>
      </c>
      <c r="E5">
        <v>27.78</v>
      </c>
      <c r="F5">
        <v>27.78</v>
      </c>
      <c r="G5">
        <v>27.78</v>
      </c>
      <c r="H5">
        <v>27.78</v>
      </c>
      <c r="I5">
        <v>27.78</v>
      </c>
      <c r="J5" t="s">
        <v>2581</v>
      </c>
    </row>
    <row r="6" spans="1:10" x14ac:dyDescent="0.25">
      <c r="A6" t="s">
        <v>37</v>
      </c>
      <c r="B6" t="s">
        <v>2625</v>
      </c>
      <c r="C6">
        <v>0</v>
      </c>
      <c r="D6">
        <v>27.75</v>
      </c>
      <c r="E6">
        <v>26.43</v>
      </c>
      <c r="F6">
        <v>26.43</v>
      </c>
      <c r="G6">
        <v>26.43</v>
      </c>
      <c r="H6">
        <v>26.43</v>
      </c>
      <c r="I6">
        <v>26.43</v>
      </c>
      <c r="J6" t="s">
        <v>2581</v>
      </c>
    </row>
    <row r="7" spans="1:10" x14ac:dyDescent="0.25">
      <c r="A7" t="s">
        <v>37</v>
      </c>
      <c r="B7" t="s">
        <v>2633</v>
      </c>
      <c r="C7">
        <v>0</v>
      </c>
      <c r="D7">
        <v>22.71</v>
      </c>
      <c r="E7">
        <v>21.64</v>
      </c>
      <c r="F7">
        <v>21.64</v>
      </c>
      <c r="G7">
        <v>21.64</v>
      </c>
      <c r="H7">
        <v>21.64</v>
      </c>
      <c r="I7">
        <v>21.64</v>
      </c>
      <c r="J7" t="s">
        <v>2581</v>
      </c>
    </row>
    <row r="8" spans="1:10" x14ac:dyDescent="0.25">
      <c r="A8" t="s">
        <v>37</v>
      </c>
      <c r="B8" t="s">
        <v>2641</v>
      </c>
      <c r="C8">
        <v>0</v>
      </c>
      <c r="D8">
        <v>27.75</v>
      </c>
      <c r="E8">
        <v>26.43</v>
      </c>
      <c r="F8">
        <v>26.43</v>
      </c>
      <c r="G8">
        <v>26.43</v>
      </c>
      <c r="H8">
        <v>26.43</v>
      </c>
      <c r="I8">
        <v>26.43</v>
      </c>
      <c r="J8" t="s">
        <v>2581</v>
      </c>
    </row>
    <row r="9" spans="1:10" x14ac:dyDescent="0.25">
      <c r="A9" t="s">
        <v>37</v>
      </c>
      <c r="B9" t="s">
        <v>2649</v>
      </c>
      <c r="C9">
        <v>0</v>
      </c>
      <c r="D9">
        <v>21.07</v>
      </c>
      <c r="E9">
        <v>20.07</v>
      </c>
      <c r="F9">
        <v>20.07</v>
      </c>
      <c r="G9">
        <v>20.07</v>
      </c>
      <c r="H9">
        <v>20.07</v>
      </c>
      <c r="I9">
        <v>20.07</v>
      </c>
      <c r="J9" t="s">
        <v>2581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35D94-7B74-4738-8D62-4CB938F595BC}">
  <sheetPr>
    <tabColor theme="3"/>
  </sheetPr>
  <dimension ref="A1:I9"/>
  <sheetViews>
    <sheetView workbookViewId="0">
      <selection activeCell="G14" sqref="G14"/>
    </sheetView>
  </sheetViews>
  <sheetFormatPr baseColWidth="10" defaultColWidth="11.42578125" defaultRowHeight="15" x14ac:dyDescent="0.25"/>
  <cols>
    <col min="3" max="3" width="11.42578125" style="1"/>
    <col min="7" max="7" width="13.28515625" customWidth="1"/>
    <col min="8" max="8" width="12.7109375" customWidth="1"/>
    <col min="9" max="9" width="12.140625" customWidth="1"/>
  </cols>
  <sheetData>
    <row r="1" spans="1:9" ht="15.75" thickBot="1" x14ac:dyDescent="0.3">
      <c r="A1" s="75" t="s">
        <v>1</v>
      </c>
      <c r="B1" s="76" t="s">
        <v>2</v>
      </c>
      <c r="C1" s="76" t="s">
        <v>2587</v>
      </c>
      <c r="D1" s="76" t="s">
        <v>2589</v>
      </c>
      <c r="E1" s="76" t="s">
        <v>2593</v>
      </c>
      <c r="F1" s="76" t="s">
        <v>2595</v>
      </c>
      <c r="G1" s="76" t="s">
        <v>2597</v>
      </c>
      <c r="H1" s="76" t="s">
        <v>2591</v>
      </c>
      <c r="I1" s="77" t="s">
        <v>2599</v>
      </c>
    </row>
    <row r="2" spans="1:9" ht="15.75" thickBot="1" x14ac:dyDescent="0.3">
      <c r="A2" s="78" t="s">
        <v>37</v>
      </c>
      <c r="B2" s="8">
        <v>5</v>
      </c>
      <c r="C2" s="79">
        <v>0</v>
      </c>
      <c r="D2" s="80">
        <v>39.07200000000001</v>
      </c>
      <c r="E2" s="79">
        <v>37.202000000000005</v>
      </c>
      <c r="F2" s="79">
        <v>37.202000000000005</v>
      </c>
      <c r="G2" s="79">
        <v>37.202000000000005</v>
      </c>
      <c r="H2" s="79">
        <v>37.202000000000005</v>
      </c>
      <c r="I2" s="81">
        <v>37.202000000000005</v>
      </c>
    </row>
    <row r="3" spans="1:9" ht="15.75" thickBot="1" x14ac:dyDescent="0.3">
      <c r="A3" s="82" t="s">
        <v>37</v>
      </c>
      <c r="B3" s="11">
        <v>6</v>
      </c>
      <c r="C3" s="79">
        <v>0</v>
      </c>
      <c r="D3" s="58">
        <v>32.857000000000006</v>
      </c>
      <c r="E3" s="83">
        <v>31.295000000000002</v>
      </c>
      <c r="F3" s="83">
        <v>31.295000000000002</v>
      </c>
      <c r="G3" s="83">
        <v>31.295000000000002</v>
      </c>
      <c r="H3" s="83">
        <v>31.295000000000002</v>
      </c>
      <c r="I3" s="84">
        <v>31.295000000000002</v>
      </c>
    </row>
    <row r="4" spans="1:9" ht="15.75" thickBot="1" x14ac:dyDescent="0.3">
      <c r="A4" s="82" t="s">
        <v>37</v>
      </c>
      <c r="B4" s="11" t="s">
        <v>2609</v>
      </c>
      <c r="C4" s="79">
        <v>0</v>
      </c>
      <c r="D4" s="58">
        <v>33.374000000000002</v>
      </c>
      <c r="E4" s="83">
        <v>31.790000000000003</v>
      </c>
      <c r="F4" s="83">
        <v>31.790000000000003</v>
      </c>
      <c r="G4" s="83">
        <v>31.790000000000003</v>
      </c>
      <c r="H4" s="83">
        <v>31.790000000000003</v>
      </c>
      <c r="I4" s="84">
        <v>31.790000000000003</v>
      </c>
    </row>
    <row r="5" spans="1:9" ht="15.75" thickBot="1" x14ac:dyDescent="0.3">
      <c r="A5" s="82" t="s">
        <v>37</v>
      </c>
      <c r="B5" s="11" t="s">
        <v>2617</v>
      </c>
      <c r="C5" s="79">
        <v>0</v>
      </c>
      <c r="D5" s="58">
        <v>32.076000000000001</v>
      </c>
      <c r="E5" s="83">
        <v>30.558000000000003</v>
      </c>
      <c r="F5" s="83">
        <v>30.558000000000003</v>
      </c>
      <c r="G5" s="83">
        <v>30.558000000000003</v>
      </c>
      <c r="H5" s="83">
        <v>30.558000000000003</v>
      </c>
      <c r="I5" s="84">
        <v>30.558000000000003</v>
      </c>
    </row>
    <row r="6" spans="1:9" ht="15.75" thickBot="1" x14ac:dyDescent="0.3">
      <c r="A6" s="82" t="s">
        <v>37</v>
      </c>
      <c r="B6" s="11" t="s">
        <v>2625</v>
      </c>
      <c r="C6" s="79">
        <v>0</v>
      </c>
      <c r="D6" s="58">
        <v>30.525000000000002</v>
      </c>
      <c r="E6" s="83">
        <v>29.073</v>
      </c>
      <c r="F6" s="83">
        <v>29.073</v>
      </c>
      <c r="G6" s="83">
        <v>29.073</v>
      </c>
      <c r="H6" s="83">
        <v>29.073</v>
      </c>
      <c r="I6" s="84">
        <v>29.073</v>
      </c>
    </row>
    <row r="7" spans="1:9" ht="15.75" thickBot="1" x14ac:dyDescent="0.3">
      <c r="A7" s="82" t="s">
        <v>37</v>
      </c>
      <c r="B7" s="11" t="s">
        <v>2633</v>
      </c>
      <c r="C7" s="79">
        <v>0</v>
      </c>
      <c r="D7" s="58">
        <v>24.981000000000002</v>
      </c>
      <c r="E7" s="83">
        <v>23.804000000000002</v>
      </c>
      <c r="F7" s="83">
        <v>23.804000000000002</v>
      </c>
      <c r="G7" s="83">
        <v>23.804000000000002</v>
      </c>
      <c r="H7" s="83">
        <v>23.804000000000002</v>
      </c>
      <c r="I7" s="84">
        <v>23.804000000000002</v>
      </c>
    </row>
    <row r="8" spans="1:9" ht="15.75" thickBot="1" x14ac:dyDescent="0.3">
      <c r="A8" s="82" t="s">
        <v>37</v>
      </c>
      <c r="B8" s="11" t="s">
        <v>2641</v>
      </c>
      <c r="C8" s="79">
        <v>0</v>
      </c>
      <c r="D8" s="58">
        <v>30.525000000000002</v>
      </c>
      <c r="E8" s="83">
        <v>29.073</v>
      </c>
      <c r="F8" s="83">
        <v>29.073</v>
      </c>
      <c r="G8" s="83">
        <v>29.073</v>
      </c>
      <c r="H8" s="83">
        <v>29.073</v>
      </c>
      <c r="I8" s="84">
        <v>29.073</v>
      </c>
    </row>
    <row r="9" spans="1:9" ht="15.75" thickBot="1" x14ac:dyDescent="0.3">
      <c r="A9" s="85" t="s">
        <v>37</v>
      </c>
      <c r="B9" s="86" t="s">
        <v>2649</v>
      </c>
      <c r="C9" s="79">
        <v>0</v>
      </c>
      <c r="D9" s="87">
        <v>23.177000000000003</v>
      </c>
      <c r="E9" s="88">
        <v>22.077000000000002</v>
      </c>
      <c r="F9" s="88">
        <v>22.077000000000002</v>
      </c>
      <c r="G9" s="88">
        <v>22.077000000000002</v>
      </c>
      <c r="H9" s="88">
        <v>22.077000000000002</v>
      </c>
      <c r="I9" s="89">
        <v>22.077000000000002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D1114-CCF5-4D70-80D9-2082BEA0AF9B}">
  <sheetPr>
    <tabColor theme="3"/>
  </sheetPr>
  <dimension ref="A1:J17"/>
  <sheetViews>
    <sheetView workbookViewId="0"/>
  </sheetViews>
  <sheetFormatPr baseColWidth="10" defaultColWidth="11.42578125" defaultRowHeight="15" x14ac:dyDescent="0.25"/>
  <cols>
    <col min="1" max="1" width="10.5703125" bestFit="1" customWidth="1"/>
    <col min="2" max="2" width="10.42578125" bestFit="1" customWidth="1"/>
    <col min="3" max="3" width="7.42578125" bestFit="1" customWidth="1"/>
    <col min="4" max="4" width="10" bestFit="1" customWidth="1"/>
    <col min="5" max="6" width="11" bestFit="1" customWidth="1"/>
    <col min="7" max="7" width="13.5703125" bestFit="1" customWidth="1"/>
    <col min="8" max="8" width="13" bestFit="1" customWidth="1"/>
    <col min="9" max="9" width="12.42578125" bestFit="1" customWidth="1"/>
    <col min="10" max="10" width="13.42578125" bestFit="1" customWidth="1"/>
    <col min="11" max="11" width="12.42578125" bestFit="1" customWidth="1"/>
    <col min="12" max="12" width="13.42578125" bestFit="1" customWidth="1"/>
  </cols>
  <sheetData>
    <row r="1" spans="1:10" x14ac:dyDescent="0.25">
      <c r="A1" t="s">
        <v>1</v>
      </c>
      <c r="B1" t="s">
        <v>2</v>
      </c>
      <c r="C1" t="s">
        <v>2587</v>
      </c>
      <c r="D1" t="s">
        <v>2589</v>
      </c>
      <c r="E1" t="s">
        <v>2593</v>
      </c>
      <c r="F1" t="s">
        <v>2595</v>
      </c>
      <c r="G1" t="s">
        <v>2597</v>
      </c>
      <c r="H1" t="s">
        <v>2591</v>
      </c>
      <c r="I1" t="s">
        <v>2599</v>
      </c>
      <c r="J1" t="s">
        <v>2786</v>
      </c>
    </row>
    <row r="2" spans="1:10" x14ac:dyDescent="0.25">
      <c r="A2" t="s">
        <v>37</v>
      </c>
      <c r="B2">
        <v>5</v>
      </c>
      <c r="C2">
        <v>896</v>
      </c>
      <c r="D2">
        <v>35.840000000000003</v>
      </c>
      <c r="E2">
        <v>35.840000000000003</v>
      </c>
      <c r="F2">
        <v>35.840000000000003</v>
      </c>
      <c r="G2">
        <v>35.840000000000003</v>
      </c>
      <c r="H2">
        <v>35.840000000000003</v>
      </c>
      <c r="I2">
        <v>35.840000000000003</v>
      </c>
      <c r="J2" t="s">
        <v>2582</v>
      </c>
    </row>
    <row r="3" spans="1:10" x14ac:dyDescent="0.25">
      <c r="A3" t="s">
        <v>37</v>
      </c>
      <c r="B3">
        <v>6</v>
      </c>
      <c r="C3">
        <v>896</v>
      </c>
      <c r="D3">
        <v>33.6</v>
      </c>
      <c r="E3">
        <v>33.6</v>
      </c>
      <c r="F3">
        <v>33.6</v>
      </c>
      <c r="G3">
        <v>33.6</v>
      </c>
      <c r="H3">
        <v>33.6</v>
      </c>
      <c r="I3">
        <v>33.6</v>
      </c>
      <c r="J3" t="s">
        <v>2582</v>
      </c>
    </row>
    <row r="4" spans="1:10" x14ac:dyDescent="0.25">
      <c r="A4" t="s">
        <v>37</v>
      </c>
      <c r="B4" t="s">
        <v>2609</v>
      </c>
      <c r="C4">
        <v>840</v>
      </c>
      <c r="D4">
        <v>22.4</v>
      </c>
      <c r="E4">
        <v>22.4</v>
      </c>
      <c r="F4">
        <v>22.4</v>
      </c>
      <c r="G4">
        <v>22.4</v>
      </c>
      <c r="H4">
        <v>22.4</v>
      </c>
      <c r="I4">
        <v>22.4</v>
      </c>
      <c r="J4" t="s">
        <v>2582</v>
      </c>
    </row>
    <row r="5" spans="1:10" x14ac:dyDescent="0.25">
      <c r="A5" t="s">
        <v>37</v>
      </c>
      <c r="B5" t="s">
        <v>2617</v>
      </c>
      <c r="C5">
        <v>840</v>
      </c>
      <c r="D5">
        <v>22</v>
      </c>
      <c r="E5">
        <v>22</v>
      </c>
      <c r="F5">
        <v>22</v>
      </c>
      <c r="G5">
        <v>22</v>
      </c>
      <c r="H5">
        <v>22</v>
      </c>
      <c r="I5">
        <v>22</v>
      </c>
      <c r="J5" t="s">
        <v>2582</v>
      </c>
    </row>
    <row r="6" spans="1:10" x14ac:dyDescent="0.25">
      <c r="A6" t="s">
        <v>37</v>
      </c>
      <c r="B6" t="s">
        <v>2625</v>
      </c>
      <c r="C6">
        <v>896</v>
      </c>
      <c r="D6">
        <v>24.64</v>
      </c>
      <c r="E6">
        <v>24.64</v>
      </c>
      <c r="F6">
        <v>24.64</v>
      </c>
      <c r="G6">
        <v>24.64</v>
      </c>
      <c r="H6">
        <v>24.64</v>
      </c>
      <c r="I6">
        <v>24.64</v>
      </c>
      <c r="J6" t="s">
        <v>2582</v>
      </c>
    </row>
    <row r="7" spans="1:10" x14ac:dyDescent="0.25">
      <c r="A7" t="s">
        <v>37</v>
      </c>
      <c r="B7" t="s">
        <v>2633</v>
      </c>
      <c r="C7">
        <v>784</v>
      </c>
      <c r="D7">
        <v>20.16</v>
      </c>
      <c r="E7">
        <v>20.16</v>
      </c>
      <c r="F7">
        <v>20.16</v>
      </c>
      <c r="G7">
        <v>20.16</v>
      </c>
      <c r="H7">
        <v>20.16</v>
      </c>
      <c r="I7">
        <v>20.16</v>
      </c>
      <c r="J7" t="s">
        <v>2582</v>
      </c>
    </row>
    <row r="8" spans="1:10" x14ac:dyDescent="0.25">
      <c r="A8" t="s">
        <v>37</v>
      </c>
      <c r="B8" t="s">
        <v>2641</v>
      </c>
      <c r="C8">
        <v>896</v>
      </c>
      <c r="D8">
        <v>26.88</v>
      </c>
      <c r="E8">
        <v>26.88</v>
      </c>
      <c r="F8">
        <v>26.88</v>
      </c>
      <c r="G8">
        <v>26.88</v>
      </c>
      <c r="H8">
        <v>26.88</v>
      </c>
      <c r="I8">
        <v>26.88</v>
      </c>
      <c r="J8" t="s">
        <v>2582</v>
      </c>
    </row>
    <row r="9" spans="1:10" x14ac:dyDescent="0.25">
      <c r="A9" t="s">
        <v>37</v>
      </c>
      <c r="B9" t="s">
        <v>2649</v>
      </c>
      <c r="C9">
        <v>784</v>
      </c>
      <c r="D9">
        <v>17.920000000000002</v>
      </c>
      <c r="E9">
        <v>17.920000000000002</v>
      </c>
      <c r="F9">
        <v>17.920000000000002</v>
      </c>
      <c r="G9">
        <v>17.920000000000002</v>
      </c>
      <c r="H9">
        <v>17.920000000000002</v>
      </c>
      <c r="I9">
        <v>17.920000000000002</v>
      </c>
      <c r="J9" t="s">
        <v>2582</v>
      </c>
    </row>
    <row r="10" spans="1:10" x14ac:dyDescent="0.25">
      <c r="A10" t="s">
        <v>333</v>
      </c>
      <c r="B10">
        <v>5</v>
      </c>
      <c r="C10">
        <v>896</v>
      </c>
      <c r="D10">
        <v>35.840000000000003</v>
      </c>
      <c r="E10">
        <v>35.840000000000003</v>
      </c>
      <c r="F10">
        <v>35.840000000000003</v>
      </c>
      <c r="G10">
        <v>35.840000000000003</v>
      </c>
      <c r="H10">
        <v>35.840000000000003</v>
      </c>
      <c r="I10">
        <v>35.840000000000003</v>
      </c>
      <c r="J10" t="s">
        <v>2582</v>
      </c>
    </row>
    <row r="11" spans="1:10" x14ac:dyDescent="0.25">
      <c r="A11" t="s">
        <v>333</v>
      </c>
      <c r="B11">
        <v>6</v>
      </c>
      <c r="C11">
        <v>896</v>
      </c>
      <c r="D11">
        <v>33.6</v>
      </c>
      <c r="E11">
        <v>33.6</v>
      </c>
      <c r="F11">
        <v>33.6</v>
      </c>
      <c r="G11">
        <v>33.6</v>
      </c>
      <c r="H11">
        <v>33.6</v>
      </c>
      <c r="I11">
        <v>33.6</v>
      </c>
      <c r="J11" t="s">
        <v>2582</v>
      </c>
    </row>
    <row r="12" spans="1:10" x14ac:dyDescent="0.25">
      <c r="A12" t="s">
        <v>333</v>
      </c>
      <c r="B12" t="s">
        <v>2609</v>
      </c>
      <c r="C12">
        <v>840</v>
      </c>
      <c r="D12">
        <v>22.4</v>
      </c>
      <c r="E12">
        <v>22.4</v>
      </c>
      <c r="F12">
        <v>22.4</v>
      </c>
      <c r="G12">
        <v>22.4</v>
      </c>
      <c r="H12">
        <v>22.4</v>
      </c>
      <c r="I12">
        <v>22.4</v>
      </c>
      <c r="J12" t="s">
        <v>2582</v>
      </c>
    </row>
    <row r="13" spans="1:10" x14ac:dyDescent="0.25">
      <c r="A13" t="s">
        <v>333</v>
      </c>
      <c r="B13" t="s">
        <v>2617</v>
      </c>
      <c r="C13">
        <v>840</v>
      </c>
      <c r="D13">
        <v>22.4</v>
      </c>
      <c r="E13">
        <v>22.4</v>
      </c>
      <c r="F13">
        <v>22.4</v>
      </c>
      <c r="G13">
        <v>22.4</v>
      </c>
      <c r="H13">
        <v>22.4</v>
      </c>
      <c r="I13">
        <v>22.4</v>
      </c>
      <c r="J13" t="s">
        <v>2582</v>
      </c>
    </row>
    <row r="14" spans="1:10" x14ac:dyDescent="0.25">
      <c r="A14" t="s">
        <v>333</v>
      </c>
      <c r="B14" t="s">
        <v>2625</v>
      </c>
      <c r="C14">
        <v>784</v>
      </c>
      <c r="D14">
        <v>20.16</v>
      </c>
      <c r="E14">
        <v>20.16</v>
      </c>
      <c r="F14">
        <v>20.16</v>
      </c>
      <c r="G14">
        <v>20.16</v>
      </c>
      <c r="H14">
        <v>20.16</v>
      </c>
      <c r="I14">
        <v>20.16</v>
      </c>
      <c r="J14" t="s">
        <v>2582</v>
      </c>
    </row>
    <row r="15" spans="1:10" x14ac:dyDescent="0.25">
      <c r="A15" t="s">
        <v>333</v>
      </c>
      <c r="B15" t="s">
        <v>2633</v>
      </c>
      <c r="C15">
        <v>896</v>
      </c>
      <c r="D15">
        <v>24.64</v>
      </c>
      <c r="E15">
        <v>24.64</v>
      </c>
      <c r="F15">
        <v>24.64</v>
      </c>
      <c r="G15">
        <v>24.64</v>
      </c>
      <c r="H15">
        <v>24.64</v>
      </c>
      <c r="I15">
        <v>24.64</v>
      </c>
      <c r="J15" t="s">
        <v>2582</v>
      </c>
    </row>
    <row r="16" spans="1:10" x14ac:dyDescent="0.25">
      <c r="A16" t="s">
        <v>333</v>
      </c>
      <c r="B16" t="s">
        <v>2641</v>
      </c>
      <c r="C16">
        <v>784</v>
      </c>
      <c r="D16">
        <v>17.920000000000002</v>
      </c>
      <c r="E16">
        <v>17.920000000000002</v>
      </c>
      <c r="F16">
        <v>17.920000000000002</v>
      </c>
      <c r="G16">
        <v>17.920000000000002</v>
      </c>
      <c r="H16">
        <v>17.920000000000002</v>
      </c>
      <c r="I16">
        <v>17.920000000000002</v>
      </c>
      <c r="J16" t="s">
        <v>2582</v>
      </c>
    </row>
    <row r="17" spans="1:10" x14ac:dyDescent="0.25">
      <c r="A17" t="s">
        <v>333</v>
      </c>
      <c r="B17" t="s">
        <v>2649</v>
      </c>
      <c r="C17">
        <v>896</v>
      </c>
      <c r="D17">
        <v>26.88</v>
      </c>
      <c r="E17">
        <v>26.88</v>
      </c>
      <c r="F17">
        <v>26.88</v>
      </c>
      <c r="G17">
        <v>26.88</v>
      </c>
      <c r="H17">
        <v>26.88</v>
      </c>
      <c r="I17">
        <v>26.88</v>
      </c>
      <c r="J17" t="s">
        <v>2582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CC4FB-7375-431B-ABE7-87F255E71395}">
  <sheetPr>
    <tabColor theme="3"/>
  </sheetPr>
  <dimension ref="A1:I17"/>
  <sheetViews>
    <sheetView zoomScale="80" zoomScaleNormal="80" workbookViewId="0">
      <selection sqref="A1:I17"/>
    </sheetView>
  </sheetViews>
  <sheetFormatPr baseColWidth="10" defaultColWidth="11.42578125" defaultRowHeight="15" x14ac:dyDescent="0.25"/>
  <cols>
    <col min="7" max="7" width="13.28515625" customWidth="1"/>
    <col min="8" max="8" width="12.7109375" customWidth="1"/>
    <col min="9" max="9" width="12.140625" customWidth="1"/>
  </cols>
  <sheetData>
    <row r="1" spans="1:9" ht="15.75" thickBot="1" x14ac:dyDescent="0.3">
      <c r="A1" s="75" t="s">
        <v>1</v>
      </c>
      <c r="B1" s="76" t="s">
        <v>2</v>
      </c>
      <c r="C1" s="76" t="s">
        <v>2587</v>
      </c>
      <c r="D1" s="76" t="s">
        <v>2589</v>
      </c>
      <c r="E1" s="76" t="s">
        <v>2593</v>
      </c>
      <c r="F1" s="76" t="s">
        <v>2595</v>
      </c>
      <c r="G1" s="76" t="s">
        <v>2597</v>
      </c>
      <c r="H1" s="76" t="s">
        <v>2591</v>
      </c>
      <c r="I1" s="77" t="s">
        <v>2599</v>
      </c>
    </row>
    <row r="2" spans="1:9" x14ac:dyDescent="0.25">
      <c r="A2" s="64" t="s">
        <v>37</v>
      </c>
      <c r="B2" s="8">
        <v>5</v>
      </c>
      <c r="C2" s="9">
        <v>985.60000000000025</v>
      </c>
      <c r="D2" s="10">
        <v>39.424000000000007</v>
      </c>
      <c r="E2" s="10">
        <v>39.424000000000007</v>
      </c>
      <c r="F2" s="10">
        <v>39.424000000000007</v>
      </c>
      <c r="G2" s="10">
        <v>39.424000000000007</v>
      </c>
      <c r="H2" s="10">
        <v>39.424000000000007</v>
      </c>
      <c r="I2" s="67">
        <v>39.424000000000007</v>
      </c>
    </row>
    <row r="3" spans="1:9" x14ac:dyDescent="0.25">
      <c r="A3" s="65" t="s">
        <v>37</v>
      </c>
      <c r="B3" s="11">
        <v>6</v>
      </c>
      <c r="C3" s="12">
        <v>985.60000000000025</v>
      </c>
      <c r="D3" s="13">
        <v>36.960000000000008</v>
      </c>
      <c r="E3" s="13">
        <v>36.960000000000008</v>
      </c>
      <c r="F3" s="13">
        <v>36.960000000000008</v>
      </c>
      <c r="G3" s="13">
        <v>36.960000000000008</v>
      </c>
      <c r="H3" s="13">
        <v>36.960000000000008</v>
      </c>
      <c r="I3" s="68">
        <v>36.960000000000008</v>
      </c>
    </row>
    <row r="4" spans="1:9" x14ac:dyDescent="0.25">
      <c r="A4" s="66" t="s">
        <v>37</v>
      </c>
      <c r="B4" s="17" t="s">
        <v>2609</v>
      </c>
      <c r="C4" s="18">
        <v>924.00000000000023</v>
      </c>
      <c r="D4" s="19">
        <v>24.640000000000004</v>
      </c>
      <c r="E4" s="19">
        <v>24.640000000000004</v>
      </c>
      <c r="F4" s="19">
        <v>24.640000000000004</v>
      </c>
      <c r="G4" s="19">
        <v>24.640000000000004</v>
      </c>
      <c r="H4" s="19">
        <v>24.640000000000004</v>
      </c>
      <c r="I4" s="69">
        <v>24.640000000000004</v>
      </c>
    </row>
    <row r="5" spans="1:9" x14ac:dyDescent="0.25">
      <c r="A5" s="65" t="s">
        <v>37</v>
      </c>
      <c r="B5" s="11" t="s">
        <v>2617</v>
      </c>
      <c r="C5" s="12">
        <v>924.00000000000011</v>
      </c>
      <c r="D5" s="13">
        <v>24.200000000000003</v>
      </c>
      <c r="E5" s="13">
        <v>24.200000000000003</v>
      </c>
      <c r="F5" s="13">
        <v>24.200000000000003</v>
      </c>
      <c r="G5" s="13">
        <v>24.200000000000003</v>
      </c>
      <c r="H5" s="13">
        <v>24.200000000000003</v>
      </c>
      <c r="I5" s="68">
        <v>24.200000000000003</v>
      </c>
    </row>
    <row r="6" spans="1:9" x14ac:dyDescent="0.25">
      <c r="A6" s="65" t="s">
        <v>37</v>
      </c>
      <c r="B6" s="11" t="s">
        <v>2625</v>
      </c>
      <c r="C6" s="12">
        <v>985.60000000000025</v>
      </c>
      <c r="D6" s="13">
        <v>27.104000000000003</v>
      </c>
      <c r="E6" s="13">
        <v>27.104000000000003</v>
      </c>
      <c r="F6" s="13">
        <v>27.104000000000003</v>
      </c>
      <c r="G6" s="13">
        <v>27.104000000000003</v>
      </c>
      <c r="H6" s="13">
        <v>27.104000000000003</v>
      </c>
      <c r="I6" s="68">
        <v>27.104000000000003</v>
      </c>
    </row>
    <row r="7" spans="1:9" x14ac:dyDescent="0.25">
      <c r="A7" s="66" t="s">
        <v>37</v>
      </c>
      <c r="B7" s="17" t="s">
        <v>2633</v>
      </c>
      <c r="C7" s="18">
        <v>862.4000000000002</v>
      </c>
      <c r="D7" s="19">
        <v>22.176000000000005</v>
      </c>
      <c r="E7" s="19">
        <v>22.176000000000005</v>
      </c>
      <c r="F7" s="19">
        <v>22.176000000000005</v>
      </c>
      <c r="G7" s="19">
        <v>22.176000000000005</v>
      </c>
      <c r="H7" s="19">
        <v>22.176000000000005</v>
      </c>
      <c r="I7" s="69">
        <v>22.176000000000005</v>
      </c>
    </row>
    <row r="8" spans="1:9" x14ac:dyDescent="0.25">
      <c r="A8" s="65" t="s">
        <v>37</v>
      </c>
      <c r="B8" s="11" t="s">
        <v>2641</v>
      </c>
      <c r="C8" s="12">
        <v>985.60000000000025</v>
      </c>
      <c r="D8" s="13">
        <v>29.568000000000005</v>
      </c>
      <c r="E8" s="13">
        <v>29.568000000000005</v>
      </c>
      <c r="F8" s="13">
        <v>29.568000000000005</v>
      </c>
      <c r="G8" s="13">
        <v>29.568000000000005</v>
      </c>
      <c r="H8" s="13">
        <v>29.568000000000005</v>
      </c>
      <c r="I8" s="68">
        <v>29.568000000000005</v>
      </c>
    </row>
    <row r="9" spans="1:9" x14ac:dyDescent="0.25">
      <c r="A9" s="65" t="s">
        <v>37</v>
      </c>
      <c r="B9" s="11" t="s">
        <v>2649</v>
      </c>
      <c r="C9" s="12">
        <v>862.4</v>
      </c>
      <c r="D9" s="13">
        <v>19.712000000000003</v>
      </c>
      <c r="E9" s="13">
        <v>19.712000000000003</v>
      </c>
      <c r="F9" s="13">
        <v>19.712000000000003</v>
      </c>
      <c r="G9" s="13">
        <v>19.712000000000003</v>
      </c>
      <c r="H9" s="13">
        <v>19.712000000000003</v>
      </c>
      <c r="I9" s="68">
        <v>19.712000000000003</v>
      </c>
    </row>
    <row r="10" spans="1:9" x14ac:dyDescent="0.25">
      <c r="A10" s="65" t="s">
        <v>333</v>
      </c>
      <c r="B10" s="11">
        <v>5</v>
      </c>
      <c r="C10" s="12">
        <v>985.60000000000025</v>
      </c>
      <c r="D10" s="13">
        <v>39.424000000000007</v>
      </c>
      <c r="E10" s="13">
        <v>39.424000000000007</v>
      </c>
      <c r="F10" s="13">
        <v>39.424000000000007</v>
      </c>
      <c r="G10" s="13">
        <v>39.424000000000007</v>
      </c>
      <c r="H10" s="13">
        <v>39.424000000000007</v>
      </c>
      <c r="I10" s="68">
        <v>39.424000000000007</v>
      </c>
    </row>
    <row r="11" spans="1:9" x14ac:dyDescent="0.25">
      <c r="A11" s="65" t="s">
        <v>333</v>
      </c>
      <c r="B11" s="11">
        <v>6</v>
      </c>
      <c r="C11" s="12">
        <v>985.60000000000025</v>
      </c>
      <c r="D11" s="13">
        <v>36.960000000000008</v>
      </c>
      <c r="E11" s="13">
        <v>36.960000000000008</v>
      </c>
      <c r="F11" s="13">
        <v>36.960000000000008</v>
      </c>
      <c r="G11" s="13">
        <v>36.960000000000008</v>
      </c>
      <c r="H11" s="13">
        <v>36.960000000000008</v>
      </c>
      <c r="I11" s="68">
        <v>36.960000000000008</v>
      </c>
    </row>
    <row r="12" spans="1:9" x14ac:dyDescent="0.25">
      <c r="A12" s="66" t="s">
        <v>333</v>
      </c>
      <c r="B12" s="17" t="s">
        <v>2609</v>
      </c>
      <c r="C12" s="18">
        <v>924.00000000000023</v>
      </c>
      <c r="D12" s="19">
        <v>24.640000000000004</v>
      </c>
      <c r="E12" s="19">
        <v>24.640000000000004</v>
      </c>
      <c r="F12" s="19">
        <v>24.640000000000004</v>
      </c>
      <c r="G12" s="19">
        <v>24.640000000000004</v>
      </c>
      <c r="H12" s="19">
        <v>24.640000000000004</v>
      </c>
      <c r="I12" s="69">
        <v>24.640000000000004</v>
      </c>
    </row>
    <row r="13" spans="1:9" x14ac:dyDescent="0.25">
      <c r="A13" s="66" t="s">
        <v>333</v>
      </c>
      <c r="B13" s="17" t="s">
        <v>2617</v>
      </c>
      <c r="C13" s="18">
        <v>924.00000000000023</v>
      </c>
      <c r="D13" s="19">
        <v>24.640000000000004</v>
      </c>
      <c r="E13" s="19">
        <v>24.640000000000004</v>
      </c>
      <c r="F13" s="19">
        <v>24.640000000000004</v>
      </c>
      <c r="G13" s="19">
        <v>24.640000000000004</v>
      </c>
      <c r="H13" s="19">
        <v>24.640000000000004</v>
      </c>
      <c r="I13" s="69">
        <v>24.640000000000004</v>
      </c>
    </row>
    <row r="14" spans="1:9" x14ac:dyDescent="0.25">
      <c r="A14" s="66" t="s">
        <v>333</v>
      </c>
      <c r="B14" s="17" t="s">
        <v>2625</v>
      </c>
      <c r="C14" s="18">
        <v>862.4000000000002</v>
      </c>
      <c r="D14" s="19">
        <v>22.176000000000005</v>
      </c>
      <c r="E14" s="19">
        <v>22.176000000000005</v>
      </c>
      <c r="F14" s="19">
        <v>22.176000000000005</v>
      </c>
      <c r="G14" s="19">
        <v>22.176000000000005</v>
      </c>
      <c r="H14" s="19">
        <v>22.176000000000005</v>
      </c>
      <c r="I14" s="69">
        <v>22.176000000000005</v>
      </c>
    </row>
    <row r="15" spans="1:9" x14ac:dyDescent="0.25">
      <c r="A15" s="65" t="s">
        <v>333</v>
      </c>
      <c r="B15" s="11" t="s">
        <v>2633</v>
      </c>
      <c r="C15" s="12">
        <v>985.60000000000025</v>
      </c>
      <c r="D15" s="13">
        <v>27.104000000000003</v>
      </c>
      <c r="E15" s="13">
        <v>27.104000000000003</v>
      </c>
      <c r="F15" s="13">
        <v>27.104000000000003</v>
      </c>
      <c r="G15" s="13">
        <v>27.104000000000003</v>
      </c>
      <c r="H15" s="13">
        <v>27.104000000000003</v>
      </c>
      <c r="I15" s="68">
        <v>27.104000000000003</v>
      </c>
    </row>
    <row r="16" spans="1:9" x14ac:dyDescent="0.25">
      <c r="A16" s="65" t="s">
        <v>333</v>
      </c>
      <c r="B16" s="11" t="s">
        <v>2641</v>
      </c>
      <c r="C16" s="12">
        <v>862.4000000000002</v>
      </c>
      <c r="D16" s="13">
        <v>19.712000000000003</v>
      </c>
      <c r="E16" s="13">
        <v>19.712000000000003</v>
      </c>
      <c r="F16" s="13">
        <v>19.712000000000003</v>
      </c>
      <c r="G16" s="13">
        <v>19.712000000000003</v>
      </c>
      <c r="H16" s="13">
        <v>19.712000000000003</v>
      </c>
      <c r="I16" s="68">
        <v>19.712000000000003</v>
      </c>
    </row>
    <row r="17" spans="1:9" x14ac:dyDescent="0.25">
      <c r="A17" s="70" t="s">
        <v>333</v>
      </c>
      <c r="B17" s="71" t="s">
        <v>2649</v>
      </c>
      <c r="C17" s="72">
        <v>985.60000000000025</v>
      </c>
      <c r="D17" s="73">
        <v>29.568000000000005</v>
      </c>
      <c r="E17" s="73">
        <v>29.568000000000005</v>
      </c>
      <c r="F17" s="73">
        <v>29.568000000000005</v>
      </c>
      <c r="G17" s="73">
        <v>29.568000000000005</v>
      </c>
      <c r="H17" s="73">
        <v>29.568000000000005</v>
      </c>
      <c r="I17" s="74">
        <v>29.568000000000005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810CF-B4F7-4752-9D93-01E634BA4C89}">
  <sheetPr>
    <tabColor theme="3"/>
  </sheetPr>
  <dimension ref="A1:J11"/>
  <sheetViews>
    <sheetView workbookViewId="0"/>
  </sheetViews>
  <sheetFormatPr baseColWidth="10" defaultColWidth="11.42578125" defaultRowHeight="15" x14ac:dyDescent="0.25"/>
  <cols>
    <col min="1" max="1" width="10.85546875" bestFit="1" customWidth="1"/>
    <col min="2" max="2" width="10.5703125" bestFit="1" customWidth="1"/>
    <col min="3" max="3" width="7.5703125" bestFit="1" customWidth="1"/>
    <col min="4" max="4" width="10.140625" bestFit="1" customWidth="1"/>
    <col min="5" max="10" width="10.85546875" bestFit="1" customWidth="1"/>
    <col min="11" max="11" width="12.42578125" bestFit="1" customWidth="1"/>
    <col min="12" max="12" width="13.42578125" bestFit="1" customWidth="1"/>
  </cols>
  <sheetData>
    <row r="1" spans="1:10" x14ac:dyDescent="0.25">
      <c r="A1" t="s">
        <v>1</v>
      </c>
      <c r="B1" t="s">
        <v>2</v>
      </c>
      <c r="C1" t="s">
        <v>2587</v>
      </c>
      <c r="D1" t="s">
        <v>2589</v>
      </c>
      <c r="E1" t="s">
        <v>2593</v>
      </c>
      <c r="F1" t="s">
        <v>2595</v>
      </c>
      <c r="G1" t="s">
        <v>2597</v>
      </c>
      <c r="H1" t="s">
        <v>2591</v>
      </c>
      <c r="I1" t="s">
        <v>2599</v>
      </c>
      <c r="J1" t="s">
        <v>2786</v>
      </c>
    </row>
    <row r="2" spans="1:10" x14ac:dyDescent="0.25">
      <c r="A2" t="s">
        <v>639</v>
      </c>
      <c r="B2">
        <v>1</v>
      </c>
      <c r="C2">
        <v>790</v>
      </c>
      <c r="D2">
        <v>27.22</v>
      </c>
      <c r="E2">
        <v>16.78</v>
      </c>
      <c r="F2">
        <v>12.31</v>
      </c>
      <c r="G2">
        <v>12.31</v>
      </c>
      <c r="H2">
        <v>12.31</v>
      </c>
      <c r="I2">
        <v>12.31</v>
      </c>
      <c r="J2" t="s">
        <v>2584</v>
      </c>
    </row>
    <row r="3" spans="1:10" x14ac:dyDescent="0.25">
      <c r="A3" t="s">
        <v>639</v>
      </c>
      <c r="B3">
        <v>2</v>
      </c>
      <c r="C3">
        <v>690</v>
      </c>
      <c r="D3">
        <v>24.24</v>
      </c>
      <c r="E3">
        <v>14.99</v>
      </c>
      <c r="F3">
        <v>11.19</v>
      </c>
      <c r="G3">
        <v>11.19</v>
      </c>
      <c r="H3">
        <v>11.19</v>
      </c>
      <c r="I3">
        <v>11.19</v>
      </c>
      <c r="J3" t="s">
        <v>2584</v>
      </c>
    </row>
    <row r="4" spans="1:10" x14ac:dyDescent="0.25">
      <c r="A4" t="s">
        <v>639</v>
      </c>
      <c r="B4">
        <v>3</v>
      </c>
      <c r="C4">
        <v>890</v>
      </c>
      <c r="D4">
        <v>30.21</v>
      </c>
      <c r="E4">
        <v>18.57</v>
      </c>
      <c r="F4">
        <v>13.99</v>
      </c>
      <c r="G4">
        <v>13.99</v>
      </c>
      <c r="H4">
        <v>13.99</v>
      </c>
      <c r="I4">
        <v>13.99</v>
      </c>
      <c r="J4" t="s">
        <v>2584</v>
      </c>
    </row>
    <row r="5" spans="1:10" x14ac:dyDescent="0.25">
      <c r="A5" t="s">
        <v>639</v>
      </c>
      <c r="B5">
        <v>4</v>
      </c>
      <c r="C5">
        <v>1099</v>
      </c>
      <c r="D5">
        <v>37.68</v>
      </c>
      <c r="E5">
        <v>23.05</v>
      </c>
      <c r="F5">
        <v>17.350000000000001</v>
      </c>
      <c r="G5">
        <v>17.350000000000001</v>
      </c>
      <c r="H5">
        <v>17.350000000000001</v>
      </c>
      <c r="I5">
        <v>17.350000000000001</v>
      </c>
      <c r="J5" t="s">
        <v>2584</v>
      </c>
    </row>
    <row r="6" spans="1:10" x14ac:dyDescent="0.25">
      <c r="A6" t="s">
        <v>639</v>
      </c>
      <c r="B6">
        <v>5</v>
      </c>
      <c r="C6">
        <v>1349</v>
      </c>
      <c r="D6">
        <v>45.14</v>
      </c>
      <c r="E6">
        <v>27.53</v>
      </c>
      <c r="F6">
        <v>20.149999999999999</v>
      </c>
      <c r="G6">
        <v>20.149999999999999</v>
      </c>
      <c r="H6">
        <v>20.149999999999999</v>
      </c>
      <c r="I6">
        <v>20.149999999999999</v>
      </c>
      <c r="J6" t="s">
        <v>2584</v>
      </c>
    </row>
    <row r="7" spans="1:10" x14ac:dyDescent="0.25">
      <c r="A7" t="s">
        <v>639</v>
      </c>
      <c r="B7">
        <v>6</v>
      </c>
      <c r="C7">
        <v>1649</v>
      </c>
      <c r="D7">
        <v>46.93</v>
      </c>
      <c r="E7">
        <v>28.56</v>
      </c>
      <c r="F7">
        <v>21.95</v>
      </c>
      <c r="G7">
        <v>21.95</v>
      </c>
      <c r="H7">
        <v>21.95</v>
      </c>
      <c r="I7">
        <v>21.95</v>
      </c>
      <c r="J7" t="s">
        <v>2584</v>
      </c>
    </row>
    <row r="8" spans="1:10" x14ac:dyDescent="0.25">
      <c r="A8" t="s">
        <v>639</v>
      </c>
      <c r="B8" t="s">
        <v>2609</v>
      </c>
      <c r="C8">
        <v>2149</v>
      </c>
      <c r="D8">
        <v>67.17</v>
      </c>
      <c r="E8">
        <v>41.19</v>
      </c>
      <c r="F8">
        <v>31.89</v>
      </c>
      <c r="G8">
        <v>31.89</v>
      </c>
      <c r="H8">
        <v>31.89</v>
      </c>
      <c r="I8">
        <v>31.89</v>
      </c>
      <c r="J8" t="s">
        <v>2584</v>
      </c>
    </row>
    <row r="9" spans="1:10" x14ac:dyDescent="0.25">
      <c r="A9" t="s">
        <v>639</v>
      </c>
      <c r="B9" t="s">
        <v>2617</v>
      </c>
      <c r="C9">
        <v>1949</v>
      </c>
      <c r="D9">
        <v>61.2</v>
      </c>
      <c r="E9">
        <v>37.61</v>
      </c>
      <c r="F9">
        <v>29.16</v>
      </c>
      <c r="G9">
        <v>29.16</v>
      </c>
      <c r="H9">
        <v>29.16</v>
      </c>
      <c r="I9">
        <v>29.16</v>
      </c>
      <c r="J9" t="s">
        <v>2584</v>
      </c>
    </row>
    <row r="10" spans="1:10" x14ac:dyDescent="0.25">
      <c r="A10" t="s">
        <v>639</v>
      </c>
      <c r="B10" t="s">
        <v>2625</v>
      </c>
      <c r="C10">
        <v>1549</v>
      </c>
      <c r="D10">
        <v>79.150000000000006</v>
      </c>
      <c r="E10">
        <v>48.36</v>
      </c>
      <c r="F10">
        <v>37.32</v>
      </c>
      <c r="G10">
        <v>37.32</v>
      </c>
      <c r="H10">
        <v>37.32</v>
      </c>
      <c r="I10">
        <v>37.32</v>
      </c>
      <c r="J10" t="s">
        <v>2584</v>
      </c>
    </row>
    <row r="11" spans="1:10" x14ac:dyDescent="0.25">
      <c r="A11" t="s">
        <v>639</v>
      </c>
      <c r="B11" t="s">
        <v>2633</v>
      </c>
      <c r="C11">
        <v>2349</v>
      </c>
      <c r="D11">
        <v>73.14</v>
      </c>
      <c r="E11">
        <v>44.78</v>
      </c>
      <c r="F11">
        <v>34.6</v>
      </c>
      <c r="G11">
        <v>34.6</v>
      </c>
      <c r="H11">
        <v>34.6</v>
      </c>
      <c r="I11">
        <v>34.6</v>
      </c>
      <c r="J11" t="s">
        <v>2584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7C376-8D69-4A05-B865-20C647144B4C}">
  <sheetPr>
    <tabColor theme="3"/>
  </sheetPr>
  <dimension ref="A1:O11"/>
  <sheetViews>
    <sheetView zoomScale="70" zoomScaleNormal="70" workbookViewId="0">
      <selection activeCell="A29" sqref="A29"/>
    </sheetView>
  </sheetViews>
  <sheetFormatPr baseColWidth="10" defaultColWidth="11.42578125" defaultRowHeight="15" x14ac:dyDescent="0.25"/>
  <cols>
    <col min="1" max="1" width="15" bestFit="1" customWidth="1"/>
    <col min="2" max="3" width="10.85546875" customWidth="1"/>
    <col min="4" max="4" width="12" customWidth="1"/>
    <col min="7" max="7" width="13.28515625" customWidth="1"/>
    <col min="8" max="8" width="12.7109375" customWidth="1"/>
    <col min="9" max="9" width="12.85546875" bestFit="1" customWidth="1"/>
    <col min="12" max="12" width="29.85546875" bestFit="1" customWidth="1"/>
    <col min="13" max="13" width="16.42578125" bestFit="1" customWidth="1"/>
    <col min="14" max="14" width="19.5703125" bestFit="1" customWidth="1"/>
  </cols>
  <sheetData>
    <row r="1" spans="1:15" x14ac:dyDescent="0.25">
      <c r="A1" s="75" t="s">
        <v>1</v>
      </c>
      <c r="B1" s="76" t="s">
        <v>2</v>
      </c>
      <c r="C1" s="76" t="s">
        <v>2587</v>
      </c>
      <c r="D1" s="76" t="s">
        <v>2589</v>
      </c>
      <c r="E1" s="76" t="s">
        <v>2593</v>
      </c>
      <c r="F1" s="76" t="s">
        <v>2595</v>
      </c>
      <c r="G1" s="76" t="s">
        <v>2597</v>
      </c>
      <c r="H1" s="76" t="s">
        <v>2591</v>
      </c>
      <c r="I1" s="77" t="s">
        <v>2599</v>
      </c>
      <c r="L1" s="14" t="s">
        <v>2813</v>
      </c>
      <c r="M1" s="14" t="s">
        <v>2814</v>
      </c>
      <c r="N1" s="14" t="s">
        <v>2815</v>
      </c>
      <c r="O1" s="14" t="s">
        <v>2816</v>
      </c>
    </row>
    <row r="2" spans="1:15" x14ac:dyDescent="0.25">
      <c r="A2" s="57" t="s">
        <v>639</v>
      </c>
      <c r="B2" s="94">
        <v>1</v>
      </c>
      <c r="C2" s="90">
        <v>869.00000000000011</v>
      </c>
      <c r="D2" s="90">
        <v>29.942</v>
      </c>
      <c r="E2" s="90">
        <v>18.458000000000002</v>
      </c>
      <c r="F2" s="90">
        <v>13.541000000000002</v>
      </c>
      <c r="G2" s="90">
        <v>13.541000000000002</v>
      </c>
      <c r="H2" s="90">
        <v>13.541000000000002</v>
      </c>
      <c r="I2" s="91">
        <v>13.541000000000002</v>
      </c>
      <c r="K2" s="14" t="s">
        <v>2817</v>
      </c>
      <c r="L2" s="15">
        <v>0.2</v>
      </c>
      <c r="M2" s="15">
        <v>150</v>
      </c>
      <c r="N2" s="15">
        <v>149</v>
      </c>
      <c r="O2" s="15">
        <v>350</v>
      </c>
    </row>
    <row r="3" spans="1:15" x14ac:dyDescent="0.25">
      <c r="A3" s="57" t="s">
        <v>639</v>
      </c>
      <c r="B3" s="94">
        <v>2</v>
      </c>
      <c r="C3" s="90">
        <v>759.00000000000011</v>
      </c>
      <c r="D3" s="90">
        <v>26.664000000000001</v>
      </c>
      <c r="E3" s="90">
        <v>16.489000000000001</v>
      </c>
      <c r="F3" s="90">
        <v>12.309000000000001</v>
      </c>
      <c r="G3" s="90">
        <v>12.309000000000001</v>
      </c>
      <c r="H3" s="90">
        <v>12.309000000000001</v>
      </c>
      <c r="I3" s="91">
        <v>12.309000000000001</v>
      </c>
      <c r="K3" s="14" t="s">
        <v>2818</v>
      </c>
      <c r="L3" s="16">
        <v>168</v>
      </c>
      <c r="M3" s="16">
        <v>168</v>
      </c>
      <c r="N3" s="16">
        <v>224</v>
      </c>
      <c r="O3" s="16">
        <v>350</v>
      </c>
    </row>
    <row r="4" spans="1:15" x14ac:dyDescent="0.25">
      <c r="A4" s="57" t="s">
        <v>639</v>
      </c>
      <c r="B4" s="94">
        <v>3</v>
      </c>
      <c r="C4" s="90">
        <v>979.00000000000011</v>
      </c>
      <c r="D4" s="90">
        <v>33.231000000000002</v>
      </c>
      <c r="E4" s="90">
        <v>20.427000000000003</v>
      </c>
      <c r="F4" s="90">
        <v>15.389000000000001</v>
      </c>
      <c r="G4" s="90">
        <v>15.389000000000001</v>
      </c>
      <c r="H4" s="90">
        <v>15.389000000000001</v>
      </c>
      <c r="I4" s="91">
        <v>15.389000000000001</v>
      </c>
    </row>
    <row r="5" spans="1:15" x14ac:dyDescent="0.25">
      <c r="A5" s="57" t="s">
        <v>639</v>
      </c>
      <c r="B5" s="94">
        <v>4</v>
      </c>
      <c r="C5" s="90">
        <v>1208.9000000000001</v>
      </c>
      <c r="D5" s="90">
        <v>41.448</v>
      </c>
      <c r="E5" s="90">
        <v>25.355000000000004</v>
      </c>
      <c r="F5" s="90">
        <v>19.085000000000004</v>
      </c>
      <c r="G5" s="90">
        <v>19.085000000000004</v>
      </c>
      <c r="H5" s="90">
        <v>19.085000000000004</v>
      </c>
      <c r="I5" s="91">
        <v>19.085000000000004</v>
      </c>
    </row>
    <row r="6" spans="1:15" x14ac:dyDescent="0.25">
      <c r="A6" s="57" t="s">
        <v>639</v>
      </c>
      <c r="B6" s="94">
        <v>5</v>
      </c>
      <c r="C6" s="90">
        <v>1483.9</v>
      </c>
      <c r="D6" s="90">
        <v>49.654000000000003</v>
      </c>
      <c r="E6" s="90">
        <v>30.283000000000005</v>
      </c>
      <c r="F6" s="90">
        <v>22.164999999999999</v>
      </c>
      <c r="G6" s="90">
        <v>22.164999999999999</v>
      </c>
      <c r="H6" s="90">
        <v>22.164999999999999</v>
      </c>
      <c r="I6" s="91">
        <v>22.164999999999999</v>
      </c>
    </row>
    <row r="7" spans="1:15" x14ac:dyDescent="0.25">
      <c r="A7" s="57" t="s">
        <v>639</v>
      </c>
      <c r="B7" s="94">
        <v>6</v>
      </c>
      <c r="C7" s="90">
        <v>1813.9</v>
      </c>
      <c r="D7" s="90">
        <v>51.623000000000005</v>
      </c>
      <c r="E7" s="90">
        <v>31.416</v>
      </c>
      <c r="F7" s="90">
        <v>24.145</v>
      </c>
      <c r="G7" s="90">
        <v>24.145</v>
      </c>
      <c r="H7" s="90">
        <v>24.145</v>
      </c>
      <c r="I7" s="91">
        <v>24.145</v>
      </c>
    </row>
    <row r="8" spans="1:15" x14ac:dyDescent="0.25">
      <c r="A8" s="57" t="s">
        <v>639</v>
      </c>
      <c r="B8" s="94" t="s">
        <v>2609</v>
      </c>
      <c r="C8" s="90">
        <v>2363.9</v>
      </c>
      <c r="D8" s="90">
        <v>73.887000000000015</v>
      </c>
      <c r="E8" s="90">
        <v>45.309000000000005</v>
      </c>
      <c r="F8" s="90">
        <v>35.079000000000001</v>
      </c>
      <c r="G8" s="90">
        <v>35.079000000000001</v>
      </c>
      <c r="H8" s="90">
        <v>35.079000000000001</v>
      </c>
      <c r="I8" s="91">
        <v>35.079000000000001</v>
      </c>
    </row>
    <row r="9" spans="1:15" x14ac:dyDescent="0.25">
      <c r="A9" s="57" t="s">
        <v>639</v>
      </c>
      <c r="B9" s="94" t="s">
        <v>2617</v>
      </c>
      <c r="C9" s="90">
        <v>2143.9</v>
      </c>
      <c r="D9" s="90">
        <v>67.320000000000007</v>
      </c>
      <c r="E9" s="90">
        <v>41.371000000000002</v>
      </c>
      <c r="F9" s="90">
        <v>32.076000000000001</v>
      </c>
      <c r="G9" s="90">
        <v>32.076000000000001</v>
      </c>
      <c r="H9" s="90">
        <v>32.076000000000001</v>
      </c>
      <c r="I9" s="91">
        <v>32.076000000000001</v>
      </c>
    </row>
    <row r="10" spans="1:15" x14ac:dyDescent="0.25">
      <c r="A10" s="57" t="s">
        <v>639</v>
      </c>
      <c r="B10" s="94" t="s">
        <v>2625</v>
      </c>
      <c r="C10" s="90">
        <v>1703.9</v>
      </c>
      <c r="D10" s="90">
        <v>87.065000000000012</v>
      </c>
      <c r="E10" s="90">
        <v>53.196000000000005</v>
      </c>
      <c r="F10" s="90">
        <v>41.052000000000007</v>
      </c>
      <c r="G10" s="90">
        <v>41.052000000000007</v>
      </c>
      <c r="H10" s="90">
        <v>41.052000000000007</v>
      </c>
      <c r="I10" s="91">
        <v>41.052000000000007</v>
      </c>
    </row>
    <row r="11" spans="1:15" x14ac:dyDescent="0.25">
      <c r="A11" s="61" t="s">
        <v>639</v>
      </c>
      <c r="B11" s="95" t="s">
        <v>2633</v>
      </c>
      <c r="C11" s="92">
        <v>2583.9</v>
      </c>
      <c r="D11" s="92">
        <v>80.454000000000008</v>
      </c>
      <c r="E11" s="92">
        <v>49.258000000000003</v>
      </c>
      <c r="F11" s="92">
        <v>38.06</v>
      </c>
      <c r="G11" s="92">
        <v>38.06</v>
      </c>
      <c r="H11" s="92">
        <v>38.06</v>
      </c>
      <c r="I11" s="93">
        <v>38.06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2BD60-60EF-414C-8B91-65CB18930664}">
  <sheetPr>
    <tabColor theme="3"/>
  </sheetPr>
  <dimension ref="A1:J9"/>
  <sheetViews>
    <sheetView workbookViewId="0"/>
  </sheetViews>
  <sheetFormatPr baseColWidth="10" defaultColWidth="11.42578125" defaultRowHeight="15" x14ac:dyDescent="0.25"/>
  <cols>
    <col min="1" max="1" width="9.7109375" bestFit="1" customWidth="1"/>
    <col min="2" max="2" width="10.5703125" bestFit="1" customWidth="1"/>
    <col min="3" max="3" width="7.5703125" bestFit="1" customWidth="1"/>
    <col min="4" max="4" width="10.140625" bestFit="1" customWidth="1"/>
    <col min="5" max="10" width="10.85546875" bestFit="1" customWidth="1"/>
    <col min="11" max="11" width="12.42578125" bestFit="1" customWidth="1"/>
    <col min="12" max="12" width="13.42578125" bestFit="1" customWidth="1"/>
  </cols>
  <sheetData>
    <row r="1" spans="1:10" x14ac:dyDescent="0.25">
      <c r="A1" t="s">
        <v>1</v>
      </c>
      <c r="B1" t="s">
        <v>2</v>
      </c>
      <c r="C1" t="s">
        <v>2587</v>
      </c>
      <c r="D1" t="s">
        <v>2589</v>
      </c>
      <c r="E1" t="s">
        <v>2593</v>
      </c>
      <c r="F1" t="s">
        <v>2595</v>
      </c>
      <c r="G1" t="s">
        <v>2597</v>
      </c>
      <c r="H1" t="s">
        <v>2591</v>
      </c>
      <c r="I1" t="s">
        <v>2599</v>
      </c>
      <c r="J1" t="s">
        <v>2786</v>
      </c>
    </row>
    <row r="2" spans="1:10" x14ac:dyDescent="0.25">
      <c r="A2" t="s">
        <v>37</v>
      </c>
      <c r="B2">
        <v>5</v>
      </c>
      <c r="C2">
        <v>38.15</v>
      </c>
      <c r="D2">
        <v>38.15</v>
      </c>
      <c r="E2">
        <v>38.15</v>
      </c>
      <c r="F2">
        <v>38.15</v>
      </c>
      <c r="G2">
        <v>38.15</v>
      </c>
      <c r="H2">
        <v>37.26</v>
      </c>
      <c r="I2">
        <v>35.909999999999997</v>
      </c>
      <c r="J2" t="s">
        <v>2583</v>
      </c>
    </row>
    <row r="3" spans="1:10" x14ac:dyDescent="0.25">
      <c r="A3" t="s">
        <v>37</v>
      </c>
      <c r="B3">
        <v>6</v>
      </c>
      <c r="C3">
        <v>29.18</v>
      </c>
      <c r="D3">
        <v>29.18</v>
      </c>
      <c r="E3">
        <v>29.18</v>
      </c>
      <c r="F3">
        <v>29.18</v>
      </c>
      <c r="G3">
        <v>29.18</v>
      </c>
      <c r="H3">
        <v>26.93</v>
      </c>
      <c r="I3">
        <v>25.59</v>
      </c>
      <c r="J3" t="s">
        <v>2583</v>
      </c>
    </row>
    <row r="4" spans="1:10" x14ac:dyDescent="0.25">
      <c r="A4" t="s">
        <v>37</v>
      </c>
      <c r="B4" t="s">
        <v>2609</v>
      </c>
      <c r="C4">
        <v>29.18</v>
      </c>
      <c r="D4">
        <v>29.18</v>
      </c>
      <c r="E4">
        <v>29.18</v>
      </c>
      <c r="F4">
        <v>29.18</v>
      </c>
      <c r="G4">
        <v>29.18</v>
      </c>
      <c r="H4">
        <v>26.93</v>
      </c>
      <c r="I4">
        <v>25.59</v>
      </c>
      <c r="J4" t="s">
        <v>2583</v>
      </c>
    </row>
    <row r="5" spans="1:10" x14ac:dyDescent="0.25">
      <c r="A5" t="s">
        <v>37</v>
      </c>
      <c r="B5" t="s">
        <v>2617</v>
      </c>
      <c r="C5">
        <v>29.18</v>
      </c>
      <c r="D5">
        <v>29.18</v>
      </c>
      <c r="E5">
        <v>29.18</v>
      </c>
      <c r="F5">
        <v>29.18</v>
      </c>
      <c r="G5">
        <v>29.18</v>
      </c>
      <c r="H5">
        <v>26.93</v>
      </c>
      <c r="I5">
        <v>25.59</v>
      </c>
      <c r="J5" t="s">
        <v>2583</v>
      </c>
    </row>
    <row r="6" spans="1:10" x14ac:dyDescent="0.25">
      <c r="A6" t="s">
        <v>37</v>
      </c>
      <c r="B6" t="s">
        <v>2625</v>
      </c>
      <c r="C6">
        <v>24.69</v>
      </c>
      <c r="D6">
        <v>24.69</v>
      </c>
      <c r="E6">
        <v>24.69</v>
      </c>
      <c r="F6">
        <v>24.69</v>
      </c>
      <c r="G6">
        <v>24.69</v>
      </c>
      <c r="H6">
        <v>22.44</v>
      </c>
      <c r="I6">
        <v>21.55</v>
      </c>
      <c r="J6" t="s">
        <v>2583</v>
      </c>
    </row>
    <row r="7" spans="1:10" x14ac:dyDescent="0.25">
      <c r="A7" t="s">
        <v>37</v>
      </c>
      <c r="B7" t="s">
        <v>2633</v>
      </c>
      <c r="C7">
        <v>18.850000000000001</v>
      </c>
      <c r="D7">
        <v>18.850000000000001</v>
      </c>
      <c r="E7">
        <v>18.850000000000001</v>
      </c>
      <c r="F7">
        <v>18.850000000000001</v>
      </c>
      <c r="G7">
        <v>18.850000000000001</v>
      </c>
      <c r="H7">
        <v>17.96</v>
      </c>
      <c r="I7">
        <v>17.059999999999999</v>
      </c>
      <c r="J7" t="s">
        <v>2583</v>
      </c>
    </row>
    <row r="8" spans="1:10" x14ac:dyDescent="0.25">
      <c r="A8" t="s">
        <v>37</v>
      </c>
      <c r="B8" t="s">
        <v>2641</v>
      </c>
      <c r="C8">
        <v>24.69</v>
      </c>
      <c r="D8">
        <v>24.69</v>
      </c>
      <c r="E8">
        <v>24.69</v>
      </c>
      <c r="F8">
        <v>24.69</v>
      </c>
      <c r="G8">
        <v>24.69</v>
      </c>
      <c r="H8">
        <v>22.44</v>
      </c>
      <c r="I8">
        <v>21.55</v>
      </c>
      <c r="J8" t="s">
        <v>2583</v>
      </c>
    </row>
    <row r="9" spans="1:10" x14ac:dyDescent="0.25">
      <c r="A9" t="s">
        <v>37</v>
      </c>
      <c r="B9" t="s">
        <v>2649</v>
      </c>
      <c r="C9">
        <v>15.71</v>
      </c>
      <c r="D9">
        <v>15.71</v>
      </c>
      <c r="E9">
        <v>15.71</v>
      </c>
      <c r="F9">
        <v>15.71</v>
      </c>
      <c r="G9">
        <v>15.71</v>
      </c>
      <c r="H9">
        <v>14.81</v>
      </c>
      <c r="I9">
        <v>13.47</v>
      </c>
      <c r="J9" t="s">
        <v>2583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6E708-7DE8-4399-BDCC-A09BF5200137}">
  <sheetPr>
    <tabColor theme="3"/>
  </sheetPr>
  <dimension ref="A1:I9"/>
  <sheetViews>
    <sheetView workbookViewId="0">
      <selection sqref="A1:I9"/>
    </sheetView>
  </sheetViews>
  <sheetFormatPr baseColWidth="10" defaultColWidth="11.42578125" defaultRowHeight="15" x14ac:dyDescent="0.25"/>
  <cols>
    <col min="7" max="7" width="13.28515625" customWidth="1"/>
    <col min="8" max="8" width="12.7109375" customWidth="1"/>
    <col min="9" max="9" width="12.140625" customWidth="1"/>
  </cols>
  <sheetData>
    <row r="1" spans="1:9" ht="15.75" thickBot="1" x14ac:dyDescent="0.3">
      <c r="A1" s="75" t="s">
        <v>1</v>
      </c>
      <c r="B1" s="76" t="s">
        <v>2</v>
      </c>
      <c r="C1" s="76" t="s">
        <v>2587</v>
      </c>
      <c r="D1" s="76" t="s">
        <v>2589</v>
      </c>
      <c r="E1" s="76" t="s">
        <v>2593</v>
      </c>
      <c r="F1" s="76" t="s">
        <v>2595</v>
      </c>
      <c r="G1" s="76" t="s">
        <v>2597</v>
      </c>
      <c r="H1" s="76" t="s">
        <v>2591</v>
      </c>
      <c r="I1" s="77" t="s">
        <v>2599</v>
      </c>
    </row>
    <row r="2" spans="1:9" x14ac:dyDescent="0.25">
      <c r="A2" s="64" t="s">
        <v>37</v>
      </c>
      <c r="B2" s="8">
        <v>5</v>
      </c>
      <c r="C2" s="80">
        <v>41.965000000000003</v>
      </c>
      <c r="D2" s="80">
        <v>41.965000000000003</v>
      </c>
      <c r="E2" s="79">
        <v>41.965000000000003</v>
      </c>
      <c r="F2" s="79">
        <v>41.965000000000003</v>
      </c>
      <c r="G2" s="79">
        <v>41.965000000000003</v>
      </c>
      <c r="H2" s="79">
        <v>40.986000000000004</v>
      </c>
      <c r="I2" s="81">
        <v>39.500999999999998</v>
      </c>
    </row>
    <row r="3" spans="1:9" x14ac:dyDescent="0.25">
      <c r="A3" s="65" t="s">
        <v>37</v>
      </c>
      <c r="B3" s="11">
        <v>6</v>
      </c>
      <c r="C3" s="58">
        <v>32.097999999999999</v>
      </c>
      <c r="D3" s="58">
        <v>32.097999999999999</v>
      </c>
      <c r="E3" s="58">
        <v>32.097999999999999</v>
      </c>
      <c r="F3" s="58">
        <v>32.097999999999999</v>
      </c>
      <c r="G3" s="58">
        <v>32.097999999999999</v>
      </c>
      <c r="H3" s="83">
        <v>29.623000000000001</v>
      </c>
      <c r="I3" s="84">
        <v>28.149000000000001</v>
      </c>
    </row>
    <row r="4" spans="1:9" x14ac:dyDescent="0.25">
      <c r="A4" s="65" t="s">
        <v>37</v>
      </c>
      <c r="B4" s="11" t="s">
        <v>2609</v>
      </c>
      <c r="C4" s="58">
        <v>32.097999999999999</v>
      </c>
      <c r="D4" s="58">
        <v>32.097999999999999</v>
      </c>
      <c r="E4" s="58">
        <v>32.097999999999999</v>
      </c>
      <c r="F4" s="58">
        <v>32.097999999999999</v>
      </c>
      <c r="G4" s="58">
        <v>32.097999999999999</v>
      </c>
      <c r="H4" s="83">
        <v>29.623000000000001</v>
      </c>
      <c r="I4" s="84">
        <v>28.149000000000001</v>
      </c>
    </row>
    <row r="5" spans="1:9" x14ac:dyDescent="0.25">
      <c r="A5" s="65" t="s">
        <v>37</v>
      </c>
      <c r="B5" s="11" t="s">
        <v>2617</v>
      </c>
      <c r="C5" s="58">
        <v>32.097999999999999</v>
      </c>
      <c r="D5" s="58">
        <v>32.097999999999999</v>
      </c>
      <c r="E5" s="58">
        <v>32.097999999999999</v>
      </c>
      <c r="F5" s="58">
        <v>32.097999999999999</v>
      </c>
      <c r="G5" s="58">
        <v>32.097999999999999</v>
      </c>
      <c r="H5" s="83">
        <v>29.623000000000001</v>
      </c>
      <c r="I5" s="84">
        <v>28.149000000000001</v>
      </c>
    </row>
    <row r="6" spans="1:9" x14ac:dyDescent="0.25">
      <c r="A6" s="65" t="s">
        <v>37</v>
      </c>
      <c r="B6" s="11" t="s">
        <v>2625</v>
      </c>
      <c r="C6" s="58">
        <v>27.159000000000002</v>
      </c>
      <c r="D6" s="58">
        <v>27.159000000000002</v>
      </c>
      <c r="E6" s="58">
        <v>27.159000000000002</v>
      </c>
      <c r="F6" s="58">
        <v>27.159000000000002</v>
      </c>
      <c r="G6" s="58">
        <v>27.159000000000002</v>
      </c>
      <c r="H6" s="83">
        <v>24.684000000000005</v>
      </c>
      <c r="I6" s="84">
        <v>23.705000000000002</v>
      </c>
    </row>
    <row r="7" spans="1:9" x14ac:dyDescent="0.25">
      <c r="A7" s="65" t="s">
        <v>37</v>
      </c>
      <c r="B7" s="11" t="s">
        <v>2633</v>
      </c>
      <c r="C7" s="58">
        <v>20.735000000000003</v>
      </c>
      <c r="D7" s="58">
        <v>20.735000000000003</v>
      </c>
      <c r="E7" s="58">
        <v>20.735000000000003</v>
      </c>
      <c r="F7" s="58">
        <v>20.735000000000003</v>
      </c>
      <c r="G7" s="58">
        <v>20.735000000000003</v>
      </c>
      <c r="H7" s="83">
        <v>19.756000000000004</v>
      </c>
      <c r="I7" s="84">
        <v>18.766000000000002</v>
      </c>
    </row>
    <row r="8" spans="1:9" x14ac:dyDescent="0.25">
      <c r="A8" s="65" t="s">
        <v>37</v>
      </c>
      <c r="B8" s="11" t="s">
        <v>2641</v>
      </c>
      <c r="C8" s="58">
        <v>27.159000000000002</v>
      </c>
      <c r="D8" s="58">
        <v>27.159000000000002</v>
      </c>
      <c r="E8" s="58">
        <v>27.159000000000002</v>
      </c>
      <c r="F8" s="58">
        <v>27.159000000000002</v>
      </c>
      <c r="G8" s="58">
        <v>27.159000000000002</v>
      </c>
      <c r="H8" s="83">
        <v>24.684000000000005</v>
      </c>
      <c r="I8" s="84">
        <v>23.705000000000002</v>
      </c>
    </row>
    <row r="9" spans="1:9" x14ac:dyDescent="0.25">
      <c r="A9" s="70" t="s">
        <v>37</v>
      </c>
      <c r="B9" s="71" t="s">
        <v>2649</v>
      </c>
      <c r="C9" s="96">
        <v>17.281000000000002</v>
      </c>
      <c r="D9" s="96">
        <v>17.281000000000002</v>
      </c>
      <c r="E9" s="96">
        <v>17.281000000000002</v>
      </c>
      <c r="F9" s="96">
        <v>17.281000000000002</v>
      </c>
      <c r="G9" s="96">
        <v>17.281000000000002</v>
      </c>
      <c r="H9" s="97">
        <v>16.291</v>
      </c>
      <c r="I9" s="98">
        <v>14.817000000000002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07499-3775-498C-95E9-7DFA4A65DFC5}">
  <sheetPr>
    <tabColor rgb="FF00B0F0"/>
  </sheetPr>
  <dimension ref="A1:I34"/>
  <sheetViews>
    <sheetView topLeftCell="A15" zoomScale="70" zoomScaleNormal="70" workbookViewId="0">
      <selection activeCell="A24" activeCellId="1" sqref="A19:I19 A24"/>
    </sheetView>
  </sheetViews>
  <sheetFormatPr baseColWidth="10" defaultColWidth="11.42578125" defaultRowHeight="15" x14ac:dyDescent="0.25"/>
  <cols>
    <col min="1" max="1" width="19.42578125" customWidth="1"/>
    <col min="2" max="2" width="22" customWidth="1"/>
    <col min="3" max="4" width="23.42578125" style="48" customWidth="1"/>
    <col min="5" max="5" width="21.7109375" customWidth="1"/>
    <col min="6" max="6" width="32.7109375" customWidth="1"/>
    <col min="7" max="8" width="12.85546875" customWidth="1"/>
    <col min="9" max="9" width="12.7109375" customWidth="1"/>
  </cols>
  <sheetData>
    <row r="1" spans="1:9" ht="34.5" customHeight="1" x14ac:dyDescent="0.25">
      <c r="A1" s="51" t="s">
        <v>2819</v>
      </c>
      <c r="B1" s="51" t="s">
        <v>2786</v>
      </c>
      <c r="C1" s="50" t="s">
        <v>2820</v>
      </c>
      <c r="D1" s="50" t="s">
        <v>2821</v>
      </c>
      <c r="E1" s="50" t="s">
        <v>2822</v>
      </c>
      <c r="F1" s="50" t="s">
        <v>2823</v>
      </c>
      <c r="G1" s="51"/>
      <c r="H1" s="51"/>
      <c r="I1" s="50"/>
    </row>
    <row r="2" spans="1:9" x14ac:dyDescent="0.25">
      <c r="A2" t="s">
        <v>2824</v>
      </c>
      <c r="B2" s="135" t="s">
        <v>7</v>
      </c>
      <c r="C2" s="48">
        <v>0.1</v>
      </c>
      <c r="D2" s="134" t="s">
        <v>2825</v>
      </c>
      <c r="E2" s="133" t="s">
        <v>2826</v>
      </c>
      <c r="F2" s="133" t="s">
        <v>2827</v>
      </c>
      <c r="H2" s="52"/>
      <c r="I2" s="48"/>
    </row>
    <row r="3" spans="1:9" x14ac:dyDescent="0.25">
      <c r="A3" t="s">
        <v>2824</v>
      </c>
      <c r="B3" s="52" t="s">
        <v>4</v>
      </c>
      <c r="C3" s="48">
        <v>0.13</v>
      </c>
      <c r="D3" s="133"/>
      <c r="E3" s="133"/>
      <c r="F3" s="133" t="s">
        <v>2827</v>
      </c>
      <c r="H3" s="52"/>
      <c r="I3" s="48"/>
    </row>
    <row r="4" spans="1:9" x14ac:dyDescent="0.25">
      <c r="A4" t="s">
        <v>2828</v>
      </c>
      <c r="B4" s="135" t="s">
        <v>2569</v>
      </c>
      <c r="C4" s="48">
        <v>9.6500000000000002E-2</v>
      </c>
      <c r="D4" s="134" t="s">
        <v>2825</v>
      </c>
      <c r="E4" s="133" t="s">
        <v>2826</v>
      </c>
      <c r="F4" s="133" t="s">
        <v>2827</v>
      </c>
      <c r="H4" s="52"/>
      <c r="I4" s="48"/>
    </row>
    <row r="5" spans="1:9" x14ac:dyDescent="0.25">
      <c r="A5" t="s">
        <v>2824</v>
      </c>
      <c r="B5" s="52" t="s">
        <v>8</v>
      </c>
      <c r="C5" s="49">
        <v>0.1</v>
      </c>
      <c r="D5" s="7"/>
      <c r="E5" s="7"/>
      <c r="F5" s="133" t="s">
        <v>2827</v>
      </c>
      <c r="H5" s="52"/>
      <c r="I5" s="49"/>
    </row>
    <row r="6" spans="1:9" x14ac:dyDescent="0.25">
      <c r="A6" t="s">
        <v>2824</v>
      </c>
      <c r="B6" s="135" t="s">
        <v>2568</v>
      </c>
      <c r="C6" s="48">
        <v>0.1</v>
      </c>
      <c r="D6" s="133" t="s">
        <v>2825</v>
      </c>
      <c r="E6" s="133" t="s">
        <v>2825</v>
      </c>
      <c r="F6" s="133" t="s">
        <v>2827</v>
      </c>
      <c r="H6" s="52"/>
      <c r="I6" s="48"/>
    </row>
    <row r="7" spans="1:9" x14ac:dyDescent="0.25">
      <c r="A7" t="s">
        <v>2824</v>
      </c>
      <c r="B7" s="135" t="s">
        <v>14</v>
      </c>
      <c r="C7" s="48">
        <v>0.1</v>
      </c>
      <c r="D7" s="133" t="s">
        <v>2826</v>
      </c>
      <c r="E7" s="133" t="s">
        <v>2826</v>
      </c>
      <c r="F7" s="133" t="s">
        <v>2827</v>
      </c>
      <c r="H7" s="52"/>
      <c r="I7" s="48"/>
    </row>
    <row r="8" spans="1:9" x14ac:dyDescent="0.25">
      <c r="A8" t="s">
        <v>2824</v>
      </c>
      <c r="B8" s="52" t="s">
        <v>10</v>
      </c>
      <c r="C8" s="48">
        <v>0.125</v>
      </c>
      <c r="D8" s="133" t="s">
        <v>2827</v>
      </c>
      <c r="E8" s="133"/>
      <c r="F8" s="133" t="s">
        <v>2827</v>
      </c>
      <c r="H8" s="52"/>
      <c r="I8" s="48"/>
    </row>
    <row r="9" spans="1:9" x14ac:dyDescent="0.25">
      <c r="A9" t="s">
        <v>2824</v>
      </c>
      <c r="B9" s="52" t="s">
        <v>6</v>
      </c>
      <c r="C9" s="48">
        <v>0.12</v>
      </c>
      <c r="D9" s="133"/>
      <c r="E9" s="133"/>
      <c r="F9" s="133" t="s">
        <v>2827</v>
      </c>
      <c r="H9" s="52"/>
      <c r="I9" s="48"/>
    </row>
    <row r="10" spans="1:9" x14ac:dyDescent="0.25">
      <c r="A10" t="s">
        <v>2824</v>
      </c>
      <c r="B10" s="52" t="s">
        <v>12</v>
      </c>
      <c r="C10" s="48">
        <v>0.14000000000000001</v>
      </c>
      <c r="D10" s="133" t="s">
        <v>2827</v>
      </c>
      <c r="E10" s="133"/>
      <c r="F10" s="133" t="s">
        <v>2827</v>
      </c>
      <c r="H10" s="52"/>
      <c r="I10" s="48"/>
    </row>
    <row r="11" spans="1:9" x14ac:dyDescent="0.25">
      <c r="A11" t="s">
        <v>2824</v>
      </c>
      <c r="B11" s="52" t="s">
        <v>9</v>
      </c>
      <c r="C11" s="48">
        <v>0.14000000000000001</v>
      </c>
      <c r="D11" s="133"/>
      <c r="E11" s="133"/>
      <c r="F11" s="133" t="s">
        <v>2827</v>
      </c>
      <c r="H11" s="52"/>
      <c r="I11" s="48"/>
    </row>
    <row r="12" spans="1:9" x14ac:dyDescent="0.25">
      <c r="A12" t="s">
        <v>2824</v>
      </c>
      <c r="B12" s="52" t="s">
        <v>5</v>
      </c>
      <c r="C12" s="48">
        <v>0.1</v>
      </c>
      <c r="D12" s="133" t="s">
        <v>2826</v>
      </c>
      <c r="E12" s="133"/>
      <c r="F12" s="133" t="s">
        <v>2827</v>
      </c>
      <c r="H12" s="52"/>
      <c r="I12" s="48"/>
    </row>
    <row r="13" spans="1:9" x14ac:dyDescent="0.25">
      <c r="A13" t="s">
        <v>2828</v>
      </c>
      <c r="B13" s="135" t="s">
        <v>2829</v>
      </c>
      <c r="C13" s="48">
        <v>0.1</v>
      </c>
      <c r="D13" s="133" t="s">
        <v>2830</v>
      </c>
      <c r="E13" s="133" t="s">
        <v>2830</v>
      </c>
      <c r="F13" s="133" t="s">
        <v>2827</v>
      </c>
      <c r="H13" s="52"/>
      <c r="I13" s="48"/>
    </row>
    <row r="14" spans="1:9" hidden="1" x14ac:dyDescent="0.25">
      <c r="B14" s="52" t="s">
        <v>2831</v>
      </c>
      <c r="C14" s="48">
        <v>0.25</v>
      </c>
    </row>
    <row r="15" spans="1:9" x14ac:dyDescent="0.25">
      <c r="B15" s="138" t="s">
        <v>16</v>
      </c>
      <c r="C15" s="136">
        <v>0.1</v>
      </c>
      <c r="D15" s="137" t="s">
        <v>2832</v>
      </c>
      <c r="E15" s="137" t="s">
        <v>2832</v>
      </c>
    </row>
    <row r="17" spans="1:9" x14ac:dyDescent="0.25">
      <c r="A17" s="139" t="s">
        <v>2833</v>
      </c>
      <c r="B17" s="139" t="s">
        <v>2834</v>
      </c>
      <c r="C17" s="139" t="s">
        <v>2835</v>
      </c>
      <c r="D17" s="139" t="s">
        <v>2836</v>
      </c>
      <c r="E17" s="139" t="s">
        <v>2837</v>
      </c>
      <c r="F17" s="139" t="s">
        <v>2838</v>
      </c>
      <c r="G17" s="149" t="s">
        <v>2839</v>
      </c>
      <c r="H17" s="149" t="s">
        <v>2840</v>
      </c>
      <c r="I17" s="149" t="s">
        <v>2823</v>
      </c>
    </row>
    <row r="18" spans="1:9" x14ac:dyDescent="0.25">
      <c r="A18" s="140" t="s">
        <v>2841</v>
      </c>
      <c r="B18" s="141">
        <v>9280014963</v>
      </c>
      <c r="C18" s="146" t="s">
        <v>17</v>
      </c>
      <c r="D18" s="141" t="s">
        <v>2842</v>
      </c>
      <c r="E18" s="152" t="s">
        <v>2843</v>
      </c>
      <c r="F18" s="142" t="s">
        <v>2844</v>
      </c>
      <c r="G18" s="150">
        <v>0.1</v>
      </c>
      <c r="H18" s="155" t="s">
        <v>2845</v>
      </c>
      <c r="I18" s="157" t="s">
        <v>2846</v>
      </c>
    </row>
    <row r="19" spans="1:9" x14ac:dyDescent="0.25">
      <c r="A19" s="143" t="s">
        <v>2847</v>
      </c>
      <c r="B19" s="144">
        <v>9280014913</v>
      </c>
      <c r="C19" s="147" t="s">
        <v>2829</v>
      </c>
      <c r="D19" s="144" t="s">
        <v>2848</v>
      </c>
      <c r="E19" s="153" t="s">
        <v>2849</v>
      </c>
      <c r="F19" s="145" t="s">
        <v>2850</v>
      </c>
      <c r="G19" s="151">
        <v>0.1</v>
      </c>
      <c r="H19" s="155" t="s">
        <v>2845</v>
      </c>
      <c r="I19" s="156" t="s">
        <v>2846</v>
      </c>
    </row>
    <row r="20" spans="1:9" x14ac:dyDescent="0.25">
      <c r="A20" s="143" t="s">
        <v>2841</v>
      </c>
      <c r="B20" s="144">
        <v>9280014785</v>
      </c>
      <c r="C20" s="147" t="s">
        <v>4</v>
      </c>
      <c r="D20" s="144" t="s">
        <v>2851</v>
      </c>
      <c r="E20" s="154" t="s">
        <v>2852</v>
      </c>
      <c r="F20" s="145" t="s">
        <v>2853</v>
      </c>
      <c r="G20" s="151">
        <v>0.1</v>
      </c>
      <c r="H20" s="155" t="s">
        <v>2854</v>
      </c>
      <c r="I20" s="156" t="s">
        <v>2846</v>
      </c>
    </row>
    <row r="21" spans="1:9" x14ac:dyDescent="0.25">
      <c r="A21" s="143" t="s">
        <v>2855</v>
      </c>
      <c r="B21" s="144">
        <v>9280014944</v>
      </c>
      <c r="C21" s="147" t="s">
        <v>2856</v>
      </c>
      <c r="D21" s="144" t="s">
        <v>2857</v>
      </c>
      <c r="E21" s="153" t="s">
        <v>2858</v>
      </c>
      <c r="F21" s="145" t="s">
        <v>2859</v>
      </c>
      <c r="G21" s="151">
        <v>0.1</v>
      </c>
      <c r="H21" s="156" t="s">
        <v>2825</v>
      </c>
      <c r="I21" s="156" t="s">
        <v>2846</v>
      </c>
    </row>
    <row r="22" spans="1:9" x14ac:dyDescent="0.25">
      <c r="A22" s="143" t="s">
        <v>2841</v>
      </c>
      <c r="B22" s="144">
        <v>9280014789</v>
      </c>
      <c r="C22" s="147" t="s">
        <v>2568</v>
      </c>
      <c r="D22" s="144" t="s">
        <v>2860</v>
      </c>
      <c r="E22" s="153" t="s">
        <v>2861</v>
      </c>
      <c r="F22" s="145" t="s">
        <v>2862</v>
      </c>
      <c r="G22" s="151">
        <v>0.1</v>
      </c>
      <c r="H22" s="156" t="s">
        <v>2825</v>
      </c>
      <c r="I22" s="156" t="s">
        <v>2846</v>
      </c>
    </row>
    <row r="23" spans="1:9" x14ac:dyDescent="0.25">
      <c r="A23" s="143" t="s">
        <v>2855</v>
      </c>
      <c r="B23" s="144">
        <v>9280014823</v>
      </c>
      <c r="C23" s="147" t="s">
        <v>2863</v>
      </c>
      <c r="D23" s="144" t="s">
        <v>2864</v>
      </c>
      <c r="E23" s="154" t="s">
        <v>2865</v>
      </c>
      <c r="F23" s="145" t="s">
        <v>2866</v>
      </c>
      <c r="G23" s="151">
        <v>0.1</v>
      </c>
      <c r="H23" s="156" t="s">
        <v>2825</v>
      </c>
      <c r="I23" s="156" t="s">
        <v>2846</v>
      </c>
    </row>
    <row r="24" spans="1:9" ht="14.25" customHeight="1" x14ac:dyDescent="0.25">
      <c r="A24" s="143" t="s">
        <v>2847</v>
      </c>
      <c r="B24" s="144">
        <v>9280014761</v>
      </c>
      <c r="C24" s="147" t="s">
        <v>2569</v>
      </c>
      <c r="D24" s="144" t="s">
        <v>2867</v>
      </c>
      <c r="E24" s="153" t="s">
        <v>2868</v>
      </c>
      <c r="F24" s="145" t="s">
        <v>2869</v>
      </c>
      <c r="G24" s="151">
        <v>0.1</v>
      </c>
      <c r="H24" s="156" t="s">
        <v>2826</v>
      </c>
      <c r="I24" s="156" t="s">
        <v>2846</v>
      </c>
    </row>
    <row r="25" spans="1:9" x14ac:dyDescent="0.25">
      <c r="A25" s="143" t="s">
        <v>2841</v>
      </c>
      <c r="B25" s="144">
        <v>9280014773</v>
      </c>
      <c r="C25" s="147" t="s">
        <v>7</v>
      </c>
      <c r="D25" s="144" t="s">
        <v>2870</v>
      </c>
      <c r="E25" s="153" t="s">
        <v>2871</v>
      </c>
      <c r="F25" s="145" t="s">
        <v>2872</v>
      </c>
      <c r="G25" s="151">
        <v>0.1</v>
      </c>
      <c r="H25" s="156" t="s">
        <v>2826</v>
      </c>
      <c r="I25" s="156" t="s">
        <v>2846</v>
      </c>
    </row>
    <row r="26" spans="1:9" x14ac:dyDescent="0.25">
      <c r="A26" s="143" t="s">
        <v>2841</v>
      </c>
      <c r="B26" s="144">
        <v>9280014964</v>
      </c>
      <c r="C26" s="147" t="s">
        <v>15</v>
      </c>
      <c r="D26" s="144" t="s">
        <v>2873</v>
      </c>
      <c r="E26" s="153" t="s">
        <v>2874</v>
      </c>
      <c r="F26" s="145" t="s">
        <v>2875</v>
      </c>
      <c r="G26" s="151">
        <v>0.1</v>
      </c>
      <c r="H26" s="156" t="s">
        <v>2826</v>
      </c>
      <c r="I26" s="156" t="s">
        <v>2846</v>
      </c>
    </row>
    <row r="27" spans="1:9" x14ac:dyDescent="0.25">
      <c r="A27" s="143" t="s">
        <v>2841</v>
      </c>
      <c r="B27" s="144">
        <v>9280014818</v>
      </c>
      <c r="C27" s="147" t="s">
        <v>14</v>
      </c>
      <c r="D27" s="144" t="s">
        <v>2876</v>
      </c>
      <c r="E27" s="153" t="s">
        <v>2877</v>
      </c>
      <c r="F27" s="145" t="s">
        <v>2878</v>
      </c>
      <c r="G27" s="151">
        <v>0.1</v>
      </c>
      <c r="H27" s="156" t="s">
        <v>2826</v>
      </c>
      <c r="I27" s="156" t="s">
        <v>2846</v>
      </c>
    </row>
    <row r="28" spans="1:9" x14ac:dyDescent="0.25">
      <c r="A28" s="143" t="s">
        <v>2879</v>
      </c>
      <c r="B28" s="144">
        <v>9280014965</v>
      </c>
      <c r="C28" s="147" t="s">
        <v>16</v>
      </c>
      <c r="D28" s="144" t="s">
        <v>2880</v>
      </c>
      <c r="E28" s="153" t="s">
        <v>2881</v>
      </c>
      <c r="F28" s="145" t="s">
        <v>2882</v>
      </c>
      <c r="G28" s="151">
        <v>0.1</v>
      </c>
      <c r="H28" s="156" t="s">
        <v>2832</v>
      </c>
      <c r="I28" s="156" t="s">
        <v>2846</v>
      </c>
    </row>
    <row r="29" spans="1:9" x14ac:dyDescent="0.25">
      <c r="A29" s="143" t="s">
        <v>2841</v>
      </c>
      <c r="B29" s="144">
        <v>9280014783</v>
      </c>
      <c r="C29" s="147" t="s">
        <v>6</v>
      </c>
      <c r="D29" s="144" t="s">
        <v>2883</v>
      </c>
      <c r="E29" s="153" t="s">
        <v>2884</v>
      </c>
      <c r="F29" s="145" t="s">
        <v>2885</v>
      </c>
      <c r="G29" s="151">
        <v>0.1</v>
      </c>
      <c r="H29" s="156" t="s">
        <v>2886</v>
      </c>
      <c r="I29" s="156" t="s">
        <v>2846</v>
      </c>
    </row>
    <row r="30" spans="1:9" x14ac:dyDescent="0.25">
      <c r="A30" s="143" t="s">
        <v>2855</v>
      </c>
      <c r="B30" s="144">
        <v>9280014771</v>
      </c>
      <c r="C30" s="147" t="s">
        <v>2887</v>
      </c>
      <c r="D30" s="144" t="s">
        <v>2888</v>
      </c>
      <c r="E30" s="153" t="s">
        <v>2889</v>
      </c>
      <c r="F30" s="145" t="s">
        <v>2890</v>
      </c>
      <c r="G30" s="151">
        <v>0.1</v>
      </c>
      <c r="H30" s="156" t="s">
        <v>2891</v>
      </c>
      <c r="I30" s="156" t="s">
        <v>2846</v>
      </c>
    </row>
    <row r="31" spans="1:9" x14ac:dyDescent="0.25">
      <c r="A31" s="143" t="s">
        <v>2841</v>
      </c>
      <c r="B31" s="144">
        <v>9280014817</v>
      </c>
      <c r="C31" s="147" t="s">
        <v>8</v>
      </c>
      <c r="D31" s="144" t="s">
        <v>2892</v>
      </c>
      <c r="E31" s="153" t="s">
        <v>2893</v>
      </c>
      <c r="F31" s="145" t="s">
        <v>2894</v>
      </c>
      <c r="G31" s="151">
        <v>0.1</v>
      </c>
      <c r="H31" s="156" t="s">
        <v>2891</v>
      </c>
      <c r="I31" s="156" t="s">
        <v>2846</v>
      </c>
    </row>
    <row r="32" spans="1:9" x14ac:dyDescent="0.25">
      <c r="A32" s="143" t="s">
        <v>2841</v>
      </c>
      <c r="B32" s="144">
        <v>9280014791</v>
      </c>
      <c r="C32" s="148" t="s">
        <v>12</v>
      </c>
      <c r="D32" s="144" t="s">
        <v>2895</v>
      </c>
      <c r="E32" s="153" t="s">
        <v>2896</v>
      </c>
      <c r="F32" s="145" t="s">
        <v>2897</v>
      </c>
      <c r="G32" s="151">
        <v>0.1</v>
      </c>
      <c r="H32" s="156" t="s">
        <v>2846</v>
      </c>
      <c r="I32" s="156" t="s">
        <v>2846</v>
      </c>
    </row>
    <row r="33" spans="1:9" x14ac:dyDescent="0.25">
      <c r="A33" s="143" t="s">
        <v>2898</v>
      </c>
      <c r="B33" s="144">
        <v>9280014834</v>
      </c>
      <c r="C33" s="148" t="s">
        <v>2831</v>
      </c>
      <c r="D33" s="144" t="s">
        <v>2899</v>
      </c>
      <c r="E33" s="153" t="s">
        <v>2900</v>
      </c>
      <c r="F33" s="145" t="s">
        <v>2901</v>
      </c>
      <c r="G33" s="151">
        <v>0.1</v>
      </c>
      <c r="H33" s="156" t="s">
        <v>2846</v>
      </c>
      <c r="I33" s="156" t="s">
        <v>2846</v>
      </c>
    </row>
    <row r="34" spans="1:9" x14ac:dyDescent="0.25">
      <c r="A34" s="143" t="s">
        <v>2841</v>
      </c>
      <c r="B34" s="144">
        <v>9280014802</v>
      </c>
      <c r="C34" s="148" t="s">
        <v>10</v>
      </c>
      <c r="D34" s="144" t="s">
        <v>2902</v>
      </c>
      <c r="E34" s="153" t="s">
        <v>2903</v>
      </c>
      <c r="F34" s="145" t="s">
        <v>2904</v>
      </c>
      <c r="G34" s="151">
        <v>0.1</v>
      </c>
      <c r="H34" s="156" t="s">
        <v>2846</v>
      </c>
      <c r="I34" s="156" t="s">
        <v>2846</v>
      </c>
    </row>
  </sheetData>
  <hyperlinks>
    <hyperlink ref="F18" r:id="rId1" xr:uid="{337ED0F4-B78B-4A5A-A641-9A308EFFB1DF}"/>
    <hyperlink ref="F29" r:id="rId2" xr:uid="{9E9CDBA5-2451-45DE-8FEB-E5CF42B2A504}"/>
    <hyperlink ref="F28" r:id="rId3" xr:uid="{C22F7E24-622B-4C34-843B-55B3BB277989}"/>
    <hyperlink ref="F21" r:id="rId4" xr:uid="{B2E25CCD-434D-40C7-97A6-4C370587DDD3}"/>
    <hyperlink ref="F22" r:id="rId5" xr:uid="{B7C67C30-D39E-4CA4-BEA3-20F8238D7B41}"/>
    <hyperlink ref="F19" r:id="rId6" xr:uid="{9BE9AE8A-A7C4-4BB6-9253-BF899FABB707}"/>
    <hyperlink ref="F24" r:id="rId7" xr:uid="{A1C0B547-9D8B-4D1C-883A-515091FD154B}"/>
    <hyperlink ref="F20" r:id="rId8" xr:uid="{AE4B190A-7F86-461D-A010-BAD085058F28}"/>
    <hyperlink ref="F32" r:id="rId9" xr:uid="{2FFD08C8-313E-4468-A71D-07E552D8143C}"/>
    <hyperlink ref="F23" r:id="rId10" xr:uid="{B624FE59-F796-4692-A309-2B58946751D1}"/>
    <hyperlink ref="F25" r:id="rId11" xr:uid="{47F59AFB-DCEB-4BEB-AE19-539DF21A6F18}"/>
    <hyperlink ref="F31" r:id="rId12" xr:uid="{3320D5F8-EFEF-4F59-A91B-64CB4E224549}"/>
    <hyperlink ref="F26" r:id="rId13" xr:uid="{8DFBF14B-32DE-4E38-B19E-81FC020E6A58}"/>
    <hyperlink ref="F30" r:id="rId14" xr:uid="{9A699B7D-7ED6-4426-9163-750F2FC98764}"/>
    <hyperlink ref="F33" r:id="rId15" xr:uid="{F3408BA1-D7C8-4529-9113-C44E4AF1441B}"/>
    <hyperlink ref="F34" r:id="rId16" xr:uid="{DD8CD80F-7F8C-4E3C-8D2D-7E0451B57020}"/>
    <hyperlink ref="F27" r:id="rId17" xr:uid="{F728C020-F9ED-4E26-9BFD-DE336C953357}"/>
  </hyperlinks>
  <pageMargins left="0.7" right="0.7" top="0.75" bottom="0.75" header="0.3" footer="0.3"/>
  <tableParts count="1">
    <tablePart r:id="rId18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14A13-2330-4F91-9228-469834B7C2B3}">
  <dimension ref="B3:K19"/>
  <sheetViews>
    <sheetView zoomScale="70" zoomScaleNormal="70" workbookViewId="0">
      <selection activeCell="B3" sqref="B3:F18"/>
    </sheetView>
  </sheetViews>
  <sheetFormatPr baseColWidth="10" defaultColWidth="11.42578125" defaultRowHeight="15" x14ac:dyDescent="0.25"/>
  <cols>
    <col min="2" max="2" width="43" bestFit="1" customWidth="1"/>
    <col min="4" max="4" width="14.140625" bestFit="1" customWidth="1"/>
    <col min="8" max="8" width="24.42578125" bestFit="1" customWidth="1"/>
    <col min="9" max="9" width="43.85546875" bestFit="1" customWidth="1"/>
  </cols>
  <sheetData>
    <row r="3" spans="2:11" ht="19.5" thickBot="1" x14ac:dyDescent="0.3">
      <c r="B3" s="184" t="s">
        <v>2905</v>
      </c>
      <c r="C3" s="184"/>
      <c r="D3" s="184"/>
      <c r="E3" s="184"/>
      <c r="F3" s="185"/>
      <c r="H3" s="5" t="s">
        <v>1</v>
      </c>
      <c r="I3" s="6" t="s">
        <v>2</v>
      </c>
      <c r="J3" s="6" t="s">
        <v>2795</v>
      </c>
      <c r="K3" s="6" t="s">
        <v>2792</v>
      </c>
    </row>
    <row r="4" spans="2:11" ht="15.75" thickBot="1" x14ac:dyDescent="0.3">
      <c r="B4" s="110" t="s">
        <v>1</v>
      </c>
      <c r="C4" s="111"/>
      <c r="D4" s="111" t="s">
        <v>2</v>
      </c>
      <c r="E4" s="112" t="s">
        <v>2569</v>
      </c>
      <c r="F4" s="112" t="s">
        <v>2569</v>
      </c>
      <c r="H4" t="s">
        <v>37</v>
      </c>
      <c r="I4" s="108" t="s">
        <v>37</v>
      </c>
      <c r="J4" s="1">
        <v>2.78</v>
      </c>
      <c r="K4" s="1">
        <v>3.11</v>
      </c>
    </row>
    <row r="5" spans="2:11" ht="36.75" thickBot="1" x14ac:dyDescent="0.3">
      <c r="B5" s="113"/>
      <c r="C5" s="114"/>
      <c r="D5" s="114"/>
      <c r="E5" s="114" t="s">
        <v>2906</v>
      </c>
      <c r="F5" s="114" t="s">
        <v>2907</v>
      </c>
      <c r="H5" t="s">
        <v>37</v>
      </c>
      <c r="I5" s="108" t="s">
        <v>333</v>
      </c>
      <c r="J5" s="1">
        <v>8.08</v>
      </c>
      <c r="K5" s="1">
        <v>9</v>
      </c>
    </row>
    <row r="6" spans="2:11" ht="15.75" thickBot="1" x14ac:dyDescent="0.3">
      <c r="B6" s="115" t="s">
        <v>2908</v>
      </c>
      <c r="C6" s="115"/>
      <c r="D6" s="117" t="s">
        <v>333</v>
      </c>
      <c r="E6" s="118" t="s">
        <v>2909</v>
      </c>
      <c r="F6" s="118" t="s">
        <v>2910</v>
      </c>
      <c r="H6" t="s">
        <v>2796</v>
      </c>
      <c r="I6" s="108" t="s">
        <v>2797</v>
      </c>
      <c r="J6" s="1">
        <v>8.08</v>
      </c>
      <c r="K6" s="1">
        <v>9</v>
      </c>
    </row>
    <row r="7" spans="2:11" ht="15.75" thickBot="1" x14ac:dyDescent="0.3">
      <c r="B7" s="115" t="s">
        <v>2911</v>
      </c>
      <c r="C7" s="115"/>
      <c r="D7" s="117" t="s">
        <v>333</v>
      </c>
      <c r="E7" s="119" t="s">
        <v>2912</v>
      </c>
      <c r="F7" s="119" t="s">
        <v>2913</v>
      </c>
      <c r="H7" t="s">
        <v>2798</v>
      </c>
      <c r="I7" s="109" t="s">
        <v>2799</v>
      </c>
      <c r="J7" s="1">
        <v>2.78</v>
      </c>
      <c r="K7" s="1">
        <v>3.11</v>
      </c>
    </row>
    <row r="8" spans="2:11" ht="15.75" thickBot="1" x14ac:dyDescent="0.3">
      <c r="B8" s="120" t="s">
        <v>2914</v>
      </c>
      <c r="C8" s="115"/>
      <c r="D8" s="117" t="s">
        <v>333</v>
      </c>
      <c r="E8" s="121" t="s">
        <v>2915</v>
      </c>
      <c r="F8" s="121" t="s">
        <v>2916</v>
      </c>
      <c r="H8" t="s">
        <v>2800</v>
      </c>
      <c r="I8" s="109" t="s">
        <v>2801</v>
      </c>
      <c r="J8" s="1">
        <v>5.78</v>
      </c>
      <c r="K8" s="1">
        <v>6.46</v>
      </c>
    </row>
    <row r="9" spans="2:11" ht="15.75" thickBot="1" x14ac:dyDescent="0.3">
      <c r="B9" s="115" t="s">
        <v>2917</v>
      </c>
      <c r="C9" s="115"/>
      <c r="D9" s="117" t="s">
        <v>333</v>
      </c>
      <c r="E9" s="119"/>
      <c r="F9" s="119"/>
      <c r="H9" t="s">
        <v>37</v>
      </c>
      <c r="I9" s="108" t="s">
        <v>46</v>
      </c>
      <c r="J9" s="1">
        <v>22.07</v>
      </c>
      <c r="K9" s="1">
        <v>26.02</v>
      </c>
    </row>
    <row r="10" spans="2:11" x14ac:dyDescent="0.25">
      <c r="B10" s="116"/>
      <c r="C10" s="116"/>
      <c r="D10" s="116"/>
      <c r="E10" s="116"/>
      <c r="F10" s="116"/>
    </row>
    <row r="11" spans="2:11" x14ac:dyDescent="0.25">
      <c r="B11" s="116"/>
      <c r="C11" s="116"/>
      <c r="D11" s="116"/>
      <c r="E11" s="116"/>
      <c r="F11" s="116"/>
    </row>
    <row r="12" spans="2:11" ht="19.5" thickBot="1" x14ac:dyDescent="0.3">
      <c r="B12" s="184" t="s">
        <v>2918</v>
      </c>
      <c r="C12" s="184"/>
      <c r="D12" s="184"/>
      <c r="E12" s="184"/>
      <c r="F12" s="185"/>
    </row>
    <row r="13" spans="2:11" ht="15.75" thickBot="1" x14ac:dyDescent="0.3">
      <c r="B13" s="110" t="s">
        <v>1</v>
      </c>
      <c r="C13" s="111"/>
      <c r="D13" s="111" t="s">
        <v>2</v>
      </c>
      <c r="E13" s="112" t="s">
        <v>2569</v>
      </c>
      <c r="F13" s="112" t="s">
        <v>2569</v>
      </c>
    </row>
    <row r="14" spans="2:11" ht="36.75" thickBot="1" x14ac:dyDescent="0.3">
      <c r="B14" s="113"/>
      <c r="C14" s="114"/>
      <c r="D14" s="114"/>
      <c r="E14" s="114" t="s">
        <v>2906</v>
      </c>
      <c r="F14" s="114" t="s">
        <v>2907</v>
      </c>
    </row>
    <row r="15" spans="2:11" ht="15.75" thickBot="1" x14ac:dyDescent="0.3">
      <c r="B15" s="115" t="s">
        <v>37</v>
      </c>
      <c r="C15" s="115"/>
      <c r="D15" s="117" t="s">
        <v>37</v>
      </c>
      <c r="E15" s="119" t="s">
        <v>2912</v>
      </c>
      <c r="F15" s="119" t="s">
        <v>2913</v>
      </c>
    </row>
    <row r="16" spans="2:11" ht="15.75" thickBot="1" x14ac:dyDescent="0.3">
      <c r="B16" s="115" t="s">
        <v>2919</v>
      </c>
      <c r="C16" s="115"/>
      <c r="D16" s="117" t="s">
        <v>37</v>
      </c>
      <c r="E16" s="119"/>
      <c r="F16" s="119"/>
    </row>
    <row r="17" spans="2:6" ht="15.75" thickBot="1" x14ac:dyDescent="0.3">
      <c r="B17" s="120" t="s">
        <v>333</v>
      </c>
      <c r="C17" s="120"/>
      <c r="D17" s="117" t="s">
        <v>37</v>
      </c>
      <c r="E17" s="121" t="s">
        <v>2909</v>
      </c>
      <c r="F17" s="121" t="s">
        <v>2910</v>
      </c>
    </row>
    <row r="18" spans="2:6" ht="15.75" thickBot="1" x14ac:dyDescent="0.3">
      <c r="B18" s="115" t="s">
        <v>37</v>
      </c>
      <c r="C18" s="115"/>
      <c r="D18" s="117" t="s">
        <v>2805</v>
      </c>
      <c r="E18" s="119" t="s">
        <v>2920</v>
      </c>
      <c r="F18" s="119" t="s">
        <v>2921</v>
      </c>
    </row>
    <row r="19" spans="2:6" ht="15.75" x14ac:dyDescent="0.25">
      <c r="B19" s="122"/>
    </row>
  </sheetData>
  <mergeCells count="2">
    <mergeCell ref="B3:F3"/>
    <mergeCell ref="B12:F12"/>
  </mergeCells>
  <pageMargins left="0.7" right="0.7" top="0.75" bottom="0.75" header="0.3" footer="0.3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1B7FC-81E1-4806-A123-C7D47E15E81A}">
  <dimension ref="A1:C6"/>
  <sheetViews>
    <sheetView workbookViewId="0">
      <selection activeCell="D8" sqref="D8"/>
    </sheetView>
  </sheetViews>
  <sheetFormatPr baseColWidth="10" defaultColWidth="11.42578125" defaultRowHeight="15" x14ac:dyDescent="0.25"/>
  <cols>
    <col min="1" max="1" width="22.140625" customWidth="1"/>
    <col min="3" max="3" width="20.85546875" customWidth="1"/>
  </cols>
  <sheetData>
    <row r="1" spans="1:3" x14ac:dyDescent="0.25">
      <c r="A1" s="173" t="s">
        <v>2922</v>
      </c>
      <c r="B1" s="173" t="s">
        <v>2923</v>
      </c>
      <c r="C1" s="173" t="s">
        <v>2924</v>
      </c>
    </row>
    <row r="2" spans="1:3" x14ac:dyDescent="0.25">
      <c r="A2" s="173" t="s">
        <v>208</v>
      </c>
      <c r="B2" s="12">
        <v>15.99</v>
      </c>
      <c r="C2" s="57" t="s">
        <v>208</v>
      </c>
    </row>
    <row r="3" spans="1:3" x14ac:dyDescent="0.25">
      <c r="A3" s="173" t="s">
        <v>2925</v>
      </c>
      <c r="B3" s="12">
        <v>36.76</v>
      </c>
      <c r="C3" s="57" t="s">
        <v>2926</v>
      </c>
    </row>
    <row r="4" spans="1:3" x14ac:dyDescent="0.25">
      <c r="A4" s="173" t="s">
        <v>675</v>
      </c>
      <c r="B4" s="12">
        <v>18.39</v>
      </c>
      <c r="C4" s="57" t="s">
        <v>2927</v>
      </c>
    </row>
    <row r="5" spans="1:3" x14ac:dyDescent="0.25">
      <c r="A5" s="173" t="s">
        <v>2928</v>
      </c>
      <c r="B5" s="12">
        <v>41.2</v>
      </c>
      <c r="C5" s="57" t="s">
        <v>2929</v>
      </c>
    </row>
    <row r="6" spans="1:3" x14ac:dyDescent="0.25">
      <c r="A6" s="173" t="s">
        <v>846</v>
      </c>
      <c r="B6" s="12">
        <v>15.51</v>
      </c>
      <c r="C6" s="57" t="s">
        <v>846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7453cd9-0afd-44f6-972c-f351841f01be" xsi:nil="true"/>
    <lcf76f155ced4ddcb4097134ff3c332f xmlns="cf165ec9-ab2a-448e-afcc-c4ffb9de962d">
      <Terms xmlns="http://schemas.microsoft.com/office/infopath/2007/PartnerControls"/>
    </lcf76f155ced4ddcb4097134ff3c332f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3A22868A593246BAF57F50E7B8777E" ma:contentTypeVersion="11" ma:contentTypeDescription="Create a new document." ma:contentTypeScope="" ma:versionID="93adac69053d05ced8bbc8ebd47c5f67">
  <xsd:schema xmlns:xsd="http://www.w3.org/2001/XMLSchema" xmlns:xs="http://www.w3.org/2001/XMLSchema" xmlns:p="http://schemas.microsoft.com/office/2006/metadata/properties" xmlns:ns2="cf165ec9-ab2a-448e-afcc-c4ffb9de962d" xmlns:ns3="e7453cd9-0afd-44f6-972c-f351841f01be" targetNamespace="http://schemas.microsoft.com/office/2006/metadata/properties" ma:root="true" ma:fieldsID="53d4125312965337c44116fd29fa961d" ns2:_="" ns3:_="">
    <xsd:import namespace="cf165ec9-ab2a-448e-afcc-c4ffb9de962d"/>
    <xsd:import namespace="e7453cd9-0afd-44f6-972c-f351841f01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165ec9-ab2a-448e-afcc-c4ffb9de96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7a0dbe1-8282-4a1b-9e52-b81f8cfc2a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453cd9-0afd-44f6-972c-f351841f01be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51e1c969-49b0-47ce-a9e4-40a2eb6913ab}" ma:internalName="TaxCatchAll" ma:showField="CatchAllData" ma:web="e7453cd9-0afd-44f6-972c-f351841f01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0D4E91A-8783-43DF-9FFB-6AE0ADD89366}">
  <ds:schemaRefs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dcmitype/"/>
    <ds:schemaRef ds:uri="http://purl.org/dc/terms/"/>
    <ds:schemaRef ds:uri="http://schemas.microsoft.com/office/infopath/2007/PartnerControls"/>
    <ds:schemaRef ds:uri="http://purl.org/dc/elements/1.1/"/>
    <ds:schemaRef ds:uri="e7453cd9-0afd-44f6-972c-f351841f01be"/>
    <ds:schemaRef ds:uri="cf165ec9-ab2a-448e-afcc-c4ffb9de962d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1E4BC90C-2D31-4468-A4CD-916FB6E7C769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FF836D2E-A785-429B-98A8-4DEBC821BE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165ec9-ab2a-448e-afcc-c4ffb9de962d"/>
    <ds:schemaRef ds:uri="e7453cd9-0afd-44f6-972c-f351841f01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6F14A4E-46D1-4EBE-BF78-544F9BC5A28B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a9c6bc5-92dc-4cf8-8aa7-3508258fbd06}" enabled="1" method="Standard" siteId="{57368c21-b8cf-42cf-bd0b-43ecd4bc62a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49</vt:i4>
      </vt:variant>
    </vt:vector>
  </HeadingPairs>
  <TitlesOfParts>
    <vt:vector size="49" baseType="lpstr">
      <vt:lpstr>TABU_MASTER</vt:lpstr>
      <vt:lpstr>INTRANSIT</vt:lpstr>
      <vt:lpstr>TABU_MASTER_FLUVIAL</vt:lpstr>
      <vt:lpstr>AGUIRRE (C)</vt:lpstr>
      <vt:lpstr>AGUIRRE</vt:lpstr>
      <vt:lpstr>ARELLANO (C)</vt:lpstr>
      <vt:lpstr>ARELLANO</vt:lpstr>
      <vt:lpstr>AVALOIL (C)</vt:lpstr>
      <vt:lpstr>AVALOIL</vt:lpstr>
      <vt:lpstr>TRANSCORPOSA (C)</vt:lpstr>
      <vt:lpstr>TRANSCORPOSA</vt:lpstr>
      <vt:lpstr>PIPER (C)</vt:lpstr>
      <vt:lpstr>PIPER</vt:lpstr>
      <vt:lpstr>TRANSALOJESA (C)</vt:lpstr>
      <vt:lpstr>TRANSALOJESA</vt:lpstr>
      <vt:lpstr>TRANSMUÑIZ (C)</vt:lpstr>
      <vt:lpstr>TRANSMUÑIZ</vt:lpstr>
      <vt:lpstr>TRANSPEBANOR (C)</vt:lpstr>
      <vt:lpstr>TRANSPEBANOR</vt:lpstr>
      <vt:lpstr>LENTOCARGA (C)</vt:lpstr>
      <vt:lpstr>LENTOCARGA</vt:lpstr>
      <vt:lpstr>LIFTIT (C)</vt:lpstr>
      <vt:lpstr>CONVECTOR (C)</vt:lpstr>
      <vt:lpstr>CONVECTOR</vt:lpstr>
      <vt:lpstr>TRANSGONZALEZ (C)</vt:lpstr>
      <vt:lpstr>RAPSECON (C)</vt:lpstr>
      <vt:lpstr>LIFTIT</vt:lpstr>
      <vt:lpstr>TRANSFREMEC</vt:lpstr>
      <vt:lpstr>TRANSGONZALEZ</vt:lpstr>
      <vt:lpstr>RAPSECON</vt:lpstr>
      <vt:lpstr>TRANSFREMEC (C)</vt:lpstr>
      <vt:lpstr>TRANSVIAL (C)</vt:lpstr>
      <vt:lpstr>TRANSVIAL</vt:lpstr>
      <vt:lpstr>TRANSVELEZ GRANELES</vt:lpstr>
      <vt:lpstr>CONVECTOR GRANELES</vt:lpstr>
      <vt:lpstr>TRANSMAYORGA TANQUERO </vt:lpstr>
      <vt:lpstr>TRANSPEBANOR TANQUERO</vt:lpstr>
      <vt:lpstr>MUÑIZ TANQUERO</vt:lpstr>
      <vt:lpstr>CITIKOL (C)</vt:lpstr>
      <vt:lpstr>CITIKOLD</vt:lpstr>
      <vt:lpstr>RIVERDIESEL (C)</vt:lpstr>
      <vt:lpstr>RIVERDIESEL</vt:lpstr>
      <vt:lpstr>COSTAMARKET (C)</vt:lpstr>
      <vt:lpstr>COSTAMARKET</vt:lpstr>
      <vt:lpstr>SEALDOVA (C)</vt:lpstr>
      <vt:lpstr>SEALDOVA</vt:lpstr>
      <vt:lpstr>% POR PROVEEDOR</vt:lpstr>
      <vt:lpstr>Hoja1</vt:lpstr>
      <vt:lpstr>Hoja3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Judirene Ortiz Espinoza</dc:creator>
  <cp:keywords/>
  <dc:description/>
  <cp:lastModifiedBy>Sandy Flores</cp:lastModifiedBy>
  <cp:revision/>
  <dcterms:created xsi:type="dcterms:W3CDTF">2026-01-14T13:11:17Z</dcterms:created>
  <dcterms:modified xsi:type="dcterms:W3CDTF">2026-10-11T23:07:38Z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0x0101009E3A22868A593246BAF57F50E7B8777E</vt:lpwstr>
  </property>
  <property fmtid="{D5CDD505-2E9C-101B-9397-08002B2CF9AE}" pid="3" name="MediaServiceImageTags">
    <vt:lpwstr/>
  </property>
</Properties>
</file>