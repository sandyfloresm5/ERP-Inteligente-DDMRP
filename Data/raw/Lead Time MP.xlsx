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rgillonline.sharepoint.com/sites/Supply_Chain_CQN_EC_-_Business_Intelligence/CQN EC SUPPLY CHAIN  BUSINESS INTELLIGENCE/DATA/PLANNING/Base de Datos MP - BI/MARA MP/"/>
    </mc:Choice>
  </mc:AlternateContent>
  <xr:revisionPtr revIDLastSave="4" documentId="8_{14767627-3695-4436-935B-D7F6D87E98C8}" xr6:coauthVersionLast="47" xr6:coauthVersionMax="47" xr10:uidLastSave="{1A64AADB-5943-4DF8-88A4-7F4DC015F5E5}"/>
  <bookViews>
    <workbookView xWindow="-120" yWindow="-120" windowWidth="20730" windowHeight="11040" xr2:uid="{513EEF11-291D-4F19-BA2E-F6B28F3239BA}"/>
  </bookViews>
  <sheets>
    <sheet name="Lead Time MP" sheetId="1" r:id="rId1"/>
  </sheets>
  <externalReferences>
    <externalReference r:id="rId2"/>
  </externalReferences>
  <definedNames>
    <definedName name="_xlnm._FilterDatabase" localSheetId="0" hidden="1">'Lead Time MP'!$A$1:$G$97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7" i="1" l="1"/>
  <c r="E97" i="1"/>
  <c r="C97" i="1"/>
  <c r="B97" i="1"/>
  <c r="G96" i="1"/>
  <c r="E96" i="1"/>
  <c r="C96" i="1"/>
  <c r="B96" i="1"/>
  <c r="G95" i="1"/>
  <c r="E95" i="1"/>
  <c r="C95" i="1"/>
  <c r="B95" i="1"/>
  <c r="G94" i="1"/>
  <c r="E94" i="1"/>
  <c r="C94" i="1"/>
  <c r="B94" i="1"/>
  <c r="G93" i="1"/>
  <c r="E93" i="1"/>
  <c r="C93" i="1"/>
  <c r="B93" i="1"/>
  <c r="G92" i="1"/>
  <c r="E92" i="1"/>
  <c r="C92" i="1"/>
  <c r="B92" i="1"/>
  <c r="G91" i="1"/>
  <c r="E91" i="1"/>
  <c r="C91" i="1"/>
  <c r="B91" i="1"/>
  <c r="G90" i="1"/>
  <c r="E90" i="1"/>
  <c r="C90" i="1"/>
  <c r="B90" i="1"/>
  <c r="G89" i="1"/>
  <c r="E89" i="1"/>
  <c r="C89" i="1"/>
  <c r="B89" i="1"/>
  <c r="G88" i="1"/>
  <c r="E88" i="1"/>
  <c r="C88" i="1"/>
  <c r="B88" i="1"/>
  <c r="G87" i="1"/>
  <c r="E87" i="1"/>
  <c r="C87" i="1"/>
  <c r="B87" i="1"/>
  <c r="G86" i="1"/>
  <c r="E86" i="1"/>
  <c r="C86" i="1"/>
  <c r="B86" i="1"/>
  <c r="G85" i="1"/>
  <c r="E85" i="1"/>
  <c r="C85" i="1"/>
  <c r="B85" i="1"/>
  <c r="G84" i="1"/>
  <c r="E84" i="1"/>
  <c r="C84" i="1"/>
  <c r="B84" i="1"/>
  <c r="G83" i="1"/>
  <c r="E83" i="1"/>
  <c r="C83" i="1"/>
  <c r="B83" i="1"/>
  <c r="G82" i="1"/>
  <c r="E82" i="1"/>
  <c r="C82" i="1"/>
  <c r="B82" i="1"/>
  <c r="G81" i="1"/>
  <c r="E81" i="1"/>
  <c r="C81" i="1"/>
  <c r="B81" i="1"/>
  <c r="G80" i="1"/>
  <c r="E80" i="1"/>
  <c r="C80" i="1"/>
  <c r="B80" i="1"/>
  <c r="G79" i="1"/>
  <c r="E79" i="1"/>
  <c r="C79" i="1"/>
  <c r="B79" i="1"/>
  <c r="G78" i="1"/>
  <c r="E78" i="1"/>
  <c r="C78" i="1"/>
  <c r="B78" i="1"/>
  <c r="G77" i="1"/>
  <c r="E77" i="1"/>
  <c r="C77" i="1"/>
  <c r="B77" i="1"/>
  <c r="G76" i="1"/>
  <c r="E76" i="1"/>
  <c r="C76" i="1"/>
  <c r="B76" i="1"/>
  <c r="G75" i="1"/>
  <c r="E75" i="1"/>
  <c r="C75" i="1"/>
  <c r="B75" i="1"/>
  <c r="G74" i="1"/>
  <c r="E74" i="1"/>
  <c r="C74" i="1"/>
  <c r="B74" i="1"/>
  <c r="G73" i="1"/>
  <c r="E73" i="1"/>
  <c r="C73" i="1"/>
  <c r="B73" i="1"/>
  <c r="G72" i="1"/>
  <c r="E72" i="1"/>
  <c r="C72" i="1"/>
  <c r="B72" i="1"/>
  <c r="G71" i="1"/>
  <c r="E71" i="1"/>
  <c r="C71" i="1"/>
  <c r="B71" i="1"/>
  <c r="G70" i="1"/>
  <c r="E70" i="1"/>
  <c r="C70" i="1"/>
  <c r="B70" i="1"/>
  <c r="G69" i="1"/>
  <c r="E69" i="1"/>
  <c r="C69" i="1"/>
  <c r="B69" i="1"/>
  <c r="G68" i="1"/>
  <c r="E68" i="1"/>
  <c r="C68" i="1"/>
  <c r="B68" i="1"/>
  <c r="G67" i="1"/>
  <c r="E67" i="1"/>
  <c r="C67" i="1"/>
  <c r="B67" i="1"/>
  <c r="G66" i="1"/>
  <c r="E66" i="1"/>
  <c r="C66" i="1"/>
  <c r="B66" i="1"/>
  <c r="G65" i="1"/>
  <c r="E65" i="1"/>
  <c r="C65" i="1"/>
  <c r="B65" i="1"/>
  <c r="G64" i="1"/>
  <c r="E64" i="1"/>
  <c r="C64" i="1"/>
  <c r="B64" i="1"/>
  <c r="G63" i="1"/>
  <c r="E63" i="1"/>
  <c r="C63" i="1"/>
  <c r="B63" i="1"/>
  <c r="G62" i="1"/>
  <c r="E62" i="1"/>
  <c r="C62" i="1"/>
  <c r="B62" i="1"/>
  <c r="G61" i="1"/>
  <c r="E61" i="1"/>
  <c r="C61" i="1"/>
  <c r="B61" i="1"/>
  <c r="G60" i="1"/>
  <c r="E60" i="1"/>
  <c r="C60" i="1"/>
  <c r="B60" i="1"/>
  <c r="G59" i="1"/>
  <c r="E59" i="1"/>
  <c r="C59" i="1"/>
  <c r="B59" i="1"/>
  <c r="G58" i="1"/>
  <c r="E58" i="1"/>
  <c r="C58" i="1"/>
  <c r="B58" i="1"/>
  <c r="G57" i="1"/>
  <c r="E57" i="1"/>
  <c r="C57" i="1"/>
  <c r="B57" i="1"/>
  <c r="G56" i="1"/>
  <c r="E56" i="1"/>
  <c r="C56" i="1"/>
  <c r="B56" i="1"/>
  <c r="G55" i="1"/>
  <c r="E55" i="1"/>
  <c r="C55" i="1"/>
  <c r="B55" i="1"/>
  <c r="G54" i="1"/>
  <c r="E54" i="1"/>
  <c r="C54" i="1"/>
  <c r="B54" i="1"/>
  <c r="G53" i="1"/>
  <c r="E53" i="1"/>
  <c r="C53" i="1"/>
  <c r="B53" i="1"/>
  <c r="G52" i="1"/>
  <c r="E52" i="1"/>
  <c r="C52" i="1"/>
  <c r="B52" i="1"/>
  <c r="G51" i="1"/>
  <c r="E51" i="1"/>
  <c r="C51" i="1"/>
  <c r="B51" i="1"/>
  <c r="G50" i="1"/>
  <c r="E50" i="1"/>
  <c r="C50" i="1"/>
  <c r="B50" i="1"/>
  <c r="G49" i="1"/>
  <c r="E49" i="1"/>
  <c r="C49" i="1"/>
  <c r="B49" i="1"/>
  <c r="G48" i="1"/>
  <c r="E48" i="1"/>
  <c r="C48" i="1"/>
  <c r="B48" i="1"/>
  <c r="G47" i="1"/>
  <c r="E47" i="1"/>
  <c r="C47" i="1"/>
  <c r="B47" i="1"/>
  <c r="G46" i="1"/>
  <c r="E46" i="1"/>
  <c r="C46" i="1"/>
  <c r="B46" i="1"/>
  <c r="G45" i="1"/>
  <c r="E45" i="1"/>
  <c r="C45" i="1"/>
  <c r="B45" i="1"/>
  <c r="G44" i="1"/>
  <c r="E44" i="1"/>
  <c r="C44" i="1"/>
  <c r="B44" i="1"/>
  <c r="G43" i="1"/>
  <c r="E43" i="1"/>
  <c r="C43" i="1"/>
  <c r="B43" i="1"/>
  <c r="G42" i="1"/>
  <c r="E42" i="1"/>
  <c r="C42" i="1"/>
  <c r="B42" i="1"/>
  <c r="G41" i="1"/>
  <c r="E41" i="1"/>
  <c r="C41" i="1"/>
  <c r="B41" i="1"/>
  <c r="G40" i="1"/>
  <c r="E40" i="1"/>
  <c r="C40" i="1"/>
  <c r="B40" i="1"/>
  <c r="G39" i="1"/>
  <c r="E39" i="1"/>
  <c r="C39" i="1"/>
  <c r="B39" i="1"/>
  <c r="G38" i="1"/>
  <c r="E38" i="1"/>
  <c r="C38" i="1"/>
  <c r="B38" i="1"/>
  <c r="G37" i="1"/>
  <c r="E37" i="1"/>
  <c r="C37" i="1"/>
  <c r="B37" i="1"/>
  <c r="G36" i="1"/>
  <c r="E36" i="1"/>
  <c r="C36" i="1"/>
  <c r="B36" i="1"/>
  <c r="G35" i="1"/>
  <c r="E35" i="1"/>
  <c r="C35" i="1"/>
  <c r="B35" i="1"/>
  <c r="G34" i="1"/>
  <c r="E34" i="1"/>
  <c r="C34" i="1"/>
  <c r="B34" i="1"/>
  <c r="G33" i="1"/>
  <c r="E33" i="1"/>
  <c r="C33" i="1"/>
  <c r="B33" i="1"/>
  <c r="G32" i="1"/>
  <c r="E32" i="1"/>
  <c r="C32" i="1"/>
  <c r="B32" i="1"/>
  <c r="G31" i="1"/>
  <c r="E31" i="1"/>
  <c r="C31" i="1"/>
  <c r="B31" i="1"/>
  <c r="G30" i="1"/>
  <c r="E30" i="1"/>
  <c r="C30" i="1"/>
  <c r="B30" i="1"/>
  <c r="G29" i="1"/>
  <c r="E29" i="1"/>
  <c r="C29" i="1"/>
  <c r="B29" i="1"/>
  <c r="G28" i="1"/>
  <c r="E28" i="1"/>
  <c r="C28" i="1"/>
  <c r="B28" i="1"/>
  <c r="G27" i="1"/>
  <c r="E27" i="1"/>
  <c r="C27" i="1"/>
  <c r="B27" i="1"/>
  <c r="G26" i="1"/>
  <c r="E26" i="1"/>
  <c r="C26" i="1"/>
  <c r="B26" i="1"/>
  <c r="G25" i="1"/>
  <c r="E25" i="1"/>
  <c r="C25" i="1"/>
  <c r="B25" i="1"/>
  <c r="G24" i="1"/>
  <c r="E24" i="1"/>
  <c r="C24" i="1"/>
  <c r="B24" i="1"/>
  <c r="G23" i="1"/>
  <c r="E23" i="1"/>
  <c r="C23" i="1"/>
  <c r="B23" i="1"/>
  <c r="G22" i="1"/>
  <c r="E22" i="1"/>
  <c r="C22" i="1"/>
  <c r="B22" i="1"/>
  <c r="G21" i="1"/>
  <c r="E21" i="1"/>
  <c r="C21" i="1"/>
  <c r="B21" i="1"/>
  <c r="G20" i="1"/>
  <c r="E20" i="1"/>
  <c r="C20" i="1"/>
  <c r="B20" i="1"/>
  <c r="G19" i="1"/>
  <c r="E19" i="1"/>
  <c r="C19" i="1"/>
  <c r="B19" i="1"/>
  <c r="G18" i="1"/>
  <c r="E18" i="1"/>
  <c r="C18" i="1"/>
  <c r="B18" i="1"/>
  <c r="G17" i="1"/>
  <c r="E17" i="1"/>
  <c r="C17" i="1"/>
  <c r="B17" i="1"/>
  <c r="G16" i="1"/>
  <c r="E16" i="1"/>
  <c r="C16" i="1"/>
  <c r="B16" i="1"/>
  <c r="G15" i="1"/>
  <c r="E15" i="1"/>
  <c r="C15" i="1"/>
  <c r="B15" i="1"/>
  <c r="G14" i="1"/>
  <c r="E14" i="1"/>
  <c r="C14" i="1"/>
  <c r="B14" i="1"/>
  <c r="G13" i="1"/>
  <c r="E13" i="1"/>
  <c r="C13" i="1"/>
  <c r="B13" i="1"/>
  <c r="G12" i="1"/>
  <c r="E12" i="1"/>
  <c r="C12" i="1"/>
  <c r="B12" i="1"/>
  <c r="G11" i="1"/>
  <c r="E11" i="1"/>
  <c r="C11" i="1"/>
  <c r="B11" i="1"/>
  <c r="G10" i="1"/>
  <c r="E10" i="1"/>
  <c r="C10" i="1"/>
  <c r="B10" i="1"/>
  <c r="G9" i="1"/>
  <c r="E9" i="1"/>
  <c r="C9" i="1"/>
  <c r="B9" i="1"/>
  <c r="G8" i="1"/>
  <c r="E8" i="1"/>
  <c r="C8" i="1"/>
  <c r="B8" i="1"/>
  <c r="G7" i="1"/>
  <c r="E7" i="1"/>
  <c r="C7" i="1"/>
  <c r="B7" i="1"/>
  <c r="G6" i="1"/>
  <c r="E6" i="1"/>
  <c r="C6" i="1"/>
  <c r="B6" i="1"/>
  <c r="G5" i="1"/>
  <c r="E5" i="1"/>
  <c r="C5" i="1"/>
  <c r="B5" i="1"/>
  <c r="G4" i="1"/>
  <c r="E4" i="1"/>
  <c r="C4" i="1"/>
  <c r="B4" i="1"/>
  <c r="G3" i="1"/>
  <c r="E3" i="1"/>
  <c r="C3" i="1"/>
  <c r="B3" i="1"/>
  <c r="G2" i="1"/>
  <c r="E2" i="1"/>
  <c r="C2" i="1"/>
  <c r="B2" i="1"/>
</calcChain>
</file>

<file path=xl/sharedStrings.xml><?xml version="1.0" encoding="utf-8"?>
<sst xmlns="http://schemas.openxmlformats.org/spreadsheetml/2006/main" count="7" uniqueCount="7">
  <si>
    <t>CÓDIGO SAP</t>
  </si>
  <si>
    <t>DESCRIPCION</t>
  </si>
  <si>
    <t>SEGMENTO</t>
  </si>
  <si>
    <t>LEAD TIME OPERACIÓN
[Días]</t>
  </si>
  <si>
    <t>LEAD TIME OPERACIÓN
[Mes]</t>
  </si>
  <si>
    <t>LEAD TIME PLANTA
[Días]</t>
  </si>
  <si>
    <t>LEAD TIME PLANTA
[Mes]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</si>
</sst>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1" fontId="1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1" fontId="2" fillId="2" borderId="1" xfId="0" applyNumberFormat="1" applyFont="1" applyFill="1" applyBorder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1" fontId="1" fillId="4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cargillonline.sharepoint.com/sites/Supply_Chain_CQN_EC_-_Business_Intelligence/CQN%20EC%20SUPPLY%20CHAIN%20%20BUSINESS%20INTELLIGENCE/DATA/PLANNING/Base%20de%20Datos%20MP%20-%20BI/An&#225;lisis%20Diario%20-%20Inventario%20MP/06%20An&#225;lisis%20Diario%20de%20Inventario%20MP%20-%20Junio.xlsm" TargetMode="External"/><Relationship Id="rId2" Type="http://schemas.microsoft.com/office/2019/04/relationships/externalLinkLongPath" Target="/sites/Supply_Chain_CQN_EC_-_Business_Intelligence/CQN%20EC%20SUPPLY%20CHAIN%20%20BUSINESS%20INTELLIGENCE/DATA/PLANNING/Base%20de%20Datos%20MP%20-%20BI/An&#225;lisis%20Diario%20-%20Inventario%20MP/06%20An&#225;lisis%20Diario%20de%20Inventario%20MP%20-%20Junio.xlsm?3F2E358D" TargetMode="External"/><Relationship Id="rId1" Type="http://schemas.openxmlformats.org/officeDocument/2006/relationships/externalLinkPath" Target="file:///\\3F2E358D\06%20An&#225;lisis%20Diario%20de%20Inventario%20MP%20-%20Junio.xlsm" TargetMode="External"/><Relationship Id="rId4" Type="http://schemas.openxmlformats.org/officeDocument/2006/relationships/externalLinkPath" Target="../An&#225;lisis%20Diario%20-%20Inventario%20MP/06%20An&#225;lisis%20Diario%20de%20Inventario%20MP%20-%20Juni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Consolidado MP"/>
      <sheetName val="Análisis Inventario MP - CANE"/>
      <sheetName val="Análisis Inventario MP - DURAN"/>
      <sheetName val="Politica de Inventario MP"/>
      <sheetName val="Stock Actual"/>
      <sheetName val="Lead Time MP"/>
      <sheetName val="Consumo Actual"/>
      <sheetName val="Base MP"/>
      <sheetName val="Centr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C2" t="str">
            <v>Código MP</v>
          </cell>
          <cell r="D2" t="str">
            <v>Descripción MP</v>
          </cell>
          <cell r="E2" t="str">
            <v>Segmento</v>
          </cell>
        </row>
        <row r="3">
          <cell r="C3">
            <v>107536338</v>
          </cell>
          <cell r="D3" t="str">
            <v>HARINA DE PESCADO SUPER PRIME</v>
          </cell>
          <cell r="E3" t="str">
            <v>MACRO</v>
          </cell>
        </row>
        <row r="4">
          <cell r="C4">
            <v>107537102</v>
          </cell>
          <cell r="D4" t="str">
            <v>LEVADURA DV AQUA</v>
          </cell>
          <cell r="E4" t="str">
            <v>MICRO</v>
          </cell>
        </row>
        <row r="5">
          <cell r="C5">
            <v>107537107</v>
          </cell>
          <cell r="D5" t="str">
            <v>HARINA DE KRILL</v>
          </cell>
          <cell r="E5" t="str">
            <v>MACRO</v>
          </cell>
        </row>
        <row r="6">
          <cell r="C6">
            <v>107537111</v>
          </cell>
          <cell r="D6" t="str">
            <v>AVES SUBPRODUCTO HARINA</v>
          </cell>
          <cell r="E6" t="str">
            <v>MACRO</v>
          </cell>
        </row>
        <row r="7">
          <cell r="C7">
            <v>107537774</v>
          </cell>
          <cell r="D7" t="str">
            <v>SAL</v>
          </cell>
          <cell r="E7" t="str">
            <v>MICRO</v>
          </cell>
        </row>
        <row r="8">
          <cell r="C8">
            <v>107537786</v>
          </cell>
          <cell r="D8" t="str">
            <v>MIN CARBONATO DE CALCIO 38%</v>
          </cell>
          <cell r="E8" t="str">
            <v>MACRO</v>
          </cell>
        </row>
        <row r="9">
          <cell r="C9">
            <v>107537927</v>
          </cell>
          <cell r="D9" t="str">
            <v>MIN CLORURO DE POTASIO 50%</v>
          </cell>
          <cell r="E9" t="str">
            <v>MICRO</v>
          </cell>
        </row>
        <row r="10">
          <cell r="C10">
            <v>107537930</v>
          </cell>
          <cell r="D10" t="str">
            <v>ARROZ SALVADO</v>
          </cell>
          <cell r="E10" t="str">
            <v>MACRO</v>
          </cell>
        </row>
        <row r="11">
          <cell r="C11">
            <v>107543308</v>
          </cell>
          <cell r="D11" t="str">
            <v>AP 301/PORK HEMOGLOBINE</v>
          </cell>
          <cell r="E11" t="str">
            <v>MACRO</v>
          </cell>
        </row>
        <row r="12">
          <cell r="C12">
            <v>107543858</v>
          </cell>
          <cell r="D12" t="str">
            <v>TRIGO ENTERO 8 A 14% NDF</v>
          </cell>
          <cell r="E12" t="str">
            <v>GRANEL</v>
          </cell>
        </row>
        <row r="13">
          <cell r="C13">
            <v>107544067</v>
          </cell>
          <cell r="D13" t="str">
            <v>ACIDO FUMARICO CW</v>
          </cell>
          <cell r="E13" t="str">
            <v>MICRO</v>
          </cell>
        </row>
        <row r="14">
          <cell r="C14">
            <v>107544077</v>
          </cell>
          <cell r="D14" t="str">
            <v>OXIDO DE MAGNESIO</v>
          </cell>
          <cell r="E14" t="str">
            <v>MICRO</v>
          </cell>
        </row>
        <row r="15">
          <cell r="C15">
            <v>107544084</v>
          </cell>
          <cell r="D15" t="str">
            <v>DDGS MAIZ</v>
          </cell>
          <cell r="E15" t="str">
            <v>GRANEL</v>
          </cell>
        </row>
        <row r="16">
          <cell r="C16">
            <v>107544100</v>
          </cell>
          <cell r="D16" t="str">
            <v>L-VALINE</v>
          </cell>
          <cell r="E16" t="str">
            <v>MICRO</v>
          </cell>
        </row>
        <row r="17">
          <cell r="C17">
            <v>107544275</v>
          </cell>
          <cell r="D17" t="str">
            <v>CHOLINE CHLORIDE-70</v>
          </cell>
          <cell r="E17" t="str">
            <v>MICRO</v>
          </cell>
        </row>
        <row r="18">
          <cell r="C18">
            <v>107544643</v>
          </cell>
          <cell r="D18" t="str">
            <v>BENTONITA</v>
          </cell>
          <cell r="E18" t="str">
            <v>MICRO</v>
          </cell>
        </row>
        <row r="19">
          <cell r="C19">
            <v>107544897</v>
          </cell>
          <cell r="D19" t="str">
            <v>AA TREONINA</v>
          </cell>
          <cell r="E19" t="str">
            <v>MICRO</v>
          </cell>
        </row>
        <row r="20">
          <cell r="C20">
            <v>107544898</v>
          </cell>
          <cell r="D20" t="str">
            <v>METAMINO</v>
          </cell>
          <cell r="E20" t="str">
            <v>MICRO</v>
          </cell>
        </row>
        <row r="21">
          <cell r="C21">
            <v>107545168</v>
          </cell>
          <cell r="D21" t="str">
            <v>OMEGA 40% CHOLESTEROL 12%</v>
          </cell>
          <cell r="E21" t="str">
            <v>MICRO</v>
          </cell>
        </row>
        <row r="22">
          <cell r="C22">
            <v>107545188</v>
          </cell>
          <cell r="D22" t="str">
            <v>H DE CARNE Y HUESO PORCINA</v>
          </cell>
          <cell r="E22" t="str">
            <v>MACRO</v>
          </cell>
        </row>
        <row r="23">
          <cell r="C23">
            <v>107545429</v>
          </cell>
          <cell r="D23" t="str">
            <v>REPRO CAMA SP</v>
          </cell>
          <cell r="E23" t="str">
            <v>REPROCESO</v>
          </cell>
        </row>
        <row r="24">
          <cell r="C24">
            <v>107546525</v>
          </cell>
          <cell r="D24" t="str">
            <v>NUTRIBIND</v>
          </cell>
          <cell r="E24" t="str">
            <v>MICRO</v>
          </cell>
        </row>
        <row r="25">
          <cell r="C25">
            <v>107546536</v>
          </cell>
          <cell r="D25" t="str">
            <v>COLESTEROL 91%</v>
          </cell>
          <cell r="E25" t="str">
            <v>MICRO</v>
          </cell>
        </row>
        <row r="26">
          <cell r="C26">
            <v>107546919</v>
          </cell>
          <cell r="D26" t="str">
            <v>ACTIGEN LEVADURA</v>
          </cell>
          <cell r="E26" t="str">
            <v>MICRO</v>
          </cell>
        </row>
        <row r="27">
          <cell r="C27">
            <v>107547153</v>
          </cell>
          <cell r="D27" t="str">
            <v>PLUMA HNA HIDROLIZADA</v>
          </cell>
          <cell r="E27" t="str">
            <v>MACRO</v>
          </cell>
        </row>
        <row r="28">
          <cell r="C28">
            <v>107547508</v>
          </cell>
          <cell r="D28" t="str">
            <v>FYLAX FORTE</v>
          </cell>
          <cell r="E28" t="str">
            <v>MICRO</v>
          </cell>
        </row>
        <row r="29">
          <cell r="C29">
            <v>107547545</v>
          </cell>
          <cell r="D29" t="str">
            <v>AA LISINA HCL 78.8%</v>
          </cell>
          <cell r="E29" t="str">
            <v>MICRO</v>
          </cell>
        </row>
        <row r="30">
          <cell r="C30">
            <v>107547546</v>
          </cell>
          <cell r="D30" t="str">
            <v>COLINA 60%</v>
          </cell>
          <cell r="E30" t="str">
            <v>MICRO</v>
          </cell>
        </row>
        <row r="31">
          <cell r="C31">
            <v>107547553</v>
          </cell>
          <cell r="D31" t="str">
            <v>TRIGO SALVADO 35 A 42% NDF</v>
          </cell>
          <cell r="E31" t="str">
            <v>MACRO</v>
          </cell>
        </row>
        <row r="32">
          <cell r="C32">
            <v>107547799</v>
          </cell>
          <cell r="D32" t="str">
            <v>PMX VIT CAMARON</v>
          </cell>
          <cell r="E32" t="str">
            <v>MICRO</v>
          </cell>
        </row>
        <row r="33">
          <cell r="C33">
            <v>107548462</v>
          </cell>
          <cell r="D33" t="str">
            <v>PESCADO HARINA ATUN</v>
          </cell>
          <cell r="E33" t="str">
            <v>MACRO</v>
          </cell>
        </row>
        <row r="34">
          <cell r="C34">
            <v>107548886</v>
          </cell>
          <cell r="D34" t="str">
            <v>PREPEC LIPOFEED CALCIUM_PRO BG 20KG</v>
          </cell>
          <cell r="E34" t="str">
            <v>MICRO</v>
          </cell>
        </row>
        <row r="35">
          <cell r="C35">
            <v>107548924</v>
          </cell>
          <cell r="D35" t="str">
            <v>LECITINA SOYA LIQUIDA CRUDA</v>
          </cell>
          <cell r="E35" t="str">
            <v>LIQUIDO</v>
          </cell>
        </row>
        <row r="36">
          <cell r="C36">
            <v>107548949</v>
          </cell>
          <cell r="D36" t="str">
            <v>MONO CALCIUM PHOSPHATE 22.7%</v>
          </cell>
          <cell r="E36" t="str">
            <v>MACRO</v>
          </cell>
        </row>
        <row r="37">
          <cell r="C37">
            <v>107549174</v>
          </cell>
          <cell r="D37" t="str">
            <v>AA TAURINA 99%</v>
          </cell>
          <cell r="E37" t="str">
            <v>MICRO</v>
          </cell>
        </row>
        <row r="38">
          <cell r="C38">
            <v>107549195</v>
          </cell>
          <cell r="D38" t="str">
            <v>XTRACT</v>
          </cell>
          <cell r="E38" t="str">
            <v>MICRO</v>
          </cell>
        </row>
        <row r="39">
          <cell r="C39">
            <v>107565777</v>
          </cell>
          <cell r="D39" t="str">
            <v>FOSFATO MONOAMONICO</v>
          </cell>
          <cell r="E39" t="str">
            <v>MICRO</v>
          </cell>
        </row>
        <row r="40">
          <cell r="C40">
            <v>107669594</v>
          </cell>
          <cell r="D40" t="str">
            <v>BETAINA HCL 95%</v>
          </cell>
          <cell r="E40" t="str">
            <v>MICRO</v>
          </cell>
        </row>
        <row r="41">
          <cell r="C41">
            <v>107673539</v>
          </cell>
          <cell r="D41" t="str">
            <v>ZEOLITE FED ADD</v>
          </cell>
          <cell r="E41" t="str">
            <v>MICRO</v>
          </cell>
        </row>
        <row r="42">
          <cell r="C42">
            <v>107674333</v>
          </cell>
          <cell r="D42" t="str">
            <v>FOSFATO MONODICALCICO</v>
          </cell>
          <cell r="E42" t="str">
            <v>MICRO</v>
          </cell>
        </row>
        <row r="43">
          <cell r="C43">
            <v>107674560</v>
          </cell>
          <cell r="D43" t="str">
            <v>ACEITE DE ATUN</v>
          </cell>
          <cell r="E43" t="str">
            <v>LIQUIDO</v>
          </cell>
        </row>
        <row r="44">
          <cell r="C44">
            <v>107680729</v>
          </cell>
          <cell r="D44" t="str">
            <v>LYSOFORTE EXTEND DRY</v>
          </cell>
          <cell r="E44" t="str">
            <v>MICRO</v>
          </cell>
        </row>
        <row r="45">
          <cell r="C45">
            <v>107680731</v>
          </cell>
          <cell r="D45" t="str">
            <v>REPRO CAMA HP</v>
          </cell>
          <cell r="E45" t="str">
            <v>REPROCESO</v>
          </cell>
        </row>
        <row r="46">
          <cell r="C46">
            <v>107680739</v>
          </cell>
          <cell r="D46" t="str">
            <v>ACEITE CRUDO DE SOYA</v>
          </cell>
          <cell r="E46" t="str">
            <v>LIQUIDO</v>
          </cell>
        </row>
        <row r="47">
          <cell r="C47">
            <v>107680742</v>
          </cell>
          <cell r="D47" t="str">
            <v>ACEITE DE PESCADO ETHYL ESTER</v>
          </cell>
          <cell r="E47" t="str">
            <v>MICRO</v>
          </cell>
        </row>
        <row r="48">
          <cell r="C48">
            <v>107680748</v>
          </cell>
          <cell r="D48" t="str">
            <v>SOYA INTEGRAL EXTRUIDA</v>
          </cell>
          <cell r="E48" t="str">
            <v>MACRO</v>
          </cell>
        </row>
        <row r="49">
          <cell r="C49">
            <v>107680749</v>
          </cell>
          <cell r="D49" t="str">
            <v>CARDOSIL</v>
          </cell>
          <cell r="E49" t="str">
            <v>MICRO</v>
          </cell>
        </row>
        <row r="50">
          <cell r="C50">
            <v>107680760</v>
          </cell>
          <cell r="D50" t="str">
            <v>FATTY ACID ETHYLESTER MIXTURE</v>
          </cell>
          <cell r="E50" t="str">
            <v>MICRO</v>
          </cell>
        </row>
        <row r="51">
          <cell r="C51">
            <v>107680763</v>
          </cell>
          <cell r="D51" t="str">
            <v>HNA SANGRE MEZCLA DE ESPECIES</v>
          </cell>
          <cell r="E51" t="str">
            <v>MACRO</v>
          </cell>
        </row>
        <row r="52">
          <cell r="C52">
            <v>107680769</v>
          </cell>
          <cell r="D52" t="str">
            <v>MINERAL L OC02</v>
          </cell>
          <cell r="E52" t="str">
            <v>MICRO</v>
          </cell>
        </row>
        <row r="53">
          <cell r="C53">
            <v>107680771</v>
          </cell>
          <cell r="D53" t="str">
            <v>SFF MULTI SPP</v>
          </cell>
          <cell r="E53" t="str">
            <v>MICRO</v>
          </cell>
        </row>
        <row r="54">
          <cell r="C54">
            <v>107680774</v>
          </cell>
          <cell r="D54" t="str">
            <v>MIN SULFATO DE POTASIO</v>
          </cell>
          <cell r="E54" t="str">
            <v>MICRO</v>
          </cell>
        </row>
        <row r="55">
          <cell r="C55">
            <v>107680777</v>
          </cell>
          <cell r="D55" t="str">
            <v>REPRO CAMA LP</v>
          </cell>
          <cell r="E55" t="str">
            <v>REPROCESO</v>
          </cell>
        </row>
        <row r="56">
          <cell r="C56">
            <v>107680780</v>
          </cell>
          <cell r="D56" t="str">
            <v>HARINA DE POTA 80%</v>
          </cell>
          <cell r="E56" t="str">
            <v>MACRO</v>
          </cell>
        </row>
        <row r="57">
          <cell r="C57">
            <v>107680783</v>
          </cell>
          <cell r="D57" t="str">
            <v>VITAMINA C MONOFOSFATO 35%</v>
          </cell>
          <cell r="E57" t="str">
            <v>MICRO</v>
          </cell>
        </row>
        <row r="58">
          <cell r="C58">
            <v>107680785</v>
          </cell>
          <cell r="D58" t="str">
            <v>TORTA DE SOYA AMERICANA</v>
          </cell>
          <cell r="E58" t="str">
            <v>GRANEL</v>
          </cell>
        </row>
        <row r="59">
          <cell r="C59">
            <v>107680787</v>
          </cell>
          <cell r="D59" t="str">
            <v>TORTA DE SOYA BOLIVIANA</v>
          </cell>
          <cell r="E59" t="str">
            <v>GRANEL</v>
          </cell>
        </row>
        <row r="60">
          <cell r="C60">
            <v>107680790</v>
          </cell>
          <cell r="D60" t="str">
            <v>ACEITE CRUDO DE PESCADO</v>
          </cell>
          <cell r="E60" t="str">
            <v>LIQUIDO</v>
          </cell>
        </row>
        <row r="61">
          <cell r="C61">
            <v>107680791</v>
          </cell>
          <cell r="D61" t="str">
            <v>HARINA DE VISCERAS 65%</v>
          </cell>
          <cell r="E61" t="str">
            <v>MACRO</v>
          </cell>
        </row>
        <row r="62">
          <cell r="C62">
            <v>107680793</v>
          </cell>
          <cell r="D62" t="str">
            <v>ACTIPAL HL8 ETX FREE FED ADD</v>
          </cell>
          <cell r="E62" t="str">
            <v>MICRO</v>
          </cell>
        </row>
        <row r="63">
          <cell r="C63">
            <v>107680795</v>
          </cell>
          <cell r="D63" t="str">
            <v>MARINE COLESTEROL 12%</v>
          </cell>
          <cell r="E63" t="str">
            <v>MICRO</v>
          </cell>
        </row>
        <row r="64">
          <cell r="C64">
            <v>107680796</v>
          </cell>
          <cell r="D64" t="str">
            <v>FLEXILIPID 12</v>
          </cell>
          <cell r="E64" t="str">
            <v>MICRO</v>
          </cell>
        </row>
        <row r="65">
          <cell r="C65">
            <v>107680803</v>
          </cell>
          <cell r="D65" t="str">
            <v>HARINA DE CERDO BAL CARNE HUES</v>
          </cell>
          <cell r="E65" t="str">
            <v>MACRO</v>
          </cell>
        </row>
        <row r="66">
          <cell r="C66">
            <v>107680813</v>
          </cell>
          <cell r="D66" t="str">
            <v>NIELEN DE ARROZ</v>
          </cell>
          <cell r="E66" t="str">
            <v>MICRO</v>
          </cell>
        </row>
        <row r="67">
          <cell r="C67">
            <v>107680814</v>
          </cell>
          <cell r="D67" t="str">
            <v>TORTA DE SOYA ARGENTINA</v>
          </cell>
          <cell r="E67" t="str">
            <v>GRANEL</v>
          </cell>
        </row>
        <row r="68">
          <cell r="C68">
            <v>107680818</v>
          </cell>
          <cell r="D68" t="str">
            <v>PEGABIND DRY AGLUTINANTE</v>
          </cell>
          <cell r="E68" t="str">
            <v>MICRO</v>
          </cell>
        </row>
        <row r="69">
          <cell r="C69">
            <v>107680821</v>
          </cell>
          <cell r="D69" t="str">
            <v>SOYA ENTERA</v>
          </cell>
          <cell r="E69" t="str">
            <v>MACRO</v>
          </cell>
        </row>
        <row r="70">
          <cell r="C70">
            <v>107680824</v>
          </cell>
          <cell r="D70" t="str">
            <v>MOISTURE CHANGE</v>
          </cell>
          <cell r="E70" t="str">
            <v>MICRO</v>
          </cell>
        </row>
        <row r="71">
          <cell r="C71">
            <v>107680826</v>
          </cell>
          <cell r="D71" t="str">
            <v>REPRO_CAMARON</v>
          </cell>
          <cell r="E71" t="str">
            <v>REPROCESO</v>
          </cell>
        </row>
        <row r="72">
          <cell r="C72">
            <v>107680836</v>
          </cell>
          <cell r="D72" t="str">
            <v>ADOXINE SE ANTIOX BHT10% POLVO</v>
          </cell>
          <cell r="E72" t="str">
            <v>MICRO</v>
          </cell>
        </row>
        <row r="73">
          <cell r="C73">
            <v>107680838</v>
          </cell>
          <cell r="D73" t="str">
            <v>SOFT WHITE WHEAT</v>
          </cell>
          <cell r="E73" t="str">
            <v>GRANEL</v>
          </cell>
        </row>
        <row r="74">
          <cell r="C74">
            <v>107680839</v>
          </cell>
          <cell r="D74" t="str">
            <v>HARINA DE PESCADO F</v>
          </cell>
          <cell r="E74" t="str">
            <v>MACRO</v>
          </cell>
        </row>
        <row r="75">
          <cell r="C75">
            <v>107680840</v>
          </cell>
          <cell r="D75" t="str">
            <v>NUTRIMAR POLVO</v>
          </cell>
          <cell r="E75" t="str">
            <v>MICRO</v>
          </cell>
        </row>
        <row r="76">
          <cell r="C76">
            <v>107680841</v>
          </cell>
          <cell r="D76" t="str">
            <v>PESCADO HARINA PROTEINA &gt;67%</v>
          </cell>
          <cell r="E76" t="str">
            <v>MACRO</v>
          </cell>
        </row>
        <row r="77">
          <cell r="C77">
            <v>107680844</v>
          </cell>
          <cell r="D77" t="str">
            <v>VITAMINA-E 50%</v>
          </cell>
          <cell r="E77" t="str">
            <v>MICRO</v>
          </cell>
        </row>
        <row r="78">
          <cell r="C78">
            <v>107680845</v>
          </cell>
          <cell r="D78" t="str">
            <v>INHIMOLD P FED ADD</v>
          </cell>
          <cell r="E78" t="str">
            <v>MICRO</v>
          </cell>
        </row>
        <row r="79">
          <cell r="C79">
            <v>107680847</v>
          </cell>
          <cell r="D79" t="str">
            <v>SILIMARINA 80% FED ADD</v>
          </cell>
          <cell r="E79" t="str">
            <v>MICRO</v>
          </cell>
        </row>
        <row r="80">
          <cell r="C80">
            <v>107708558</v>
          </cell>
          <cell r="D80" t="str">
            <v>CONCENTRADO FERMENTADO MAIZCFP</v>
          </cell>
          <cell r="E80" t="str">
            <v>MACRO</v>
          </cell>
        </row>
        <row r="81">
          <cell r="C81">
            <v>107708563</v>
          </cell>
          <cell r="D81" t="str">
            <v>SOYBEAN MEAL-EXPELLER</v>
          </cell>
          <cell r="E81" t="str">
            <v>GRANEL</v>
          </cell>
        </row>
        <row r="82">
          <cell r="C82">
            <v>107708565</v>
          </cell>
          <cell r="D82" t="str">
            <v>ECUAMIX CAMARON ABA</v>
          </cell>
          <cell r="E82" t="str">
            <v>MICRO</v>
          </cell>
        </row>
        <row r="83">
          <cell r="C83">
            <v>107708608</v>
          </cell>
          <cell r="D83" t="str">
            <v>CHOLINE CHLORIDE-50</v>
          </cell>
          <cell r="E83" t="str">
            <v>MICRO</v>
          </cell>
        </row>
        <row r="84">
          <cell r="C84">
            <v>107708613</v>
          </cell>
          <cell r="D84" t="str">
            <v>PROPIONATO DE CALCIO (ACIDO)</v>
          </cell>
          <cell r="E84" t="str">
            <v>MICRO</v>
          </cell>
        </row>
        <row r="85">
          <cell r="C85">
            <v>107708614</v>
          </cell>
          <cell r="D85" t="str">
            <v>SFF REFILL PLUS</v>
          </cell>
          <cell r="E85" t="str">
            <v>MACRO</v>
          </cell>
        </row>
        <row r="86">
          <cell r="C86">
            <v>107708615</v>
          </cell>
          <cell r="D86" t="str">
            <v>HY-BOND</v>
          </cell>
          <cell r="E86" t="str">
            <v>MICRO</v>
          </cell>
        </row>
        <row r="87">
          <cell r="C87">
            <v>107708616</v>
          </cell>
          <cell r="D87" t="str">
            <v>HIDROLIZADO DE CALAMAR LIQ</v>
          </cell>
          <cell r="E87" t="str">
            <v>MICRO</v>
          </cell>
        </row>
        <row r="88">
          <cell r="C88">
            <v>107708618</v>
          </cell>
          <cell r="D88" t="str">
            <v>AMARIL</v>
          </cell>
          <cell r="E88" t="str">
            <v>MICRO</v>
          </cell>
        </row>
        <row r="89">
          <cell r="C89">
            <v>107708680</v>
          </cell>
          <cell r="D89" t="str">
            <v>OMEGAFEED CHOLESTEROL</v>
          </cell>
          <cell r="E89" t="str">
            <v>MICRO</v>
          </cell>
        </row>
        <row r="90">
          <cell r="C90">
            <v>107708685</v>
          </cell>
          <cell r="D90" t="str">
            <v>BIOHYDRO</v>
          </cell>
          <cell r="E90" t="str">
            <v>MICRO</v>
          </cell>
        </row>
        <row r="91">
          <cell r="C91">
            <v>107708690</v>
          </cell>
          <cell r="D91" t="str">
            <v>SELENIO ORGANICO</v>
          </cell>
          <cell r="E91" t="str">
            <v>MICRO</v>
          </cell>
        </row>
        <row r="92">
          <cell r="C92">
            <v>107708828</v>
          </cell>
          <cell r="D92" t="str">
            <v>TRIGO BRASILERO</v>
          </cell>
          <cell r="E92" t="str">
            <v>GRANEL</v>
          </cell>
        </row>
        <row r="93">
          <cell r="C93">
            <v>107708832</v>
          </cell>
          <cell r="D93" t="str">
            <v>COLESTEROL 91% FISH OIL</v>
          </cell>
          <cell r="E93" t="str">
            <v>MICRO</v>
          </cell>
        </row>
        <row r="94">
          <cell r="C94">
            <v>107708835</v>
          </cell>
          <cell r="D94" t="str">
            <v>INHIMOLD LIQ FEED ADD</v>
          </cell>
          <cell r="E94" t="str">
            <v>MICRO</v>
          </cell>
        </row>
        <row r="95">
          <cell r="C95">
            <v>107710345</v>
          </cell>
          <cell r="D95" t="str">
            <v>SHRIMP MAX</v>
          </cell>
          <cell r="E95" t="str">
            <v>MICRO</v>
          </cell>
        </row>
        <row r="96">
          <cell r="C96">
            <v>107710353</v>
          </cell>
          <cell r="D96" t="str">
            <v>LYSOLECITHIN</v>
          </cell>
          <cell r="E96" t="str">
            <v>MICRO</v>
          </cell>
        </row>
        <row r="97">
          <cell r="C97">
            <v>107710432</v>
          </cell>
          <cell r="D97" t="str">
            <v>DIFORMIATO DE POTASIO</v>
          </cell>
          <cell r="E97" t="str">
            <v>MICRO</v>
          </cell>
        </row>
        <row r="98">
          <cell r="C98">
            <v>107710439</v>
          </cell>
          <cell r="D98" t="str">
            <v>NUCLEO PURINA AQUAFEED 353</v>
          </cell>
          <cell r="E98" t="str">
            <v>MICRO</v>
          </cell>
        </row>
        <row r="99">
          <cell r="C99">
            <v>107712240</v>
          </cell>
          <cell r="D99" t="str">
            <v>HARINA DE PESCADO P MIN 60%</v>
          </cell>
          <cell r="E99" t="str">
            <v>MACRO</v>
          </cell>
        </row>
        <row r="100">
          <cell r="C100">
            <v>107712926</v>
          </cell>
          <cell r="D100" t="str">
            <v>FOSFATO MONOCALCICO 22.7 %</v>
          </cell>
          <cell r="E100" t="str">
            <v>MICRO</v>
          </cell>
        </row>
        <row r="101">
          <cell r="C101">
            <v>107712927</v>
          </cell>
          <cell r="D101" t="str">
            <v>CARBONATO DE CALCIO 97%</v>
          </cell>
          <cell r="E101" t="str">
            <v>MICRO</v>
          </cell>
        </row>
        <row r="102">
          <cell r="C102">
            <v>107714424</v>
          </cell>
          <cell r="D102" t="str">
            <v>LECITINA DE SOYA POLVO</v>
          </cell>
          <cell r="E102" t="str">
            <v>MICRO</v>
          </cell>
        </row>
        <row r="103">
          <cell r="C103">
            <v>107714425</v>
          </cell>
          <cell r="D103" t="str">
            <v>HIDROLIZADO DE CAMARON</v>
          </cell>
          <cell r="E103" t="str">
            <v>MACRO</v>
          </cell>
        </row>
        <row r="104">
          <cell r="C104">
            <v>107714426</v>
          </cell>
          <cell r="D104" t="str">
            <v>DIGEMAX AGUA</v>
          </cell>
          <cell r="E104" t="str">
            <v>MICRO</v>
          </cell>
        </row>
        <row r="105">
          <cell r="C105">
            <v>107714524</v>
          </cell>
          <cell r="D105" t="str">
            <v>ASTAXANTINA 10%</v>
          </cell>
          <cell r="E105" t="str">
            <v>MICRO</v>
          </cell>
        </row>
        <row r="106">
          <cell r="C106">
            <v>107714690</v>
          </cell>
          <cell r="D106" t="str">
            <v>AQUA SAVOR DRY</v>
          </cell>
          <cell r="E106" t="str">
            <v>MICRO</v>
          </cell>
        </row>
        <row r="107">
          <cell r="C107">
            <v>107715338</v>
          </cell>
          <cell r="D107" t="str">
            <v>PROPILENGLYCOL</v>
          </cell>
          <cell r="E107" t="str">
            <v>MICRO</v>
          </cell>
        </row>
        <row r="108">
          <cell r="C108">
            <v>107715363</v>
          </cell>
          <cell r="D108" t="str">
            <v>HIDROLIZADO DE POLLO</v>
          </cell>
          <cell r="E108" t="str">
            <v>MACRO</v>
          </cell>
        </row>
        <row r="109">
          <cell r="C109">
            <v>107715459</v>
          </cell>
          <cell r="D109" t="str">
            <v>HUEVO EN POLVO</v>
          </cell>
          <cell r="E109" t="str">
            <v>MACRO</v>
          </cell>
        </row>
        <row r="110">
          <cell r="C110">
            <v>107715507</v>
          </cell>
          <cell r="D110" t="str">
            <v>BALANCIUS</v>
          </cell>
          <cell r="E110" t="str">
            <v>MICRO</v>
          </cell>
        </row>
        <row r="111">
          <cell r="C111">
            <v>107715508</v>
          </cell>
          <cell r="D111" t="str">
            <v>AURA AQUA P</v>
          </cell>
          <cell r="E111" t="str">
            <v>MICRO</v>
          </cell>
        </row>
        <row r="112">
          <cell r="C112">
            <v>107715548</v>
          </cell>
          <cell r="D112" t="str">
            <v>HARINA DE PESCADO 55 %</v>
          </cell>
          <cell r="E112" t="str">
            <v>MACRO</v>
          </cell>
        </row>
        <row r="113">
          <cell r="C113">
            <v>107715750</v>
          </cell>
          <cell r="D113" t="str">
            <v>NUCLEO PURINA AQFEED 353 NG </v>
          </cell>
          <cell r="E113" t="str">
            <v>MICRO</v>
          </cell>
        </row>
        <row r="114">
          <cell r="C114">
            <v>107716081</v>
          </cell>
          <cell r="D114" t="str">
            <v>ABIOMIX 20 PLUS</v>
          </cell>
          <cell r="E114" t="str">
            <v>MACRO</v>
          </cell>
        </row>
        <row r="115">
          <cell r="C115">
            <v>107716225</v>
          </cell>
          <cell r="D115" t="str">
            <v>NUCLEO AQXCL ADAPT OSM35RD2.0</v>
          </cell>
          <cell r="E115" t="str">
            <v>MICRO</v>
          </cell>
        </row>
        <row r="116">
          <cell r="C116">
            <v>107716227</v>
          </cell>
          <cell r="D116" t="str">
            <v>NUCLEO AQXCEL MAXIMA 35% 2.0</v>
          </cell>
          <cell r="E116" t="str">
            <v>MICRO</v>
          </cell>
        </row>
        <row r="117">
          <cell r="C117">
            <v>107716305</v>
          </cell>
          <cell r="D117" t="str">
            <v>PROB.  TR  AQUA  CONCENTRADO</v>
          </cell>
          <cell r="E117" t="str">
            <v>MICRO</v>
          </cell>
        </row>
        <row r="118">
          <cell r="C118">
            <v>107716310</v>
          </cell>
          <cell r="D118" t="str">
            <v>NUTRIMOLDS</v>
          </cell>
          <cell r="E118" t="str">
            <v>MICRO</v>
          </cell>
        </row>
        <row r="119">
          <cell r="C119">
            <v>107716311</v>
          </cell>
          <cell r="D119" t="str">
            <v>NUCLEO AQXCL ADAPT OSM35RD2.0</v>
          </cell>
          <cell r="E119" t="str">
            <v>MICRO</v>
          </cell>
        </row>
        <row r="120">
          <cell r="C120">
            <v>107716312</v>
          </cell>
          <cell r="D120" t="str">
            <v>NUCLEO AQXCEL MAXIMA 35% 2.0</v>
          </cell>
          <cell r="E120" t="str">
            <v>MICRO</v>
          </cell>
        </row>
        <row r="121">
          <cell r="C121">
            <v>107716538</v>
          </cell>
          <cell r="D121" t="str">
            <v>FREE FATTY ACIDS</v>
          </cell>
          <cell r="E121" t="str">
            <v>MACRO</v>
          </cell>
        </row>
        <row r="122">
          <cell r="C122">
            <v>107716539</v>
          </cell>
          <cell r="D122" t="str">
            <v>AG 175  - ING</v>
          </cell>
          <cell r="E122" t="str">
            <v>MICRO</v>
          </cell>
        </row>
        <row r="123">
          <cell r="C123">
            <v>130017564</v>
          </cell>
          <cell r="D123" t="str">
            <v>SYRENA BOOST</v>
          </cell>
          <cell r="E123" t="str">
            <v>MICRO</v>
          </cell>
        </row>
        <row r="124">
          <cell r="C124">
            <v>130068899</v>
          </cell>
          <cell r="D124" t="str">
            <v>D-GLUCURONOLACTONA</v>
          </cell>
          <cell r="E124" t="str">
            <v>MICRO</v>
          </cell>
        </row>
        <row r="125">
          <cell r="C125">
            <v>130099814</v>
          </cell>
          <cell r="D125" t="str">
            <v>AQUA FORM</v>
          </cell>
          <cell r="E125" t="str">
            <v>MICRO</v>
          </cell>
        </row>
        <row r="126">
          <cell r="C126">
            <v>130103218</v>
          </cell>
          <cell r="D126" t="str">
            <v>KERA STIM 50</v>
          </cell>
          <cell r="E126" t="str">
            <v>MICRO</v>
          </cell>
        </row>
        <row r="127">
          <cell r="C127">
            <v>130117032</v>
          </cell>
          <cell r="D127" t="str">
            <v>FOSFATO MONOPOTASICO</v>
          </cell>
          <cell r="E127" t="str">
            <v>MICRO</v>
          </cell>
        </row>
        <row r="128">
          <cell r="C128">
            <v>130124913</v>
          </cell>
          <cell r="D128" t="str">
            <v>CAROPHYLL PINK 10%CWS</v>
          </cell>
          <cell r="E128" t="str">
            <v>MICRO</v>
          </cell>
        </row>
        <row r="129">
          <cell r="C129">
            <v>130155607</v>
          </cell>
          <cell r="D129" t="str">
            <v>SETEX FISH OL EPA+DHA LIQUID BRN BLK</v>
          </cell>
          <cell r="E129" t="str">
            <v>MACRO</v>
          </cell>
        </row>
        <row r="130">
          <cell r="C130">
            <v>107536338</v>
          </cell>
          <cell r="D130" t="str">
            <v>HARINA DE PESCADO SUPER PRIME</v>
          </cell>
          <cell r="E130" t="str">
            <v>MACRO</v>
          </cell>
        </row>
        <row r="131">
          <cell r="C131">
            <v>107537102</v>
          </cell>
          <cell r="D131" t="str">
            <v>LEVADURA DV AQUA</v>
          </cell>
          <cell r="E131" t="str">
            <v>MICRO</v>
          </cell>
        </row>
        <row r="132">
          <cell r="C132">
            <v>107537107</v>
          </cell>
          <cell r="D132" t="str">
            <v>HARINA DE KRILL</v>
          </cell>
          <cell r="E132" t="str">
            <v>MACRO</v>
          </cell>
        </row>
        <row r="133">
          <cell r="C133">
            <v>107537111</v>
          </cell>
          <cell r="D133" t="str">
            <v>AVES SUBPRODUCTO HARINA</v>
          </cell>
          <cell r="E133" t="str">
            <v>MACRO</v>
          </cell>
        </row>
        <row r="134">
          <cell r="C134">
            <v>107537774</v>
          </cell>
          <cell r="D134" t="str">
            <v>SAL</v>
          </cell>
          <cell r="E134" t="str">
            <v>MICRO</v>
          </cell>
        </row>
        <row r="135">
          <cell r="C135">
            <v>107537786</v>
          </cell>
          <cell r="D135" t="str">
            <v>MIN CARBONATO DE CALCIO 38%</v>
          </cell>
          <cell r="E135" t="str">
            <v>MACRO</v>
          </cell>
        </row>
        <row r="136">
          <cell r="C136">
            <v>107537927</v>
          </cell>
          <cell r="D136" t="str">
            <v>MIN CLORURO DE POTASIO 50%</v>
          </cell>
          <cell r="E136" t="str">
            <v>MICRO</v>
          </cell>
        </row>
        <row r="137">
          <cell r="C137">
            <v>107537930</v>
          </cell>
          <cell r="D137" t="str">
            <v>ARROZ SALVADO</v>
          </cell>
          <cell r="E137" t="str">
            <v>MACRO</v>
          </cell>
        </row>
        <row r="138">
          <cell r="C138">
            <v>107543308</v>
          </cell>
          <cell r="D138" t="str">
            <v>AP 301/PORK HEMOGLOBINE</v>
          </cell>
          <cell r="E138" t="str">
            <v>MACRO</v>
          </cell>
        </row>
        <row r="139">
          <cell r="C139">
            <v>107543858</v>
          </cell>
          <cell r="D139" t="str">
            <v>TRIGO ENTERO 8 A 14% NDF</v>
          </cell>
          <cell r="E139" t="str">
            <v>GRANEL</v>
          </cell>
        </row>
        <row r="140">
          <cell r="C140">
            <v>107544067</v>
          </cell>
          <cell r="D140" t="str">
            <v>ACIDO FUMARICO CW</v>
          </cell>
          <cell r="E140" t="str">
            <v>MICRO</v>
          </cell>
        </row>
        <row r="141">
          <cell r="C141">
            <v>107544077</v>
          </cell>
          <cell r="D141" t="str">
            <v>OXIDO DE MAGNESIO</v>
          </cell>
          <cell r="E141" t="str">
            <v>MICRO</v>
          </cell>
        </row>
        <row r="142">
          <cell r="C142">
            <v>107544084</v>
          </cell>
          <cell r="D142" t="str">
            <v>DDGS MAIZ</v>
          </cell>
          <cell r="E142" t="str">
            <v>GRANEL</v>
          </cell>
        </row>
        <row r="143">
          <cell r="C143">
            <v>107544100</v>
          </cell>
          <cell r="D143" t="str">
            <v>L-VALINE</v>
          </cell>
          <cell r="E143" t="str">
            <v>MICRO</v>
          </cell>
        </row>
        <row r="144">
          <cell r="C144">
            <v>107544275</v>
          </cell>
          <cell r="D144" t="str">
            <v>CHOLINE CHLORIDE-70</v>
          </cell>
          <cell r="E144" t="str">
            <v>MICRO</v>
          </cell>
        </row>
        <row r="145">
          <cell r="C145">
            <v>107544643</v>
          </cell>
          <cell r="D145" t="str">
            <v>BENTONITA</v>
          </cell>
          <cell r="E145" t="str">
            <v>MICRO</v>
          </cell>
        </row>
        <row r="146">
          <cell r="C146">
            <v>107544897</v>
          </cell>
          <cell r="D146" t="str">
            <v>AA TREONINA</v>
          </cell>
          <cell r="E146" t="str">
            <v>MICRO</v>
          </cell>
        </row>
        <row r="147">
          <cell r="C147">
            <v>107544898</v>
          </cell>
          <cell r="D147" t="str">
            <v>METAMINO</v>
          </cell>
          <cell r="E147" t="str">
            <v>MICRO</v>
          </cell>
        </row>
        <row r="148">
          <cell r="C148">
            <v>107545168</v>
          </cell>
          <cell r="D148" t="str">
            <v>OMEGA 40% CHOLESTEROL 12%</v>
          </cell>
          <cell r="E148" t="str">
            <v>MICRO</v>
          </cell>
        </row>
        <row r="149">
          <cell r="C149">
            <v>107545188</v>
          </cell>
          <cell r="D149" t="str">
            <v>H DE CARNE Y HUESO PORCINA</v>
          </cell>
          <cell r="E149" t="str">
            <v>MACRO</v>
          </cell>
        </row>
        <row r="150">
          <cell r="C150">
            <v>107545429</v>
          </cell>
          <cell r="D150" t="str">
            <v>REPRO CAMA SP</v>
          </cell>
          <cell r="E150" t="str">
            <v>REPROCESO</v>
          </cell>
        </row>
        <row r="151">
          <cell r="C151">
            <v>107546525</v>
          </cell>
          <cell r="D151" t="str">
            <v>NUTRIBIND</v>
          </cell>
          <cell r="E151" t="str">
            <v>MICRO</v>
          </cell>
        </row>
        <row r="152">
          <cell r="C152">
            <v>107546536</v>
          </cell>
          <cell r="D152" t="str">
            <v>COLESTEROL 91%</v>
          </cell>
          <cell r="E152" t="str">
            <v>MICRO</v>
          </cell>
        </row>
        <row r="153">
          <cell r="C153">
            <v>107546919</v>
          </cell>
          <cell r="D153" t="str">
            <v>ACTIGEN LEVADURA</v>
          </cell>
          <cell r="E153" t="str">
            <v>MICRO</v>
          </cell>
        </row>
        <row r="154">
          <cell r="C154">
            <v>107547153</v>
          </cell>
          <cell r="D154" t="str">
            <v>PLUMA HNA HIDROLIZADA</v>
          </cell>
          <cell r="E154" t="str">
            <v>MACRO</v>
          </cell>
        </row>
        <row r="155">
          <cell r="C155">
            <v>107547545</v>
          </cell>
          <cell r="D155" t="str">
            <v>AA LISINA HCL 78.8%</v>
          </cell>
          <cell r="E155" t="str">
            <v>MICRO</v>
          </cell>
        </row>
        <row r="156">
          <cell r="C156">
            <v>107547546</v>
          </cell>
          <cell r="D156" t="str">
            <v>COLINA 60%</v>
          </cell>
          <cell r="E156" t="str">
            <v>MICRO</v>
          </cell>
        </row>
        <row r="157">
          <cell r="C157">
            <v>107547553</v>
          </cell>
          <cell r="D157" t="str">
            <v>TRIGO SALVADO 35 A 42% NDF</v>
          </cell>
          <cell r="E157" t="str">
            <v>MACRO</v>
          </cell>
        </row>
        <row r="158">
          <cell r="C158">
            <v>107547799</v>
          </cell>
          <cell r="D158" t="str">
            <v>PMX VIT CAMARON</v>
          </cell>
          <cell r="E158" t="str">
            <v>MICRO</v>
          </cell>
        </row>
        <row r="159">
          <cell r="C159">
            <v>107548462</v>
          </cell>
          <cell r="D159" t="str">
            <v>PESCADO HARINA ATUN</v>
          </cell>
          <cell r="E159" t="str">
            <v>MACRO</v>
          </cell>
        </row>
        <row r="160">
          <cell r="C160">
            <v>107548886</v>
          </cell>
          <cell r="D160" t="str">
            <v>PREPEC LIPOFEED CALCIUM_PRO BG 20KG</v>
          </cell>
          <cell r="E160" t="str">
            <v>MICRO</v>
          </cell>
        </row>
        <row r="161">
          <cell r="C161">
            <v>107548924</v>
          </cell>
          <cell r="D161" t="str">
            <v>LECITINA SOYA LIQUIDA CRUDA</v>
          </cell>
          <cell r="E161" t="str">
            <v>LIQUIDO</v>
          </cell>
        </row>
        <row r="162">
          <cell r="C162">
            <v>107548949</v>
          </cell>
          <cell r="D162" t="str">
            <v>MONO CALCIUM PHOSPHATE 22.7%</v>
          </cell>
          <cell r="E162" t="str">
            <v>MACRO</v>
          </cell>
        </row>
        <row r="163">
          <cell r="C163">
            <v>107549174</v>
          </cell>
          <cell r="D163" t="str">
            <v>AA TAURINA 99%</v>
          </cell>
          <cell r="E163" t="str">
            <v>MICRO</v>
          </cell>
        </row>
        <row r="164">
          <cell r="C164">
            <v>107549195</v>
          </cell>
          <cell r="D164" t="str">
            <v>XTRACT</v>
          </cell>
          <cell r="E164" t="str">
            <v>MICRO</v>
          </cell>
        </row>
        <row r="165">
          <cell r="C165">
            <v>107565777</v>
          </cell>
          <cell r="D165" t="str">
            <v>FOSFATO MONOAMONICO</v>
          </cell>
          <cell r="E165" t="str">
            <v>MICRO</v>
          </cell>
        </row>
        <row r="166">
          <cell r="C166">
            <v>107669594</v>
          </cell>
          <cell r="D166" t="str">
            <v>BETAINA HCL 95%</v>
          </cell>
          <cell r="E166" t="str">
            <v>MICRO</v>
          </cell>
        </row>
        <row r="167">
          <cell r="C167">
            <v>107673539</v>
          </cell>
          <cell r="D167" t="str">
            <v>ZEOLITE FED ADD</v>
          </cell>
          <cell r="E167" t="str">
            <v>MICRO</v>
          </cell>
        </row>
        <row r="168">
          <cell r="C168">
            <v>107674333</v>
          </cell>
          <cell r="D168" t="str">
            <v>FOSFATO MONODICALCICO</v>
          </cell>
          <cell r="E168" t="str">
            <v>MICRO</v>
          </cell>
        </row>
        <row r="169">
          <cell r="C169">
            <v>107674560</v>
          </cell>
          <cell r="D169" t="str">
            <v>ACEITE DE ATUN</v>
          </cell>
          <cell r="E169" t="str">
            <v>LIQUIDO</v>
          </cell>
        </row>
        <row r="170">
          <cell r="C170">
            <v>107680729</v>
          </cell>
          <cell r="D170" t="str">
            <v>LYSOFORTE EXTEND DRY</v>
          </cell>
          <cell r="E170" t="str">
            <v>MICRO</v>
          </cell>
        </row>
        <row r="171">
          <cell r="C171">
            <v>107680731</v>
          </cell>
          <cell r="D171" t="str">
            <v>REPRO CAMA HP</v>
          </cell>
          <cell r="E171" t="str">
            <v>REPROCESO</v>
          </cell>
        </row>
        <row r="172">
          <cell r="C172">
            <v>107680739</v>
          </cell>
          <cell r="D172" t="str">
            <v>ACEITE CRUDO DE SOYA</v>
          </cell>
          <cell r="E172" t="str">
            <v>LIQUIDO</v>
          </cell>
        </row>
        <row r="173">
          <cell r="C173">
            <v>107680742</v>
          </cell>
          <cell r="D173" t="str">
            <v>ACEITE DE PESCADO ETHYL ESTER</v>
          </cell>
          <cell r="E173" t="str">
            <v>MICRO</v>
          </cell>
        </row>
        <row r="174">
          <cell r="C174">
            <v>107680748</v>
          </cell>
          <cell r="D174" t="str">
            <v>SOYA INTEGRAL EXTRUIDA</v>
          </cell>
          <cell r="E174" t="str">
            <v>MACRO</v>
          </cell>
        </row>
        <row r="175">
          <cell r="C175">
            <v>107680749</v>
          </cell>
          <cell r="D175" t="str">
            <v>CARDOSIL</v>
          </cell>
          <cell r="E175" t="str">
            <v>MICRO</v>
          </cell>
        </row>
        <row r="176">
          <cell r="C176">
            <v>107680760</v>
          </cell>
          <cell r="D176" t="str">
            <v>FATTY ACID ETHYLESTER MIXTURE</v>
          </cell>
          <cell r="E176" t="str">
            <v>MICRO</v>
          </cell>
        </row>
        <row r="177">
          <cell r="C177">
            <v>107680763</v>
          </cell>
          <cell r="D177" t="str">
            <v>HNA SANGRE MEZCLA DE ESPECIES</v>
          </cell>
          <cell r="E177" t="str">
            <v>MACRO</v>
          </cell>
        </row>
        <row r="178">
          <cell r="C178">
            <v>107680769</v>
          </cell>
          <cell r="D178" t="str">
            <v>MINERAL L OC02</v>
          </cell>
          <cell r="E178" t="str">
            <v>MICRO</v>
          </cell>
        </row>
        <row r="179">
          <cell r="C179">
            <v>107680771</v>
          </cell>
          <cell r="D179" t="str">
            <v>SFF MULTI SPP</v>
          </cell>
          <cell r="E179" t="str">
            <v>MICRO</v>
          </cell>
        </row>
        <row r="180">
          <cell r="C180">
            <v>107680774</v>
          </cell>
          <cell r="D180" t="str">
            <v>MIN SULFATO DE POTASIO</v>
          </cell>
          <cell r="E180" t="str">
            <v>MICRO</v>
          </cell>
        </row>
        <row r="181">
          <cell r="C181">
            <v>107680777</v>
          </cell>
          <cell r="D181" t="str">
            <v>REPRO CAMA LP</v>
          </cell>
          <cell r="E181" t="str">
            <v>REPROCESO</v>
          </cell>
        </row>
        <row r="182">
          <cell r="C182">
            <v>107680780</v>
          </cell>
          <cell r="D182" t="str">
            <v>HARINA DE POTA 80%</v>
          </cell>
          <cell r="E182" t="str">
            <v>MACRO</v>
          </cell>
        </row>
        <row r="183">
          <cell r="C183">
            <v>107680783</v>
          </cell>
          <cell r="D183" t="str">
            <v>VITAMINA C MONOFOSFATO 35%</v>
          </cell>
          <cell r="E183" t="str">
            <v>MICRO</v>
          </cell>
        </row>
        <row r="184">
          <cell r="C184">
            <v>107680785</v>
          </cell>
          <cell r="D184" t="str">
            <v>TORTA DE SOYA AMERICANA</v>
          </cell>
          <cell r="E184" t="str">
            <v>GRANEL</v>
          </cell>
        </row>
        <row r="185">
          <cell r="C185">
            <v>107680787</v>
          </cell>
          <cell r="D185" t="str">
            <v>TORTA DE SOYA BOLIVIANA</v>
          </cell>
          <cell r="E185" t="str">
            <v>GRANEL</v>
          </cell>
        </row>
        <row r="186">
          <cell r="C186">
            <v>107680790</v>
          </cell>
          <cell r="D186" t="str">
            <v>ACEITE CRUDO DE PESCADO</v>
          </cell>
          <cell r="E186" t="str">
            <v>LIQUIDO</v>
          </cell>
        </row>
        <row r="187">
          <cell r="C187">
            <v>107680791</v>
          </cell>
          <cell r="D187" t="str">
            <v>HARINA DE VISCERAS 65%</v>
          </cell>
          <cell r="E187" t="str">
            <v>MACRO</v>
          </cell>
        </row>
        <row r="188">
          <cell r="C188">
            <v>107680793</v>
          </cell>
          <cell r="D188" t="str">
            <v>ACTIPAL HL8 ETX FREE FED ADD</v>
          </cell>
          <cell r="E188" t="str">
            <v>MICRO</v>
          </cell>
        </row>
        <row r="189">
          <cell r="C189">
            <v>107680795</v>
          </cell>
          <cell r="D189" t="str">
            <v>MARINE COLESTEROL 12%</v>
          </cell>
          <cell r="E189" t="str">
            <v>MICRO</v>
          </cell>
        </row>
        <row r="190">
          <cell r="C190">
            <v>107680796</v>
          </cell>
          <cell r="D190" t="str">
            <v>FLEXILIPID 12</v>
          </cell>
          <cell r="E190" t="str">
            <v>MICRO</v>
          </cell>
        </row>
        <row r="191">
          <cell r="C191">
            <v>107680803</v>
          </cell>
          <cell r="D191" t="str">
            <v>HARINA DE CERDO BAL CARNE HUES</v>
          </cell>
          <cell r="E191" t="str">
            <v>MACRO</v>
          </cell>
        </row>
        <row r="192">
          <cell r="C192">
            <v>107680813</v>
          </cell>
          <cell r="D192" t="str">
            <v>NIELEN DE ARROZ</v>
          </cell>
          <cell r="E192" t="str">
            <v>MICRO</v>
          </cell>
        </row>
        <row r="193">
          <cell r="C193">
            <v>107680814</v>
          </cell>
          <cell r="D193" t="str">
            <v>TORTA DE SOYA ARGENTINA</v>
          </cell>
          <cell r="E193" t="str">
            <v>GRANEL</v>
          </cell>
        </row>
        <row r="194">
          <cell r="C194">
            <v>107680818</v>
          </cell>
          <cell r="D194" t="str">
            <v>PEGABIND DRY AGLUTINANTE</v>
          </cell>
          <cell r="E194" t="str">
            <v>MICRO</v>
          </cell>
        </row>
        <row r="195">
          <cell r="C195">
            <v>107680821</v>
          </cell>
          <cell r="D195" t="str">
            <v>SOYA ENTERA</v>
          </cell>
          <cell r="E195" t="str">
            <v>MACRO</v>
          </cell>
        </row>
        <row r="196">
          <cell r="C196">
            <v>107680824</v>
          </cell>
          <cell r="D196" t="str">
            <v>MOISTURE CHANGE</v>
          </cell>
          <cell r="E196" t="str">
            <v>MICRO</v>
          </cell>
        </row>
        <row r="197">
          <cell r="C197">
            <v>107680826</v>
          </cell>
          <cell r="D197" t="str">
            <v>REPRO_CAMARON</v>
          </cell>
          <cell r="E197" t="str">
            <v>REPROCESO</v>
          </cell>
        </row>
        <row r="198">
          <cell r="C198">
            <v>107680836</v>
          </cell>
          <cell r="D198" t="str">
            <v>ADOXINE SE ANTIOX BHT10% POLVO</v>
          </cell>
          <cell r="E198" t="str">
            <v>MICRO</v>
          </cell>
        </row>
        <row r="199">
          <cell r="C199">
            <v>107680838</v>
          </cell>
          <cell r="D199" t="str">
            <v>SOFT WHITE WHEAT</v>
          </cell>
          <cell r="E199" t="str">
            <v>GRANEL</v>
          </cell>
        </row>
        <row r="200">
          <cell r="C200">
            <v>107680839</v>
          </cell>
          <cell r="D200" t="str">
            <v>HARINA DE PESCADO F</v>
          </cell>
          <cell r="E200" t="str">
            <v>MACRO</v>
          </cell>
        </row>
        <row r="201">
          <cell r="C201">
            <v>107680840</v>
          </cell>
          <cell r="D201" t="str">
            <v>NUTRIMAR POLVO</v>
          </cell>
          <cell r="E201" t="str">
            <v>MICRO</v>
          </cell>
        </row>
        <row r="202">
          <cell r="C202">
            <v>107680841</v>
          </cell>
          <cell r="D202" t="str">
            <v>PESCADO HARINA PROTEINA &gt;67%</v>
          </cell>
          <cell r="E202" t="str">
            <v>MACRO</v>
          </cell>
        </row>
        <row r="203">
          <cell r="C203">
            <v>107680844</v>
          </cell>
          <cell r="D203" t="str">
            <v>VITAMINA-E 50%</v>
          </cell>
          <cell r="E203" t="str">
            <v>MICRO</v>
          </cell>
        </row>
        <row r="204">
          <cell r="C204">
            <v>107680845</v>
          </cell>
          <cell r="D204" t="str">
            <v>INHIMOLD P FED ADD</v>
          </cell>
          <cell r="E204" t="str">
            <v>MICRO</v>
          </cell>
        </row>
        <row r="205">
          <cell r="C205">
            <v>107680847</v>
          </cell>
          <cell r="D205" t="str">
            <v>SILIMARINA 80% FED ADD</v>
          </cell>
          <cell r="E205" t="str">
            <v>MICRO</v>
          </cell>
        </row>
        <row r="206">
          <cell r="C206">
            <v>107708558</v>
          </cell>
          <cell r="D206" t="str">
            <v>CONCENTRADO FERMENTADO MAIZCFP</v>
          </cell>
          <cell r="E206" t="str">
            <v>MACRO</v>
          </cell>
        </row>
        <row r="207">
          <cell r="C207">
            <v>107708565</v>
          </cell>
          <cell r="D207" t="str">
            <v>ECUAMIX CAMARON ABA</v>
          </cell>
          <cell r="E207" t="str">
            <v>MICRO</v>
          </cell>
        </row>
        <row r="208">
          <cell r="C208">
            <v>107708608</v>
          </cell>
          <cell r="D208" t="str">
            <v>CHOLINE CHLORIDE-50</v>
          </cell>
          <cell r="E208" t="str">
            <v>MICRO</v>
          </cell>
        </row>
        <row r="209">
          <cell r="C209">
            <v>107708613</v>
          </cell>
          <cell r="D209" t="str">
            <v>PROPIONATO DE CALCIO (ACIDO)</v>
          </cell>
          <cell r="E209" t="str">
            <v>MICRO</v>
          </cell>
        </row>
        <row r="210">
          <cell r="C210">
            <v>107708614</v>
          </cell>
          <cell r="D210" t="str">
            <v>SFF REFILL PLUS</v>
          </cell>
          <cell r="E210" t="str">
            <v>MACRO</v>
          </cell>
        </row>
        <row r="211">
          <cell r="C211">
            <v>107708615</v>
          </cell>
          <cell r="D211" t="str">
            <v>HY-BOND</v>
          </cell>
          <cell r="E211" t="str">
            <v>MICRO</v>
          </cell>
        </row>
        <row r="212">
          <cell r="C212">
            <v>107708616</v>
          </cell>
          <cell r="D212" t="str">
            <v>HIDROLIZADO DE CALAMAR LIQ</v>
          </cell>
          <cell r="E212" t="str">
            <v>MICRO</v>
          </cell>
        </row>
        <row r="213">
          <cell r="C213">
            <v>107708618</v>
          </cell>
          <cell r="D213" t="str">
            <v>AMARIL</v>
          </cell>
          <cell r="E213" t="str">
            <v>MICRO</v>
          </cell>
        </row>
        <row r="214">
          <cell r="C214">
            <v>107708680</v>
          </cell>
          <cell r="D214" t="str">
            <v>OMEGAFEED CHOLESTEROL</v>
          </cell>
          <cell r="E214" t="str">
            <v>MICRO</v>
          </cell>
        </row>
        <row r="215">
          <cell r="C215">
            <v>107708685</v>
          </cell>
          <cell r="D215" t="str">
            <v>BIOHYDRO</v>
          </cell>
          <cell r="E215" t="str">
            <v>MICRO</v>
          </cell>
        </row>
        <row r="216">
          <cell r="C216">
            <v>107708690</v>
          </cell>
          <cell r="D216" t="str">
            <v>SELENIO ORGANICO</v>
          </cell>
          <cell r="E216" t="str">
            <v>MICRO</v>
          </cell>
        </row>
        <row r="217">
          <cell r="C217">
            <v>107708762</v>
          </cell>
          <cell r="D217" t="str">
            <v>NUCLEO AQUAXCEL ADVANCE 35 GR</v>
          </cell>
          <cell r="E217" t="str">
            <v>MICRO</v>
          </cell>
        </row>
        <row r="218">
          <cell r="C218">
            <v>107708763</v>
          </cell>
          <cell r="D218" t="str">
            <v>NUCLEO AQUAXCEL MW 505</v>
          </cell>
          <cell r="E218" t="str">
            <v>MICRO</v>
          </cell>
        </row>
        <row r="219">
          <cell r="C219">
            <v>107708766</v>
          </cell>
          <cell r="D219" t="str">
            <v>NUCLEO PURINA ECOFEED 351 CREC</v>
          </cell>
          <cell r="E219" t="str">
            <v>MICRO</v>
          </cell>
        </row>
        <row r="220">
          <cell r="C220">
            <v>107708828</v>
          </cell>
          <cell r="D220" t="str">
            <v>TRIGO BRASILERO</v>
          </cell>
          <cell r="E220" t="str">
            <v>GRANEL</v>
          </cell>
        </row>
        <row r="221">
          <cell r="C221">
            <v>107708832</v>
          </cell>
          <cell r="D221" t="str">
            <v>COLESTEROL 91% FISH OIL</v>
          </cell>
          <cell r="E221" t="str">
            <v>MICRO</v>
          </cell>
        </row>
        <row r="222">
          <cell r="C222">
            <v>107708835</v>
          </cell>
          <cell r="D222" t="str">
            <v>INHIMOLD LIQ FEED ADD</v>
          </cell>
          <cell r="E222" t="str">
            <v>MICRO</v>
          </cell>
        </row>
        <row r="223">
          <cell r="C223">
            <v>107710345</v>
          </cell>
          <cell r="D223" t="str">
            <v>SHRIMP MAX</v>
          </cell>
          <cell r="E223" t="str">
            <v>MICRO</v>
          </cell>
        </row>
        <row r="224">
          <cell r="C224">
            <v>107710353</v>
          </cell>
          <cell r="D224" t="str">
            <v>LYSOLECITHIN</v>
          </cell>
          <cell r="E224" t="str">
            <v>MICRO</v>
          </cell>
        </row>
        <row r="225">
          <cell r="C225">
            <v>107710432</v>
          </cell>
          <cell r="D225" t="str">
            <v>DIFORMIATO DE POTASIO</v>
          </cell>
          <cell r="E225" t="str">
            <v>MICRO</v>
          </cell>
        </row>
        <row r="226">
          <cell r="C226">
            <v>107710439</v>
          </cell>
          <cell r="D226" t="str">
            <v>NUCLEO PURINA AQUAFEED 353</v>
          </cell>
          <cell r="E226" t="str">
            <v>MICRO</v>
          </cell>
        </row>
        <row r="227">
          <cell r="C227">
            <v>107712240</v>
          </cell>
          <cell r="D227" t="str">
            <v>HARINA DE PESCADO P MIN 60%</v>
          </cell>
          <cell r="E227" t="str">
            <v>MACRO</v>
          </cell>
        </row>
        <row r="228">
          <cell r="C228">
            <v>107712926</v>
          </cell>
          <cell r="D228" t="str">
            <v>FOSFATO MONOCALCICO 22.7 %</v>
          </cell>
          <cell r="E228" t="str">
            <v>MICRO</v>
          </cell>
        </row>
        <row r="229">
          <cell r="C229">
            <v>107712927</v>
          </cell>
          <cell r="D229" t="str">
            <v>CARBONATO DE CALCIO 97%</v>
          </cell>
          <cell r="E229" t="str">
            <v>MICRO</v>
          </cell>
        </row>
        <row r="230">
          <cell r="C230">
            <v>107714424</v>
          </cell>
          <cell r="D230" t="str">
            <v>LECITINA DE SOYA POLVO</v>
          </cell>
          <cell r="E230" t="str">
            <v>MICRO</v>
          </cell>
        </row>
        <row r="231">
          <cell r="C231">
            <v>107714425</v>
          </cell>
          <cell r="D231" t="str">
            <v>HIDROLIZADO DE CAMARON</v>
          </cell>
          <cell r="E231" t="str">
            <v>MACRO</v>
          </cell>
        </row>
        <row r="232">
          <cell r="C232">
            <v>107714426</v>
          </cell>
          <cell r="D232" t="str">
            <v>DIGEMAX AGUA</v>
          </cell>
          <cell r="E232" t="str">
            <v>MICRO</v>
          </cell>
        </row>
        <row r="233">
          <cell r="C233">
            <v>107714524</v>
          </cell>
          <cell r="D233" t="str">
            <v>ASTAXANTINA 10%</v>
          </cell>
          <cell r="E233" t="str">
            <v>MICRO</v>
          </cell>
        </row>
        <row r="234">
          <cell r="C234">
            <v>107714690</v>
          </cell>
          <cell r="D234" t="str">
            <v>AQUA SAVOR DRY</v>
          </cell>
          <cell r="E234" t="str">
            <v>MICRO</v>
          </cell>
        </row>
        <row r="235">
          <cell r="C235">
            <v>107715338</v>
          </cell>
          <cell r="D235" t="str">
            <v>PROPILENGLYCOL</v>
          </cell>
          <cell r="E235" t="str">
            <v>MICRO</v>
          </cell>
        </row>
        <row r="236">
          <cell r="C236">
            <v>107715363</v>
          </cell>
          <cell r="D236" t="str">
            <v>HIDROLIZADO DE POLLO</v>
          </cell>
          <cell r="E236" t="str">
            <v>MACRO</v>
          </cell>
        </row>
        <row r="237">
          <cell r="C237">
            <v>107715459</v>
          </cell>
          <cell r="D237" t="str">
            <v>HUEVO EN POLVO</v>
          </cell>
          <cell r="E237" t="str">
            <v>MACRO</v>
          </cell>
        </row>
        <row r="238">
          <cell r="C238">
            <v>107715507</v>
          </cell>
          <cell r="D238" t="str">
            <v>BALANCIUS</v>
          </cell>
          <cell r="E238" t="str">
            <v>MICRO</v>
          </cell>
        </row>
        <row r="239">
          <cell r="C239">
            <v>107715508</v>
          </cell>
          <cell r="D239" t="str">
            <v>AURA AQUA P</v>
          </cell>
          <cell r="E239" t="str">
            <v>MICRO</v>
          </cell>
        </row>
        <row r="240">
          <cell r="C240">
            <v>107715548</v>
          </cell>
          <cell r="D240" t="str">
            <v>HARINA DE PESCADO 55 %</v>
          </cell>
          <cell r="E240" t="str">
            <v>MACRO</v>
          </cell>
        </row>
        <row r="241">
          <cell r="C241">
            <v>107715750</v>
          </cell>
          <cell r="D241" t="str">
            <v>NUCLEO PURINA AQFEED 353 NG </v>
          </cell>
          <cell r="E241" t="str">
            <v>MICRO</v>
          </cell>
        </row>
        <row r="242">
          <cell r="C242">
            <v>107716081</v>
          </cell>
          <cell r="D242" t="str">
            <v>ABIOMIX 20 PLUS</v>
          </cell>
          <cell r="E242" t="str">
            <v>MACRO</v>
          </cell>
        </row>
        <row r="243">
          <cell r="C243">
            <v>107716225</v>
          </cell>
          <cell r="D243" t="str">
            <v>NUCLEO AQXCL ADAPT OSM35RD2.0</v>
          </cell>
          <cell r="E243" t="str">
            <v>MICRO</v>
          </cell>
        </row>
        <row r="244">
          <cell r="C244">
            <v>107716227</v>
          </cell>
          <cell r="D244" t="str">
            <v>NUCLEO AQXCEL MAXIMA 35% 2.0</v>
          </cell>
          <cell r="E244" t="str">
            <v>MICRO</v>
          </cell>
        </row>
        <row r="245">
          <cell r="C245">
            <v>107716305</v>
          </cell>
          <cell r="D245" t="str">
            <v>PROB.  TR  AQUA  CONCENTRADO</v>
          </cell>
          <cell r="E245" t="str">
            <v>MICRO</v>
          </cell>
        </row>
        <row r="246">
          <cell r="C246">
            <v>107716310</v>
          </cell>
          <cell r="D246" t="str">
            <v>NUTRIMOLDS</v>
          </cell>
          <cell r="E246" t="str">
            <v>MICRO</v>
          </cell>
        </row>
        <row r="247">
          <cell r="C247">
            <v>130017564</v>
          </cell>
          <cell r="D247" t="str">
            <v>SYRENA BOOST</v>
          </cell>
          <cell r="E247" t="str">
            <v>MICRO</v>
          </cell>
        </row>
        <row r="248">
          <cell r="C248">
            <v>130068899</v>
          </cell>
          <cell r="D248" t="str">
            <v>D-GLUCURONOLACTONA</v>
          </cell>
          <cell r="E248" t="str">
            <v>MICRO</v>
          </cell>
        </row>
        <row r="249">
          <cell r="C249">
            <v>130099814</v>
          </cell>
          <cell r="D249" t="str">
            <v>AQUA FORM</v>
          </cell>
          <cell r="E249" t="str">
            <v>MICRO</v>
          </cell>
        </row>
        <row r="250">
          <cell r="C250">
            <v>130103218</v>
          </cell>
          <cell r="D250" t="str">
            <v>KERA STIM 50</v>
          </cell>
          <cell r="E250" t="str">
            <v>MICRO</v>
          </cell>
        </row>
        <row r="251">
          <cell r="C251">
            <v>130117032</v>
          </cell>
          <cell r="D251" t="str">
            <v>FOSFATO MONOPOTASICO</v>
          </cell>
          <cell r="E251" t="str">
            <v>MICRO</v>
          </cell>
        </row>
        <row r="252">
          <cell r="C252">
            <v>130124913</v>
          </cell>
          <cell r="D252" t="str">
            <v>CAROPHYLL PINK 10%CWS</v>
          </cell>
          <cell r="E252" t="str">
            <v>MICRO</v>
          </cell>
        </row>
        <row r="253">
          <cell r="C253">
            <v>130155607</v>
          </cell>
          <cell r="D253" t="str">
            <v>SETEX FISH OL EPA+DHA LIQUID BRN BLK</v>
          </cell>
          <cell r="E253" t="str">
            <v>MACRO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DBD8-6106-44F2-923B-F5618A9AC91B}">
  <sheetPr codeName="Hoja5"/>
  <dimension ref="A1:G97"/>
  <sheetViews>
    <sheetView showGridLines="0" tabSelected="1" workbookViewId="0">
      <pane ySplit="1" topLeftCell="A2" activePane="bottomLeft" state="frozen"/>
      <selection pane="bottomLeft" activeCell="A3" sqref="A3"/>
    </sheetView>
  </sheetViews>
  <sheetFormatPr baseColWidth="10" defaultColWidth="11.42578125" defaultRowHeight="12.75" x14ac:dyDescent="0.25"/>
  <cols>
    <col min="1" max="1" width="16.85546875" style="1" customWidth="1"/>
    <col min="2" max="2" width="36.5703125" style="2" customWidth="1"/>
    <col min="3" max="3" width="14" style="2" customWidth="1"/>
    <col min="4" max="4" width="20.28515625" style="3" customWidth="1"/>
    <col min="5" max="5" width="22.140625" style="8" customWidth="1"/>
    <col min="6" max="6" width="19.7109375" style="3" customWidth="1"/>
    <col min="7" max="7" width="22.85546875" style="8" customWidth="1"/>
    <col min="8" max="16384" width="11.42578125" style="2"/>
  </cols>
  <sheetData>
    <row r="1" spans="1:7" ht="25.5" x14ac:dyDescent="0.25">
      <c r="A1" s="4" t="s">
        <v>0</v>
      </c>
      <c r="B1" s="5" t="s">
        <v>1</v>
      </c>
      <c r="C1" s="5" t="s">
        <v>2</v>
      </c>
      <c r="D1" s="6" t="s">
        <v>3</v>
      </c>
      <c r="E1" s="7" t="s">
        <v>4</v>
      </c>
      <c r="F1" s="6" t="s">
        <v>5</v>
      </c>
      <c r="G1" s="7" t="s">
        <v>6</v>
      </c>
    </row>
    <row r="2" spans="1:7" x14ac:dyDescent="0.25">
      <c r="A2" s="1">
        <v>107547553</v>
      </c>
      <c r="B2" s="2" t="str">
        <f>+_xlfn.XLOOKUP(A2,'[1]Base MP'!C:C,'[1]Base MP'!D:D)</f>
        <v>TRIGO SALVADO 35 A 42% NDF</v>
      </c>
      <c r="C2" s="2" t="str">
        <f>+_xlfn.XLOOKUP(A2,'[1]Base MP'!C:C,'[1]Base MP'!E:E)</f>
        <v>MACRO</v>
      </c>
      <c r="D2" s="3">
        <v>30</v>
      </c>
      <c r="E2" s="8">
        <f>+D2/30</f>
        <v>1</v>
      </c>
      <c r="F2" s="3">
        <v>1</v>
      </c>
      <c r="G2" s="8">
        <f>+F2/30</f>
        <v>3.3333333333333333E-2</v>
      </c>
    </row>
    <row r="3" spans="1:7" x14ac:dyDescent="0.25">
      <c r="A3" s="1">
        <v>107537930</v>
      </c>
      <c r="B3" s="2" t="str">
        <f>+_xlfn.XLOOKUP(A3,'[1]Base MP'!C:C,'[1]Base MP'!D:D)</f>
        <v>ARROZ SALVADO</v>
      </c>
      <c r="C3" s="2" t="str">
        <f>+_xlfn.XLOOKUP(A3,'[1]Base MP'!C:C,'[1]Base MP'!E:E)</f>
        <v>MACRO</v>
      </c>
      <c r="D3" s="3">
        <v>15</v>
      </c>
      <c r="E3" s="8">
        <f t="shared" ref="E3:E66" si="0">+D3/30</f>
        <v>0.5</v>
      </c>
      <c r="F3" s="3">
        <v>1</v>
      </c>
      <c r="G3" s="8">
        <f t="shared" ref="G3:G66" si="1">+F3/30</f>
        <v>3.3333333333333333E-2</v>
      </c>
    </row>
    <row r="4" spans="1:7" x14ac:dyDescent="0.25">
      <c r="A4" s="1">
        <v>107545188</v>
      </c>
      <c r="B4" s="2" t="str">
        <f>+_xlfn.XLOOKUP(A4,'[1]Base MP'!C:C,'[1]Base MP'!D:D)</f>
        <v>H DE CARNE Y HUESO PORCINA</v>
      </c>
      <c r="C4" s="2" t="str">
        <f>+_xlfn.XLOOKUP(A4,'[1]Base MP'!C:C,'[1]Base MP'!E:E)</f>
        <v>MACRO</v>
      </c>
      <c r="D4" s="3">
        <v>15</v>
      </c>
      <c r="E4" s="8">
        <f t="shared" si="0"/>
        <v>0.5</v>
      </c>
      <c r="F4" s="3">
        <v>1</v>
      </c>
      <c r="G4" s="8">
        <f t="shared" si="1"/>
        <v>3.3333333333333333E-2</v>
      </c>
    </row>
    <row r="5" spans="1:7" x14ac:dyDescent="0.25">
      <c r="A5" s="1">
        <v>107537774</v>
      </c>
      <c r="B5" s="2" t="str">
        <f>+_xlfn.XLOOKUP(A5,'[1]Base MP'!C:C,'[1]Base MP'!D:D)</f>
        <v>SAL</v>
      </c>
      <c r="C5" s="2" t="str">
        <f>+_xlfn.XLOOKUP(A5,'[1]Base MP'!C:C,'[1]Base MP'!E:E)</f>
        <v>MICRO</v>
      </c>
      <c r="D5" s="3">
        <v>15</v>
      </c>
      <c r="E5" s="8">
        <f t="shared" si="0"/>
        <v>0.5</v>
      </c>
      <c r="F5" s="3">
        <v>1</v>
      </c>
      <c r="G5" s="8">
        <f t="shared" si="1"/>
        <v>3.3333333333333333E-2</v>
      </c>
    </row>
    <row r="6" spans="1:7" x14ac:dyDescent="0.25">
      <c r="A6" s="1">
        <v>107537786</v>
      </c>
      <c r="B6" s="2" t="str">
        <f>+_xlfn.XLOOKUP(A6,'[1]Base MP'!C:C,'[1]Base MP'!D:D)</f>
        <v>MIN CARBONATO DE CALCIO 38%</v>
      </c>
      <c r="C6" s="2" t="str">
        <f>+_xlfn.XLOOKUP(A6,'[1]Base MP'!C:C,'[1]Base MP'!E:E)</f>
        <v>MACRO</v>
      </c>
      <c r="D6" s="3">
        <v>15</v>
      </c>
      <c r="E6" s="8">
        <f t="shared" si="0"/>
        <v>0.5</v>
      </c>
      <c r="F6" s="3">
        <v>1</v>
      </c>
      <c r="G6" s="8">
        <f t="shared" si="1"/>
        <v>3.3333333333333333E-2</v>
      </c>
    </row>
    <row r="7" spans="1:7" x14ac:dyDescent="0.25">
      <c r="A7" s="1">
        <v>107544084</v>
      </c>
      <c r="B7" s="2" t="str">
        <f>+_xlfn.XLOOKUP(A7,'[1]Base MP'!C:C,'[1]Base MP'!D:D)</f>
        <v>DDGS MAIZ</v>
      </c>
      <c r="C7" s="2" t="str">
        <f>+_xlfn.XLOOKUP(A7,'[1]Base MP'!C:C,'[1]Base MP'!E:E)</f>
        <v>GRANEL</v>
      </c>
      <c r="D7" s="3">
        <v>75</v>
      </c>
      <c r="E7" s="8">
        <f t="shared" si="0"/>
        <v>2.5</v>
      </c>
      <c r="F7" s="3">
        <v>1</v>
      </c>
      <c r="G7" s="8">
        <f t="shared" si="1"/>
        <v>3.3333333333333333E-2</v>
      </c>
    </row>
    <row r="8" spans="1:7" x14ac:dyDescent="0.25">
      <c r="A8" s="1">
        <v>107537927</v>
      </c>
      <c r="B8" s="2" t="str">
        <f>+_xlfn.XLOOKUP(A8,'[1]Base MP'!C:C,'[1]Base MP'!D:D)</f>
        <v>MIN CLORURO DE POTASIO 50%</v>
      </c>
      <c r="C8" s="2" t="str">
        <f>+_xlfn.XLOOKUP(A8,'[1]Base MP'!C:C,'[1]Base MP'!E:E)</f>
        <v>MICRO</v>
      </c>
      <c r="D8" s="3">
        <v>15</v>
      </c>
      <c r="E8" s="8">
        <f t="shared" si="0"/>
        <v>0.5</v>
      </c>
      <c r="F8" s="3">
        <v>1</v>
      </c>
      <c r="G8" s="8">
        <f t="shared" si="1"/>
        <v>3.3333333333333333E-2</v>
      </c>
    </row>
    <row r="9" spans="1:7" x14ac:dyDescent="0.25">
      <c r="A9" s="1">
        <v>107544643</v>
      </c>
      <c r="B9" s="2" t="str">
        <f>+_xlfn.XLOOKUP(A9,'[1]Base MP'!C:C,'[1]Base MP'!D:D)</f>
        <v>BENTONITA</v>
      </c>
      <c r="C9" s="2" t="str">
        <f>+_xlfn.XLOOKUP(A9,'[1]Base MP'!C:C,'[1]Base MP'!E:E)</f>
        <v>MICRO</v>
      </c>
      <c r="D9" s="3">
        <v>15</v>
      </c>
      <c r="E9" s="8">
        <f t="shared" si="0"/>
        <v>0.5</v>
      </c>
      <c r="F9" s="3">
        <v>1</v>
      </c>
      <c r="G9" s="8">
        <f t="shared" si="1"/>
        <v>3.3333333333333333E-2</v>
      </c>
    </row>
    <row r="10" spans="1:7" x14ac:dyDescent="0.25">
      <c r="A10" s="1">
        <v>107543858</v>
      </c>
      <c r="B10" s="2" t="str">
        <f>+_xlfn.XLOOKUP(A10,'[1]Base MP'!C:C,'[1]Base MP'!D:D)</f>
        <v>TRIGO ENTERO 8 A 14% NDF</v>
      </c>
      <c r="C10" s="2" t="str">
        <f>+_xlfn.XLOOKUP(A10,'[1]Base MP'!C:C,'[1]Base MP'!E:E)</f>
        <v>GRANEL</v>
      </c>
      <c r="D10" s="3">
        <v>75</v>
      </c>
      <c r="E10" s="8">
        <f t="shared" si="0"/>
        <v>2.5</v>
      </c>
      <c r="F10" s="3">
        <v>1</v>
      </c>
      <c r="G10" s="8">
        <f t="shared" si="1"/>
        <v>3.3333333333333333E-2</v>
      </c>
    </row>
    <row r="11" spans="1:7" x14ac:dyDescent="0.25">
      <c r="A11" s="1">
        <v>107544898</v>
      </c>
      <c r="B11" s="2" t="str">
        <f>+_xlfn.XLOOKUP(A11,'[1]Base MP'!C:C,'[1]Base MP'!D:D)</f>
        <v>METAMINO</v>
      </c>
      <c r="C11" s="2" t="str">
        <f>+_xlfn.XLOOKUP(A11,'[1]Base MP'!C:C,'[1]Base MP'!E:E)</f>
        <v>MICRO</v>
      </c>
      <c r="D11" s="3">
        <v>60</v>
      </c>
      <c r="E11" s="8">
        <f t="shared" si="0"/>
        <v>2</v>
      </c>
      <c r="F11" s="3">
        <v>1</v>
      </c>
      <c r="G11" s="8">
        <f t="shared" si="1"/>
        <v>3.3333333333333333E-2</v>
      </c>
    </row>
    <row r="12" spans="1:7" x14ac:dyDescent="0.25">
      <c r="A12" s="1">
        <v>107547545</v>
      </c>
      <c r="B12" s="2" t="str">
        <f>+_xlfn.XLOOKUP(A12,'[1]Base MP'!C:C,'[1]Base MP'!D:D)</f>
        <v>AA LISINA HCL 78.8%</v>
      </c>
      <c r="C12" s="2" t="str">
        <f>+_xlfn.XLOOKUP(A12,'[1]Base MP'!C:C,'[1]Base MP'!E:E)</f>
        <v>MICRO</v>
      </c>
      <c r="D12" s="3">
        <v>60</v>
      </c>
      <c r="E12" s="8">
        <f t="shared" si="0"/>
        <v>2</v>
      </c>
      <c r="F12" s="3">
        <v>1</v>
      </c>
      <c r="G12" s="8">
        <f t="shared" si="1"/>
        <v>3.3333333333333333E-2</v>
      </c>
    </row>
    <row r="13" spans="1:7" x14ac:dyDescent="0.25">
      <c r="A13" s="1">
        <v>107680748</v>
      </c>
      <c r="B13" s="2" t="str">
        <f>+_xlfn.XLOOKUP(A13,'[1]Base MP'!C:C,'[1]Base MP'!D:D)</f>
        <v>SOYA INTEGRAL EXTRUIDA</v>
      </c>
      <c r="C13" s="2" t="str">
        <f>+_xlfn.XLOOKUP(A13,'[1]Base MP'!C:C,'[1]Base MP'!E:E)</f>
        <v>MACRO</v>
      </c>
      <c r="D13" s="3">
        <v>15</v>
      </c>
      <c r="E13" s="8">
        <f t="shared" si="0"/>
        <v>0.5</v>
      </c>
      <c r="F13" s="3">
        <v>1</v>
      </c>
      <c r="G13" s="8">
        <f t="shared" si="1"/>
        <v>3.3333333333333333E-2</v>
      </c>
    </row>
    <row r="14" spans="1:7" x14ac:dyDescent="0.25">
      <c r="A14" s="1">
        <v>107680774</v>
      </c>
      <c r="B14" s="2" t="str">
        <f>+_xlfn.XLOOKUP(A14,'[1]Base MP'!C:C,'[1]Base MP'!D:D)</f>
        <v>MIN SULFATO DE POTASIO</v>
      </c>
      <c r="C14" s="2" t="str">
        <f>+_xlfn.XLOOKUP(A14,'[1]Base MP'!C:C,'[1]Base MP'!E:E)</f>
        <v>MICRO</v>
      </c>
      <c r="D14" s="3">
        <v>45</v>
      </c>
      <c r="E14" s="8">
        <f t="shared" si="0"/>
        <v>1.5</v>
      </c>
      <c r="F14" s="3">
        <v>1</v>
      </c>
      <c r="G14" s="8">
        <f t="shared" si="1"/>
        <v>3.3333333333333333E-2</v>
      </c>
    </row>
    <row r="15" spans="1:7" x14ac:dyDescent="0.25">
      <c r="A15" s="1">
        <v>107680838</v>
      </c>
      <c r="B15" s="2" t="str">
        <f>+_xlfn.XLOOKUP(A15,'[1]Base MP'!C:C,'[1]Base MP'!D:D)</f>
        <v>SOFT WHITE WHEAT</v>
      </c>
      <c r="C15" s="2" t="str">
        <f>+_xlfn.XLOOKUP(A15,'[1]Base MP'!C:C,'[1]Base MP'!E:E)</f>
        <v>GRANEL</v>
      </c>
      <c r="D15" s="3">
        <v>75</v>
      </c>
      <c r="E15" s="8">
        <f t="shared" si="0"/>
        <v>2.5</v>
      </c>
      <c r="F15" s="3">
        <v>1</v>
      </c>
      <c r="G15" s="8">
        <f t="shared" si="1"/>
        <v>3.3333333333333333E-2</v>
      </c>
    </row>
    <row r="16" spans="1:7" x14ac:dyDescent="0.25">
      <c r="A16" s="1">
        <v>107544897</v>
      </c>
      <c r="B16" s="2" t="str">
        <f>+_xlfn.XLOOKUP(A16,'[1]Base MP'!C:C,'[1]Base MP'!D:D)</f>
        <v>AA TREONINA</v>
      </c>
      <c r="C16" s="2" t="str">
        <f>+_xlfn.XLOOKUP(A16,'[1]Base MP'!C:C,'[1]Base MP'!E:E)</f>
        <v>MICRO</v>
      </c>
      <c r="D16" s="3">
        <v>30</v>
      </c>
      <c r="E16" s="8">
        <f t="shared" si="0"/>
        <v>1</v>
      </c>
      <c r="F16" s="3">
        <v>1</v>
      </c>
      <c r="G16" s="8">
        <f t="shared" si="1"/>
        <v>3.3333333333333333E-2</v>
      </c>
    </row>
    <row r="17" spans="1:7" x14ac:dyDescent="0.25">
      <c r="A17" s="1">
        <v>107680790</v>
      </c>
      <c r="B17" s="2" t="str">
        <f>+_xlfn.XLOOKUP(A17,'[1]Base MP'!C:C,'[1]Base MP'!D:D)</f>
        <v>ACEITE CRUDO DE PESCADO</v>
      </c>
      <c r="C17" s="2" t="str">
        <f>+_xlfn.XLOOKUP(A17,'[1]Base MP'!C:C,'[1]Base MP'!E:E)</f>
        <v>LIQUIDO</v>
      </c>
      <c r="D17" s="3">
        <v>20</v>
      </c>
      <c r="E17" s="8">
        <f t="shared" si="0"/>
        <v>0.66666666666666663</v>
      </c>
      <c r="F17" s="3">
        <v>1</v>
      </c>
      <c r="G17" s="8">
        <f t="shared" si="1"/>
        <v>3.3333333333333333E-2</v>
      </c>
    </row>
    <row r="18" spans="1:7" x14ac:dyDescent="0.25">
      <c r="A18" s="1">
        <v>107548924</v>
      </c>
      <c r="B18" s="2" t="str">
        <f>+_xlfn.XLOOKUP(A18,'[1]Base MP'!C:C,'[1]Base MP'!D:D)</f>
        <v>LECITINA SOYA LIQUIDA CRUDA</v>
      </c>
      <c r="C18" s="2" t="str">
        <f>+_xlfn.XLOOKUP(A18,'[1]Base MP'!C:C,'[1]Base MP'!E:E)</f>
        <v>LIQUIDO</v>
      </c>
      <c r="D18" s="3">
        <v>90</v>
      </c>
      <c r="E18" s="8">
        <f t="shared" si="0"/>
        <v>3</v>
      </c>
      <c r="F18" s="3">
        <v>1</v>
      </c>
      <c r="G18" s="8">
        <f t="shared" si="1"/>
        <v>3.3333333333333333E-2</v>
      </c>
    </row>
    <row r="19" spans="1:7" x14ac:dyDescent="0.25">
      <c r="A19" s="1">
        <v>107680763</v>
      </c>
      <c r="B19" s="2" t="str">
        <f>+_xlfn.XLOOKUP(A19,'[1]Base MP'!C:C,'[1]Base MP'!D:D)</f>
        <v>HNA SANGRE MEZCLA DE ESPECIES</v>
      </c>
      <c r="C19" s="2" t="str">
        <f>+_xlfn.XLOOKUP(A19,'[1]Base MP'!C:C,'[1]Base MP'!E:E)</f>
        <v>MACRO</v>
      </c>
      <c r="D19" s="3">
        <v>45</v>
      </c>
      <c r="E19" s="8">
        <f t="shared" si="0"/>
        <v>1.5</v>
      </c>
      <c r="F19" s="3">
        <v>1</v>
      </c>
      <c r="G19" s="8">
        <f t="shared" si="1"/>
        <v>3.3333333333333333E-2</v>
      </c>
    </row>
    <row r="20" spans="1:7" x14ac:dyDescent="0.25">
      <c r="A20" s="1">
        <v>107544077</v>
      </c>
      <c r="B20" s="2" t="str">
        <f>+_xlfn.XLOOKUP(A20,'[1]Base MP'!C:C,'[1]Base MP'!D:D)</f>
        <v>OXIDO DE MAGNESIO</v>
      </c>
      <c r="C20" s="2" t="str">
        <f>+_xlfn.XLOOKUP(A20,'[1]Base MP'!C:C,'[1]Base MP'!E:E)</f>
        <v>MICRO</v>
      </c>
      <c r="D20" s="3">
        <v>105</v>
      </c>
      <c r="E20" s="8">
        <f t="shared" si="0"/>
        <v>3.5</v>
      </c>
      <c r="F20" s="3">
        <v>1</v>
      </c>
      <c r="G20" s="8">
        <f t="shared" si="1"/>
        <v>3.3333333333333333E-2</v>
      </c>
    </row>
    <row r="21" spans="1:7" x14ac:dyDescent="0.25">
      <c r="A21" s="1">
        <v>107674560</v>
      </c>
      <c r="B21" s="2" t="str">
        <f>+_xlfn.XLOOKUP(A21,'[1]Base MP'!C:C,'[1]Base MP'!D:D)</f>
        <v>ACEITE DE ATUN</v>
      </c>
      <c r="C21" s="2" t="str">
        <f>+_xlfn.XLOOKUP(A21,'[1]Base MP'!C:C,'[1]Base MP'!E:E)</f>
        <v>LIQUIDO</v>
      </c>
      <c r="D21" s="3">
        <v>30</v>
      </c>
      <c r="E21" s="8">
        <f t="shared" si="0"/>
        <v>1</v>
      </c>
      <c r="F21" s="3">
        <v>1</v>
      </c>
      <c r="G21" s="8">
        <f t="shared" si="1"/>
        <v>3.3333333333333333E-2</v>
      </c>
    </row>
    <row r="22" spans="1:7" x14ac:dyDescent="0.25">
      <c r="A22" s="1">
        <v>107543308</v>
      </c>
      <c r="B22" s="2" t="str">
        <f>+_xlfn.XLOOKUP(A22,'[1]Base MP'!C:C,'[1]Base MP'!D:D)</f>
        <v>AP 301/PORK HEMOGLOBINE</v>
      </c>
      <c r="C22" s="2" t="str">
        <f>+_xlfn.XLOOKUP(A22,'[1]Base MP'!C:C,'[1]Base MP'!E:E)</f>
        <v>MACRO</v>
      </c>
      <c r="D22" s="3">
        <v>15</v>
      </c>
      <c r="E22" s="8">
        <f t="shared" si="0"/>
        <v>0.5</v>
      </c>
      <c r="F22" s="3">
        <v>1</v>
      </c>
      <c r="G22" s="8">
        <f t="shared" si="1"/>
        <v>3.3333333333333333E-2</v>
      </c>
    </row>
    <row r="23" spans="1:7" x14ac:dyDescent="0.25">
      <c r="A23" s="1">
        <v>107548462</v>
      </c>
      <c r="B23" s="2" t="str">
        <f>+_xlfn.XLOOKUP(A23,'[1]Base MP'!C:C,'[1]Base MP'!D:D)</f>
        <v>PESCADO HARINA ATUN</v>
      </c>
      <c r="C23" s="2" t="str">
        <f>+_xlfn.XLOOKUP(A23,'[1]Base MP'!C:C,'[1]Base MP'!E:E)</f>
        <v>MACRO</v>
      </c>
      <c r="D23" s="3">
        <v>15</v>
      </c>
      <c r="E23" s="8">
        <f t="shared" si="0"/>
        <v>0.5</v>
      </c>
      <c r="F23" s="3">
        <v>1</v>
      </c>
      <c r="G23" s="8">
        <f t="shared" si="1"/>
        <v>3.3333333333333333E-2</v>
      </c>
    </row>
    <row r="24" spans="1:7" x14ac:dyDescent="0.25">
      <c r="A24" s="1">
        <v>130117032</v>
      </c>
      <c r="B24" s="2" t="str">
        <f>+_xlfn.XLOOKUP(A24,'[1]Base MP'!C:C,'[1]Base MP'!D:D)</f>
        <v>FOSFATO MONOPOTASICO</v>
      </c>
      <c r="C24" s="2" t="str">
        <f>+_xlfn.XLOOKUP(A24,'[1]Base MP'!C:C,'[1]Base MP'!E:E)</f>
        <v>MICRO</v>
      </c>
      <c r="D24" s="3">
        <v>90</v>
      </c>
      <c r="E24" s="8">
        <f t="shared" si="0"/>
        <v>3</v>
      </c>
      <c r="F24" s="3">
        <v>1</v>
      </c>
      <c r="G24" s="8">
        <f t="shared" si="1"/>
        <v>3.3333333333333333E-2</v>
      </c>
    </row>
    <row r="25" spans="1:7" x14ac:dyDescent="0.25">
      <c r="A25" s="1">
        <v>107548949</v>
      </c>
      <c r="B25" s="2" t="str">
        <f>+_xlfn.XLOOKUP(A25,'[1]Base MP'!C:C,'[1]Base MP'!D:D)</f>
        <v>MONO CALCIUM PHOSPHATE 22.7%</v>
      </c>
      <c r="C25" s="2" t="str">
        <f>+_xlfn.XLOOKUP(A25,'[1]Base MP'!C:C,'[1]Base MP'!E:E)</f>
        <v>MACRO</v>
      </c>
      <c r="D25" s="3">
        <v>60</v>
      </c>
      <c r="E25" s="8">
        <f t="shared" si="0"/>
        <v>2</v>
      </c>
      <c r="F25" s="3">
        <v>1</v>
      </c>
      <c r="G25" s="8">
        <f t="shared" si="1"/>
        <v>3.3333333333333333E-2</v>
      </c>
    </row>
    <row r="26" spans="1:7" x14ac:dyDescent="0.25">
      <c r="A26" s="1">
        <v>107536338</v>
      </c>
      <c r="B26" s="2" t="str">
        <f>+_xlfn.XLOOKUP(A26,'[1]Base MP'!C:C,'[1]Base MP'!D:D)</f>
        <v>HARINA DE PESCADO SUPER PRIME</v>
      </c>
      <c r="C26" s="2" t="str">
        <f>+_xlfn.XLOOKUP(A26,'[1]Base MP'!C:C,'[1]Base MP'!E:E)</f>
        <v>MACRO</v>
      </c>
      <c r="D26" s="3">
        <v>30</v>
      </c>
      <c r="E26" s="8">
        <f t="shared" si="0"/>
        <v>1</v>
      </c>
      <c r="F26" s="3">
        <v>1</v>
      </c>
      <c r="G26" s="8">
        <f t="shared" si="1"/>
        <v>3.3333333333333333E-2</v>
      </c>
    </row>
    <row r="27" spans="1:7" x14ac:dyDescent="0.25">
      <c r="A27" s="1">
        <v>107680814</v>
      </c>
      <c r="B27" s="2" t="str">
        <f>+_xlfn.XLOOKUP(A27,'[1]Base MP'!C:C,'[1]Base MP'!D:D)</f>
        <v>TORTA DE SOYA ARGENTINA</v>
      </c>
      <c r="C27" s="2" t="str">
        <f>+_xlfn.XLOOKUP(A27,'[1]Base MP'!C:C,'[1]Base MP'!E:E)</f>
        <v>GRANEL</v>
      </c>
      <c r="D27" s="3">
        <v>45</v>
      </c>
      <c r="E27" s="8">
        <f t="shared" si="0"/>
        <v>1.5</v>
      </c>
      <c r="F27" s="3">
        <v>1</v>
      </c>
      <c r="G27" s="8">
        <f t="shared" si="1"/>
        <v>3.3333333333333333E-2</v>
      </c>
    </row>
    <row r="28" spans="1:7" x14ac:dyDescent="0.25">
      <c r="A28" s="1">
        <v>107680836</v>
      </c>
      <c r="B28" s="2" t="str">
        <f>+_xlfn.XLOOKUP(A28,'[1]Base MP'!C:C,'[1]Base MP'!D:D)</f>
        <v>ADOXINE SE ANTIOX BHT10% POLVO</v>
      </c>
      <c r="C28" s="2" t="str">
        <f>+_xlfn.XLOOKUP(A28,'[1]Base MP'!C:C,'[1]Base MP'!E:E)</f>
        <v>MICRO</v>
      </c>
      <c r="D28" s="3">
        <v>15</v>
      </c>
      <c r="E28" s="8">
        <f t="shared" si="0"/>
        <v>0.5</v>
      </c>
      <c r="F28" s="3">
        <v>1</v>
      </c>
      <c r="G28" s="8">
        <f t="shared" si="1"/>
        <v>3.3333333333333333E-2</v>
      </c>
    </row>
    <row r="29" spans="1:7" x14ac:dyDescent="0.25">
      <c r="A29" s="1">
        <v>107708828</v>
      </c>
      <c r="B29" s="2" t="str">
        <f>+_xlfn.XLOOKUP(A29,'[1]Base MP'!C:C,'[1]Base MP'!D:D)</f>
        <v>TRIGO BRASILERO</v>
      </c>
      <c r="C29" s="2" t="str">
        <f>+_xlfn.XLOOKUP(A29,'[1]Base MP'!C:C,'[1]Base MP'!E:E)</f>
        <v>GRANEL</v>
      </c>
      <c r="D29" s="3">
        <v>75</v>
      </c>
      <c r="E29" s="8">
        <f t="shared" si="0"/>
        <v>2.5</v>
      </c>
      <c r="F29" s="3">
        <v>1</v>
      </c>
      <c r="G29" s="8">
        <f t="shared" si="1"/>
        <v>3.3333333333333333E-2</v>
      </c>
    </row>
    <row r="30" spans="1:7" x14ac:dyDescent="0.25">
      <c r="A30" s="1">
        <v>107546536</v>
      </c>
      <c r="B30" s="2" t="str">
        <f>+_xlfn.XLOOKUP(A30,'[1]Base MP'!C:C,'[1]Base MP'!D:D)</f>
        <v>COLESTEROL 91%</v>
      </c>
      <c r="C30" s="2" t="str">
        <f>+_xlfn.XLOOKUP(A30,'[1]Base MP'!C:C,'[1]Base MP'!E:E)</f>
        <v>MICRO</v>
      </c>
      <c r="D30" s="3">
        <v>90</v>
      </c>
      <c r="E30" s="8">
        <f t="shared" si="0"/>
        <v>3</v>
      </c>
      <c r="F30" s="3">
        <v>1</v>
      </c>
      <c r="G30" s="8">
        <f t="shared" si="1"/>
        <v>3.3333333333333333E-2</v>
      </c>
    </row>
    <row r="31" spans="1:7" x14ac:dyDescent="0.25">
      <c r="A31" s="1">
        <v>107680844</v>
      </c>
      <c r="B31" s="2" t="str">
        <f>+_xlfn.XLOOKUP(A31,'[1]Base MP'!C:C,'[1]Base MP'!D:D)</f>
        <v>VITAMINA-E 50%</v>
      </c>
      <c r="C31" s="2" t="str">
        <f>+_xlfn.XLOOKUP(A31,'[1]Base MP'!C:C,'[1]Base MP'!E:E)</f>
        <v>MICRO</v>
      </c>
      <c r="D31" s="3">
        <v>60</v>
      </c>
      <c r="E31" s="8">
        <f t="shared" si="0"/>
        <v>2</v>
      </c>
      <c r="F31" s="3">
        <v>1</v>
      </c>
      <c r="G31" s="8">
        <f t="shared" si="1"/>
        <v>3.3333333333333333E-2</v>
      </c>
    </row>
    <row r="32" spans="1:7" x14ac:dyDescent="0.25">
      <c r="A32" s="1">
        <v>107537102</v>
      </c>
      <c r="B32" s="2" t="str">
        <f>+_xlfn.XLOOKUP(A32,'[1]Base MP'!C:C,'[1]Base MP'!D:D)</f>
        <v>LEVADURA DV AQUA</v>
      </c>
      <c r="C32" s="2" t="str">
        <f>+_xlfn.XLOOKUP(A32,'[1]Base MP'!C:C,'[1]Base MP'!E:E)</f>
        <v>MICRO</v>
      </c>
      <c r="D32" s="3">
        <v>75</v>
      </c>
      <c r="E32" s="8">
        <f t="shared" si="0"/>
        <v>2.5</v>
      </c>
      <c r="F32" s="3">
        <v>1</v>
      </c>
      <c r="G32" s="8">
        <f t="shared" si="1"/>
        <v>3.3333333333333333E-2</v>
      </c>
    </row>
    <row r="33" spans="1:7" x14ac:dyDescent="0.25">
      <c r="A33" s="1">
        <v>107680793</v>
      </c>
      <c r="B33" s="2" t="str">
        <f>+_xlfn.XLOOKUP(A33,'[1]Base MP'!C:C,'[1]Base MP'!D:D)</f>
        <v>ACTIPAL HL8 ETX FREE FED ADD</v>
      </c>
      <c r="C33" s="2" t="str">
        <f>+_xlfn.XLOOKUP(A33,'[1]Base MP'!C:C,'[1]Base MP'!E:E)</f>
        <v>MICRO</v>
      </c>
      <c r="D33" s="3">
        <v>30</v>
      </c>
      <c r="E33" s="8">
        <f t="shared" si="0"/>
        <v>1</v>
      </c>
      <c r="F33" s="3">
        <v>1</v>
      </c>
      <c r="G33" s="8">
        <f t="shared" si="1"/>
        <v>3.3333333333333333E-2</v>
      </c>
    </row>
    <row r="34" spans="1:7" x14ac:dyDescent="0.25">
      <c r="A34" s="1">
        <v>107545168</v>
      </c>
      <c r="B34" s="2" t="str">
        <f>+_xlfn.XLOOKUP(A34,'[1]Base MP'!C:C,'[1]Base MP'!D:D)</f>
        <v>OMEGA 40% CHOLESTEROL 12%</v>
      </c>
      <c r="C34" s="2" t="str">
        <f>+_xlfn.XLOOKUP(A34,'[1]Base MP'!C:C,'[1]Base MP'!E:E)</f>
        <v>MICRO</v>
      </c>
      <c r="D34" s="3">
        <v>105</v>
      </c>
      <c r="E34" s="8">
        <f t="shared" si="0"/>
        <v>3.5</v>
      </c>
      <c r="F34" s="3">
        <v>1</v>
      </c>
      <c r="G34" s="8">
        <f t="shared" si="1"/>
        <v>3.3333333333333333E-2</v>
      </c>
    </row>
    <row r="35" spans="1:7" x14ac:dyDescent="0.25">
      <c r="A35" s="1">
        <v>107680742</v>
      </c>
      <c r="B35" s="2" t="str">
        <f>+_xlfn.XLOOKUP(A35,'[1]Base MP'!C:C,'[1]Base MP'!D:D)</f>
        <v>ACEITE DE PESCADO ETHYL ESTER</v>
      </c>
      <c r="C35" s="2" t="str">
        <f>+_xlfn.XLOOKUP(A35,'[1]Base MP'!C:C,'[1]Base MP'!E:E)</f>
        <v>MICRO</v>
      </c>
      <c r="D35" s="3">
        <v>105</v>
      </c>
      <c r="E35" s="8">
        <f t="shared" si="0"/>
        <v>3.5</v>
      </c>
      <c r="F35" s="3">
        <v>1</v>
      </c>
      <c r="G35" s="8">
        <f t="shared" si="1"/>
        <v>3.3333333333333333E-2</v>
      </c>
    </row>
    <row r="36" spans="1:7" x14ac:dyDescent="0.25">
      <c r="A36" s="1">
        <v>107680795</v>
      </c>
      <c r="B36" s="2" t="str">
        <f>+_xlfn.XLOOKUP(A36,'[1]Base MP'!C:C,'[1]Base MP'!D:D)</f>
        <v>MARINE COLESTEROL 12%</v>
      </c>
      <c r="C36" s="2" t="str">
        <f>+_xlfn.XLOOKUP(A36,'[1]Base MP'!C:C,'[1]Base MP'!E:E)</f>
        <v>MICRO</v>
      </c>
      <c r="D36" s="3">
        <v>105</v>
      </c>
      <c r="E36" s="8">
        <f t="shared" si="0"/>
        <v>3.5</v>
      </c>
      <c r="F36" s="3">
        <v>1</v>
      </c>
      <c r="G36" s="8">
        <f t="shared" si="1"/>
        <v>3.3333333333333333E-2</v>
      </c>
    </row>
    <row r="37" spans="1:7" x14ac:dyDescent="0.25">
      <c r="A37" s="1">
        <v>107680760</v>
      </c>
      <c r="B37" s="2" t="str">
        <f>+_xlfn.XLOOKUP(A37,'[1]Base MP'!C:C,'[1]Base MP'!D:D)</f>
        <v>FATTY ACID ETHYLESTER MIXTURE</v>
      </c>
      <c r="C37" s="2" t="str">
        <f>+_xlfn.XLOOKUP(A37,'[1]Base MP'!C:C,'[1]Base MP'!E:E)</f>
        <v>MICRO</v>
      </c>
      <c r="D37" s="3">
        <v>105</v>
      </c>
      <c r="E37" s="8">
        <f t="shared" si="0"/>
        <v>3.5</v>
      </c>
      <c r="F37" s="3">
        <v>1</v>
      </c>
      <c r="G37" s="8">
        <f t="shared" si="1"/>
        <v>3.3333333333333333E-2</v>
      </c>
    </row>
    <row r="38" spans="1:7" x14ac:dyDescent="0.25">
      <c r="A38" s="1">
        <v>107680796</v>
      </c>
      <c r="B38" s="2" t="str">
        <f>+_xlfn.XLOOKUP(A38,'[1]Base MP'!C:C,'[1]Base MP'!D:D)</f>
        <v>FLEXILIPID 12</v>
      </c>
      <c r="C38" s="2" t="str">
        <f>+_xlfn.XLOOKUP(A38,'[1]Base MP'!C:C,'[1]Base MP'!E:E)</f>
        <v>MICRO</v>
      </c>
      <c r="D38" s="3">
        <v>75</v>
      </c>
      <c r="E38" s="8">
        <f t="shared" si="0"/>
        <v>2.5</v>
      </c>
      <c r="F38" s="3">
        <v>1</v>
      </c>
      <c r="G38" s="8">
        <f t="shared" si="1"/>
        <v>3.3333333333333333E-2</v>
      </c>
    </row>
    <row r="39" spans="1:7" x14ac:dyDescent="0.25">
      <c r="A39" s="1">
        <v>130068899</v>
      </c>
      <c r="B39" s="2" t="str">
        <f>+_xlfn.XLOOKUP(A39,'[1]Base MP'!C:C,'[1]Base MP'!D:D)</f>
        <v>D-GLUCURONOLACTONA</v>
      </c>
      <c r="C39" s="2" t="str">
        <f>+_xlfn.XLOOKUP(A39,'[1]Base MP'!C:C,'[1]Base MP'!E:E)</f>
        <v>MICRO</v>
      </c>
      <c r="D39" s="3">
        <v>120</v>
      </c>
      <c r="E39" s="8">
        <f t="shared" si="0"/>
        <v>4</v>
      </c>
      <c r="F39" s="3">
        <v>1</v>
      </c>
      <c r="G39" s="8">
        <f t="shared" si="1"/>
        <v>3.3333333333333333E-2</v>
      </c>
    </row>
    <row r="40" spans="1:7" x14ac:dyDescent="0.25">
      <c r="A40" s="1">
        <v>107547799</v>
      </c>
      <c r="B40" s="2" t="str">
        <f>+_xlfn.XLOOKUP(A40,'[1]Base MP'!C:C,'[1]Base MP'!D:D)</f>
        <v>PMX VIT CAMARON</v>
      </c>
      <c r="C40" s="2" t="str">
        <f>+_xlfn.XLOOKUP(A40,'[1]Base MP'!C:C,'[1]Base MP'!E:E)</f>
        <v>MICRO</v>
      </c>
      <c r="D40" s="3">
        <v>60</v>
      </c>
      <c r="E40" s="8">
        <f t="shared" si="0"/>
        <v>2</v>
      </c>
      <c r="F40" s="3">
        <v>1</v>
      </c>
      <c r="G40" s="8">
        <f t="shared" si="1"/>
        <v>3.3333333333333333E-2</v>
      </c>
    </row>
    <row r="41" spans="1:7" x14ac:dyDescent="0.25">
      <c r="A41" s="1">
        <v>107680769</v>
      </c>
      <c r="B41" s="2" t="str">
        <f>+_xlfn.XLOOKUP(A41,'[1]Base MP'!C:C,'[1]Base MP'!D:D)</f>
        <v>MINERAL L OC02</v>
      </c>
      <c r="C41" s="2" t="str">
        <f>+_xlfn.XLOOKUP(A41,'[1]Base MP'!C:C,'[1]Base MP'!E:E)</f>
        <v>MICRO</v>
      </c>
      <c r="D41" s="3">
        <v>90</v>
      </c>
      <c r="E41" s="8">
        <f t="shared" si="0"/>
        <v>3</v>
      </c>
      <c r="F41" s="3">
        <v>1</v>
      </c>
      <c r="G41" s="8">
        <f t="shared" si="1"/>
        <v>3.3333333333333333E-2</v>
      </c>
    </row>
    <row r="42" spans="1:7" x14ac:dyDescent="0.25">
      <c r="A42" s="1">
        <v>107680749</v>
      </c>
      <c r="B42" s="2" t="str">
        <f>+_xlfn.XLOOKUP(A42,'[1]Base MP'!C:C,'[1]Base MP'!D:D)</f>
        <v>CARDOSIL</v>
      </c>
      <c r="C42" s="2" t="str">
        <f>+_xlfn.XLOOKUP(A42,'[1]Base MP'!C:C,'[1]Base MP'!E:E)</f>
        <v>MICRO</v>
      </c>
      <c r="D42" s="3">
        <v>30</v>
      </c>
      <c r="E42" s="8">
        <f t="shared" si="0"/>
        <v>1</v>
      </c>
      <c r="F42" s="3">
        <v>1</v>
      </c>
      <c r="G42" s="8">
        <f t="shared" si="1"/>
        <v>3.3333333333333333E-2</v>
      </c>
    </row>
    <row r="43" spans="1:7" x14ac:dyDescent="0.25">
      <c r="A43" s="1">
        <v>107544067</v>
      </c>
      <c r="B43" s="2" t="str">
        <f>+_xlfn.XLOOKUP(A43,'[1]Base MP'!C:C,'[1]Base MP'!D:D)</f>
        <v>ACIDO FUMARICO CW</v>
      </c>
      <c r="C43" s="2" t="str">
        <f>+_xlfn.XLOOKUP(A43,'[1]Base MP'!C:C,'[1]Base MP'!E:E)</f>
        <v>MICRO</v>
      </c>
      <c r="D43" s="3">
        <v>90</v>
      </c>
      <c r="E43" s="8">
        <f t="shared" si="0"/>
        <v>3</v>
      </c>
      <c r="F43" s="3">
        <v>1</v>
      </c>
      <c r="G43" s="8">
        <f t="shared" si="1"/>
        <v>3.3333333333333333E-2</v>
      </c>
    </row>
    <row r="44" spans="1:7" x14ac:dyDescent="0.25">
      <c r="A44" s="1">
        <v>130099814</v>
      </c>
      <c r="B44" s="2" t="str">
        <f>+_xlfn.XLOOKUP(A44,'[1]Base MP'!C:C,'[1]Base MP'!D:D)</f>
        <v>AQUA FORM</v>
      </c>
      <c r="C44" s="2" t="str">
        <f>+_xlfn.XLOOKUP(A44,'[1]Base MP'!C:C,'[1]Base MP'!E:E)</f>
        <v>MICRO</v>
      </c>
      <c r="D44" s="3">
        <v>60</v>
      </c>
      <c r="E44" s="8">
        <f t="shared" si="0"/>
        <v>2</v>
      </c>
      <c r="F44" s="3">
        <v>1</v>
      </c>
      <c r="G44" s="8">
        <f t="shared" si="1"/>
        <v>3.3333333333333333E-2</v>
      </c>
    </row>
    <row r="45" spans="1:7" x14ac:dyDescent="0.25">
      <c r="A45" s="1">
        <v>107680739</v>
      </c>
      <c r="B45" s="2" t="str">
        <f>+_xlfn.XLOOKUP(A45,'[1]Base MP'!C:C,'[1]Base MP'!D:D)</f>
        <v>ACEITE CRUDO DE SOYA</v>
      </c>
      <c r="C45" s="2" t="str">
        <f>+_xlfn.XLOOKUP(A45,'[1]Base MP'!C:C,'[1]Base MP'!E:E)</f>
        <v>LIQUIDO</v>
      </c>
      <c r="D45" s="3">
        <v>15</v>
      </c>
      <c r="E45" s="8">
        <f t="shared" si="0"/>
        <v>0.5</v>
      </c>
      <c r="F45" s="3">
        <v>1</v>
      </c>
      <c r="G45" s="8">
        <f t="shared" si="1"/>
        <v>3.3333333333333333E-2</v>
      </c>
    </row>
    <row r="46" spans="1:7" x14ac:dyDescent="0.25">
      <c r="A46" s="1">
        <v>107680783</v>
      </c>
      <c r="B46" s="2" t="str">
        <f>+_xlfn.XLOOKUP(A46,'[1]Base MP'!C:C,'[1]Base MP'!D:D)</f>
        <v>VITAMINA C MONOFOSFATO 35%</v>
      </c>
      <c r="C46" s="2" t="str">
        <f>+_xlfn.XLOOKUP(A46,'[1]Base MP'!C:C,'[1]Base MP'!E:E)</f>
        <v>MICRO</v>
      </c>
      <c r="D46" s="3">
        <v>60</v>
      </c>
      <c r="E46" s="8">
        <f t="shared" si="0"/>
        <v>2</v>
      </c>
      <c r="F46" s="3">
        <v>1</v>
      </c>
      <c r="G46" s="8">
        <f t="shared" si="1"/>
        <v>3.3333333333333333E-2</v>
      </c>
    </row>
    <row r="47" spans="1:7" x14ac:dyDescent="0.25">
      <c r="A47" s="1">
        <v>107680840</v>
      </c>
      <c r="B47" s="2" t="str">
        <f>+_xlfn.XLOOKUP(A47,'[1]Base MP'!C:C,'[1]Base MP'!D:D)</f>
        <v>NUTRIMAR POLVO</v>
      </c>
      <c r="C47" s="2" t="str">
        <f>+_xlfn.XLOOKUP(A47,'[1]Base MP'!C:C,'[1]Base MP'!E:E)</f>
        <v>MICRO</v>
      </c>
      <c r="D47" s="3">
        <v>105</v>
      </c>
      <c r="E47" s="8">
        <f t="shared" si="0"/>
        <v>3.5</v>
      </c>
      <c r="F47" s="3">
        <v>1</v>
      </c>
      <c r="G47" s="8">
        <f t="shared" si="1"/>
        <v>3.3333333333333333E-2</v>
      </c>
    </row>
    <row r="48" spans="1:7" x14ac:dyDescent="0.25">
      <c r="A48" s="1">
        <v>107680785</v>
      </c>
      <c r="B48" s="2" t="str">
        <f>+_xlfn.XLOOKUP(A48,'[1]Base MP'!C:C,'[1]Base MP'!D:D)</f>
        <v>TORTA DE SOYA AMERICANA</v>
      </c>
      <c r="C48" s="2" t="str">
        <f>+_xlfn.XLOOKUP(A48,'[1]Base MP'!C:C,'[1]Base MP'!E:E)</f>
        <v>GRANEL</v>
      </c>
      <c r="D48" s="3">
        <v>90</v>
      </c>
      <c r="E48" s="8">
        <f t="shared" si="0"/>
        <v>3</v>
      </c>
      <c r="F48" s="3">
        <v>1</v>
      </c>
      <c r="G48" s="8">
        <f t="shared" si="1"/>
        <v>3.3333333333333333E-2</v>
      </c>
    </row>
    <row r="49" spans="1:7" x14ac:dyDescent="0.25">
      <c r="A49" s="1">
        <v>107547508</v>
      </c>
      <c r="B49" s="2" t="str">
        <f>+_xlfn.XLOOKUP(A49,'[1]Base MP'!C:C,'[1]Base MP'!D:D)</f>
        <v>FYLAX FORTE</v>
      </c>
      <c r="C49" s="2" t="str">
        <f>+_xlfn.XLOOKUP(A49,'[1]Base MP'!C:C,'[1]Base MP'!E:E)</f>
        <v>MICRO</v>
      </c>
      <c r="D49" s="3">
        <v>90</v>
      </c>
      <c r="E49" s="8">
        <f t="shared" si="0"/>
        <v>3</v>
      </c>
      <c r="F49" s="3">
        <v>1</v>
      </c>
      <c r="G49" s="8">
        <f t="shared" si="1"/>
        <v>3.3333333333333333E-2</v>
      </c>
    </row>
    <row r="50" spans="1:7" x14ac:dyDescent="0.25">
      <c r="A50" s="1">
        <v>107680845</v>
      </c>
      <c r="B50" s="2" t="str">
        <f>+_xlfn.XLOOKUP(A50,'[1]Base MP'!C:C,'[1]Base MP'!D:D)</f>
        <v>INHIMOLD P FED ADD</v>
      </c>
      <c r="C50" s="2" t="str">
        <f>+_xlfn.XLOOKUP(A50,'[1]Base MP'!C:C,'[1]Base MP'!E:E)</f>
        <v>MICRO</v>
      </c>
      <c r="D50" s="3">
        <v>30</v>
      </c>
      <c r="E50" s="8">
        <f t="shared" si="0"/>
        <v>1</v>
      </c>
      <c r="F50" s="3">
        <v>1</v>
      </c>
      <c r="G50" s="8">
        <f t="shared" si="1"/>
        <v>3.3333333333333333E-2</v>
      </c>
    </row>
    <row r="51" spans="1:7" x14ac:dyDescent="0.25">
      <c r="A51" s="1">
        <v>107680847</v>
      </c>
      <c r="B51" s="2" t="str">
        <f>+_xlfn.XLOOKUP(A51,'[1]Base MP'!C:C,'[1]Base MP'!D:D)</f>
        <v>SILIMARINA 80% FED ADD</v>
      </c>
      <c r="C51" s="2" t="str">
        <f>+_xlfn.XLOOKUP(A51,'[1]Base MP'!C:C,'[1]Base MP'!E:E)</f>
        <v>MICRO</v>
      </c>
      <c r="D51" s="3">
        <v>90</v>
      </c>
      <c r="E51" s="8">
        <f t="shared" si="0"/>
        <v>3</v>
      </c>
      <c r="F51" s="3">
        <v>1</v>
      </c>
      <c r="G51" s="8">
        <f t="shared" si="1"/>
        <v>3.3333333333333333E-2</v>
      </c>
    </row>
    <row r="52" spans="1:7" x14ac:dyDescent="0.25">
      <c r="A52" s="1">
        <v>107565777</v>
      </c>
      <c r="B52" s="2" t="str">
        <f>+_xlfn.XLOOKUP(A52,'[1]Base MP'!C:C,'[1]Base MP'!D:D)</f>
        <v>FOSFATO MONOAMONICO</v>
      </c>
      <c r="C52" s="2" t="str">
        <f>+_xlfn.XLOOKUP(A52,'[1]Base MP'!C:C,'[1]Base MP'!E:E)</f>
        <v>MICRO</v>
      </c>
      <c r="D52" s="3">
        <v>90</v>
      </c>
      <c r="E52" s="8">
        <f t="shared" si="0"/>
        <v>3</v>
      </c>
      <c r="F52" s="3">
        <v>1</v>
      </c>
      <c r="G52" s="8">
        <f t="shared" si="1"/>
        <v>3.3333333333333333E-2</v>
      </c>
    </row>
    <row r="53" spans="1:7" x14ac:dyDescent="0.25">
      <c r="A53" s="1">
        <v>107544275</v>
      </c>
      <c r="B53" s="2" t="str">
        <f>+_xlfn.XLOOKUP(A53,'[1]Base MP'!C:C,'[1]Base MP'!D:D)</f>
        <v>CHOLINE CHLORIDE-70</v>
      </c>
      <c r="C53" s="2" t="str">
        <f>+_xlfn.XLOOKUP(A53,'[1]Base MP'!C:C,'[1]Base MP'!E:E)</f>
        <v>MICRO</v>
      </c>
      <c r="D53" s="3">
        <v>90</v>
      </c>
      <c r="E53" s="8">
        <f t="shared" si="0"/>
        <v>3</v>
      </c>
      <c r="F53" s="3">
        <v>1</v>
      </c>
      <c r="G53" s="8">
        <f t="shared" si="1"/>
        <v>3.3333333333333333E-2</v>
      </c>
    </row>
    <row r="54" spans="1:7" x14ac:dyDescent="0.25">
      <c r="A54" s="1">
        <v>107549174</v>
      </c>
      <c r="B54" s="2" t="str">
        <f>+_xlfn.XLOOKUP(A54,'[1]Base MP'!C:C,'[1]Base MP'!D:D)</f>
        <v>AA TAURINA 99%</v>
      </c>
      <c r="C54" s="2" t="str">
        <f>+_xlfn.XLOOKUP(A54,'[1]Base MP'!C:C,'[1]Base MP'!E:E)</f>
        <v>MICRO</v>
      </c>
      <c r="D54" s="3">
        <v>90</v>
      </c>
      <c r="E54" s="8">
        <f t="shared" si="0"/>
        <v>3</v>
      </c>
      <c r="F54" s="3">
        <v>1</v>
      </c>
      <c r="G54" s="8">
        <f t="shared" si="1"/>
        <v>3.3333333333333333E-2</v>
      </c>
    </row>
    <row r="55" spans="1:7" x14ac:dyDescent="0.25">
      <c r="A55" s="1">
        <v>107708616</v>
      </c>
      <c r="B55" s="2" t="str">
        <f>+_xlfn.XLOOKUP(A55,'[1]Base MP'!C:C,'[1]Base MP'!D:D)</f>
        <v>HIDROLIZADO DE CALAMAR LIQ</v>
      </c>
      <c r="C55" s="2" t="str">
        <f>+_xlfn.XLOOKUP(A55,'[1]Base MP'!C:C,'[1]Base MP'!E:E)</f>
        <v>MICRO</v>
      </c>
      <c r="D55" s="3">
        <v>60</v>
      </c>
      <c r="E55" s="8">
        <f t="shared" si="0"/>
        <v>2</v>
      </c>
      <c r="F55" s="3">
        <v>1</v>
      </c>
      <c r="G55" s="8">
        <f t="shared" si="1"/>
        <v>3.3333333333333333E-2</v>
      </c>
    </row>
    <row r="56" spans="1:7" x14ac:dyDescent="0.25">
      <c r="A56" s="1">
        <v>107708618</v>
      </c>
      <c r="B56" s="2" t="str">
        <f>+_xlfn.XLOOKUP(A56,'[1]Base MP'!C:C,'[1]Base MP'!D:D)</f>
        <v>AMARIL</v>
      </c>
      <c r="C56" s="2" t="str">
        <f>+_xlfn.XLOOKUP(A56,'[1]Base MP'!C:C,'[1]Base MP'!E:E)</f>
        <v>MICRO</v>
      </c>
      <c r="D56" s="3">
        <v>60</v>
      </c>
      <c r="E56" s="8">
        <f t="shared" si="0"/>
        <v>2</v>
      </c>
      <c r="F56" s="3">
        <v>1</v>
      </c>
      <c r="G56" s="8">
        <f t="shared" si="1"/>
        <v>3.3333333333333333E-2</v>
      </c>
    </row>
    <row r="57" spans="1:7" x14ac:dyDescent="0.25">
      <c r="A57" s="1">
        <v>107549195</v>
      </c>
      <c r="B57" s="2" t="str">
        <f>+_xlfn.XLOOKUP(A57,'[1]Base MP'!C:C,'[1]Base MP'!D:D)</f>
        <v>XTRACT</v>
      </c>
      <c r="C57" s="2" t="str">
        <f>+_xlfn.XLOOKUP(A57,'[1]Base MP'!C:C,'[1]Base MP'!E:E)</f>
        <v>MICRO</v>
      </c>
      <c r="D57" s="3">
        <v>90</v>
      </c>
      <c r="E57" s="8">
        <f t="shared" si="0"/>
        <v>3</v>
      </c>
      <c r="F57" s="3">
        <v>1</v>
      </c>
      <c r="G57" s="8">
        <f t="shared" si="1"/>
        <v>3.3333333333333333E-2</v>
      </c>
    </row>
    <row r="58" spans="1:7" x14ac:dyDescent="0.25">
      <c r="A58" s="1">
        <v>107708832</v>
      </c>
      <c r="B58" s="2" t="str">
        <f>+_xlfn.XLOOKUP(A58,'[1]Base MP'!C:C,'[1]Base MP'!D:D)</f>
        <v>COLESTEROL 91% FISH OIL</v>
      </c>
      <c r="C58" s="2" t="str">
        <f>+_xlfn.XLOOKUP(A58,'[1]Base MP'!C:C,'[1]Base MP'!E:E)</f>
        <v>MICRO</v>
      </c>
      <c r="D58" s="3">
        <v>90</v>
      </c>
      <c r="E58" s="8">
        <f t="shared" si="0"/>
        <v>3</v>
      </c>
      <c r="F58" s="3">
        <v>1</v>
      </c>
      <c r="G58" s="8">
        <f t="shared" si="1"/>
        <v>3.3333333333333333E-2</v>
      </c>
    </row>
    <row r="59" spans="1:7" x14ac:dyDescent="0.25">
      <c r="A59" s="1">
        <v>107544100</v>
      </c>
      <c r="B59" s="2" t="str">
        <f>+_xlfn.XLOOKUP(A59,'[1]Base MP'!C:C,'[1]Base MP'!D:D)</f>
        <v>L-VALINE</v>
      </c>
      <c r="C59" s="2" t="str">
        <f>+_xlfn.XLOOKUP(A59,'[1]Base MP'!C:C,'[1]Base MP'!E:E)</f>
        <v>MICRO</v>
      </c>
      <c r="D59" s="3">
        <v>90</v>
      </c>
      <c r="E59" s="8">
        <f t="shared" si="0"/>
        <v>3</v>
      </c>
      <c r="F59" s="3">
        <v>1</v>
      </c>
      <c r="G59" s="8">
        <f t="shared" si="1"/>
        <v>3.3333333333333333E-2</v>
      </c>
    </row>
    <row r="60" spans="1:7" x14ac:dyDescent="0.25">
      <c r="A60" s="1">
        <v>107708690</v>
      </c>
      <c r="B60" s="2" t="str">
        <f>+_xlfn.XLOOKUP(A60,'[1]Base MP'!C:C,'[1]Base MP'!D:D)</f>
        <v>SELENIO ORGANICO</v>
      </c>
      <c r="C60" s="2" t="str">
        <f>+_xlfn.XLOOKUP(A60,'[1]Base MP'!C:C,'[1]Base MP'!E:E)</f>
        <v>MICRO</v>
      </c>
      <c r="D60" s="3">
        <v>90</v>
      </c>
      <c r="E60" s="8">
        <f t="shared" si="0"/>
        <v>3</v>
      </c>
      <c r="F60" s="3">
        <v>1</v>
      </c>
      <c r="G60" s="8">
        <f t="shared" si="1"/>
        <v>3.3333333333333333E-2</v>
      </c>
    </row>
    <row r="61" spans="1:7" x14ac:dyDescent="0.25">
      <c r="A61" s="1">
        <v>107710432</v>
      </c>
      <c r="B61" s="2" t="str">
        <f>+_xlfn.XLOOKUP(A61,'[1]Base MP'!C:C,'[1]Base MP'!D:D)</f>
        <v>DIFORMIATO DE POTASIO</v>
      </c>
      <c r="C61" s="2" t="str">
        <f>+_xlfn.XLOOKUP(A61,'[1]Base MP'!C:C,'[1]Base MP'!E:E)</f>
        <v>MICRO</v>
      </c>
      <c r="D61" s="3">
        <v>90</v>
      </c>
      <c r="E61" s="8">
        <f t="shared" si="0"/>
        <v>3</v>
      </c>
      <c r="F61" s="3">
        <v>1</v>
      </c>
      <c r="G61" s="8">
        <f t="shared" si="1"/>
        <v>3.3333333333333333E-2</v>
      </c>
    </row>
    <row r="62" spans="1:7" x14ac:dyDescent="0.25">
      <c r="A62" s="1">
        <v>107708615</v>
      </c>
      <c r="B62" s="2" t="str">
        <f>+_xlfn.XLOOKUP(A62,'[1]Base MP'!C:C,'[1]Base MP'!D:D)</f>
        <v>HY-BOND</v>
      </c>
      <c r="C62" s="2" t="str">
        <f>+_xlfn.XLOOKUP(A62,'[1]Base MP'!C:C,'[1]Base MP'!E:E)</f>
        <v>MICRO</v>
      </c>
      <c r="D62" s="3">
        <v>30</v>
      </c>
      <c r="E62" s="8">
        <f t="shared" si="0"/>
        <v>1</v>
      </c>
      <c r="F62" s="3">
        <v>1</v>
      </c>
      <c r="G62" s="8">
        <f t="shared" si="1"/>
        <v>3.3333333333333333E-2</v>
      </c>
    </row>
    <row r="63" spans="1:7" x14ac:dyDescent="0.25">
      <c r="A63" s="1">
        <v>107680826</v>
      </c>
      <c r="B63" s="2" t="str">
        <f>+_xlfn.XLOOKUP(A63,'[1]Base MP'!C:C,'[1]Base MP'!D:D)</f>
        <v>REPRO_CAMARON</v>
      </c>
      <c r="C63" s="2" t="str">
        <f>+_xlfn.XLOOKUP(A63,'[1]Base MP'!C:C,'[1]Base MP'!E:E)</f>
        <v>REPROCESO</v>
      </c>
      <c r="D63" s="3">
        <v>0</v>
      </c>
      <c r="E63" s="8">
        <f t="shared" si="0"/>
        <v>0</v>
      </c>
      <c r="F63" s="3">
        <v>1</v>
      </c>
      <c r="G63" s="8">
        <f t="shared" si="1"/>
        <v>3.3333333333333333E-2</v>
      </c>
    </row>
    <row r="64" spans="1:7" x14ac:dyDescent="0.25">
      <c r="A64" s="1">
        <v>107680731</v>
      </c>
      <c r="B64" s="2" t="str">
        <f>+_xlfn.XLOOKUP(A64,'[1]Base MP'!C:C,'[1]Base MP'!D:D)</f>
        <v>REPRO CAMA HP</v>
      </c>
      <c r="C64" s="2" t="str">
        <f>+_xlfn.XLOOKUP(A64,'[1]Base MP'!C:C,'[1]Base MP'!E:E)</f>
        <v>REPROCESO</v>
      </c>
      <c r="D64" s="3">
        <v>0</v>
      </c>
      <c r="E64" s="8">
        <f t="shared" si="0"/>
        <v>0</v>
      </c>
      <c r="F64" s="3">
        <v>1</v>
      </c>
      <c r="G64" s="8">
        <f t="shared" si="1"/>
        <v>3.3333333333333333E-2</v>
      </c>
    </row>
    <row r="65" spans="1:7" x14ac:dyDescent="0.25">
      <c r="A65" s="1">
        <v>107545429</v>
      </c>
      <c r="B65" s="2" t="str">
        <f>+_xlfn.XLOOKUP(A65,'[1]Base MP'!C:C,'[1]Base MP'!D:D)</f>
        <v>REPRO CAMA SP</v>
      </c>
      <c r="C65" s="2" t="str">
        <f>+_xlfn.XLOOKUP(A65,'[1]Base MP'!C:C,'[1]Base MP'!E:E)</f>
        <v>REPROCESO</v>
      </c>
      <c r="D65" s="3">
        <v>0</v>
      </c>
      <c r="E65" s="8">
        <f t="shared" si="0"/>
        <v>0</v>
      </c>
      <c r="F65" s="3">
        <v>1</v>
      </c>
      <c r="G65" s="8">
        <f t="shared" si="1"/>
        <v>3.3333333333333333E-2</v>
      </c>
    </row>
    <row r="66" spans="1:7" x14ac:dyDescent="0.25">
      <c r="A66" s="1">
        <v>107680777</v>
      </c>
      <c r="B66" s="2" t="str">
        <f>+_xlfn.XLOOKUP(A66,'[1]Base MP'!C:C,'[1]Base MP'!D:D)</f>
        <v>REPRO CAMA LP</v>
      </c>
      <c r="C66" s="2" t="str">
        <f>+_xlfn.XLOOKUP(A66,'[1]Base MP'!C:C,'[1]Base MP'!E:E)</f>
        <v>REPROCESO</v>
      </c>
      <c r="D66" s="3">
        <v>0</v>
      </c>
      <c r="E66" s="8">
        <f t="shared" si="0"/>
        <v>0</v>
      </c>
      <c r="F66" s="3">
        <v>1</v>
      </c>
      <c r="G66" s="8">
        <f t="shared" si="1"/>
        <v>3.3333333333333333E-2</v>
      </c>
    </row>
    <row r="67" spans="1:7" x14ac:dyDescent="0.25">
      <c r="A67" s="1">
        <v>107708835</v>
      </c>
      <c r="B67" s="2" t="str">
        <f>+_xlfn.XLOOKUP(A67,'[1]Base MP'!C:C,'[1]Base MP'!D:D)</f>
        <v>INHIMOLD LIQ FEED ADD</v>
      </c>
      <c r="C67" s="2" t="str">
        <f>+_xlfn.XLOOKUP(A67,'[1]Base MP'!C:C,'[1]Base MP'!E:E)</f>
        <v>MICRO</v>
      </c>
      <c r="D67" s="3">
        <v>30</v>
      </c>
      <c r="E67" s="8">
        <f t="shared" ref="E67:E97" si="2">+D67/30</f>
        <v>1</v>
      </c>
      <c r="F67" s="3">
        <v>1</v>
      </c>
      <c r="G67" s="8">
        <f t="shared" ref="G67:G97" si="3">+F67/30</f>
        <v>3.3333333333333333E-2</v>
      </c>
    </row>
    <row r="68" spans="1:7" x14ac:dyDescent="0.25">
      <c r="A68" s="1">
        <v>107674333</v>
      </c>
      <c r="B68" s="2" t="str">
        <f>+_xlfn.XLOOKUP(A68,'[1]Base MP'!C:C,'[1]Base MP'!D:D)</f>
        <v>FOSFATO MONODICALCICO</v>
      </c>
      <c r="C68" s="2" t="str">
        <f>+_xlfn.XLOOKUP(A68,'[1]Base MP'!C:C,'[1]Base MP'!E:E)</f>
        <v>MICRO</v>
      </c>
      <c r="D68" s="3">
        <v>90</v>
      </c>
      <c r="E68" s="8">
        <f t="shared" si="2"/>
        <v>3</v>
      </c>
      <c r="F68" s="3">
        <v>1</v>
      </c>
      <c r="G68" s="8">
        <f t="shared" si="3"/>
        <v>3.3333333333333333E-2</v>
      </c>
    </row>
    <row r="69" spans="1:7" x14ac:dyDescent="0.25">
      <c r="A69" s="1">
        <v>107547546</v>
      </c>
      <c r="B69" s="2" t="str">
        <f>+_xlfn.XLOOKUP(A69,'[1]Base MP'!C:C,'[1]Base MP'!D:D)</f>
        <v>COLINA 60%</v>
      </c>
      <c r="C69" s="2" t="str">
        <f>+_xlfn.XLOOKUP(A69,'[1]Base MP'!C:C,'[1]Base MP'!E:E)</f>
        <v>MICRO</v>
      </c>
      <c r="D69" s="3">
        <v>90</v>
      </c>
      <c r="E69" s="8">
        <f t="shared" si="2"/>
        <v>3</v>
      </c>
      <c r="F69" s="3">
        <v>1</v>
      </c>
      <c r="G69" s="8">
        <f t="shared" si="3"/>
        <v>3.3333333333333333E-2</v>
      </c>
    </row>
    <row r="70" spans="1:7" x14ac:dyDescent="0.25">
      <c r="A70" s="1">
        <v>107537107</v>
      </c>
      <c r="B70" s="2" t="str">
        <f>+_xlfn.XLOOKUP(A70,'[1]Base MP'!C:C,'[1]Base MP'!D:D)</f>
        <v>HARINA DE KRILL</v>
      </c>
      <c r="C70" s="2" t="str">
        <f>+_xlfn.XLOOKUP(A70,'[1]Base MP'!C:C,'[1]Base MP'!E:E)</f>
        <v>MACRO</v>
      </c>
      <c r="D70" s="3">
        <v>90</v>
      </c>
      <c r="E70" s="8">
        <f t="shared" si="2"/>
        <v>3</v>
      </c>
      <c r="F70" s="3">
        <v>1</v>
      </c>
      <c r="G70" s="8">
        <f t="shared" si="3"/>
        <v>3.3333333333333333E-2</v>
      </c>
    </row>
    <row r="71" spans="1:7" x14ac:dyDescent="0.25">
      <c r="A71" s="1">
        <v>107680771</v>
      </c>
      <c r="B71" s="2" t="str">
        <f>+_xlfn.XLOOKUP(A71,'[1]Base MP'!C:C,'[1]Base MP'!D:D)</f>
        <v>SFF MULTI SPP</v>
      </c>
      <c r="C71" s="2" t="str">
        <f>+_xlfn.XLOOKUP(A71,'[1]Base MP'!C:C,'[1]Base MP'!E:E)</f>
        <v>MICRO</v>
      </c>
      <c r="D71" s="3">
        <v>90</v>
      </c>
      <c r="E71" s="8">
        <f t="shared" si="2"/>
        <v>3</v>
      </c>
      <c r="F71" s="3">
        <v>1</v>
      </c>
      <c r="G71" s="8">
        <f t="shared" si="3"/>
        <v>3.3333333333333333E-2</v>
      </c>
    </row>
    <row r="72" spans="1:7" x14ac:dyDescent="0.25">
      <c r="A72" s="1">
        <v>130124913</v>
      </c>
      <c r="B72" s="2" t="str">
        <f>+_xlfn.XLOOKUP(A72,'[1]Base MP'!C:C,'[1]Base MP'!D:D)</f>
        <v>CAROPHYLL PINK 10%CWS</v>
      </c>
      <c r="C72" s="2" t="str">
        <f>+_xlfn.XLOOKUP(A72,'[1]Base MP'!C:C,'[1]Base MP'!E:E)</f>
        <v>MICRO</v>
      </c>
      <c r="D72" s="3">
        <v>90</v>
      </c>
      <c r="E72" s="8">
        <f t="shared" si="2"/>
        <v>3</v>
      </c>
      <c r="F72" s="3">
        <v>1</v>
      </c>
      <c r="G72" s="8">
        <f t="shared" si="3"/>
        <v>3.3333333333333333E-2</v>
      </c>
    </row>
    <row r="73" spans="1:7" x14ac:dyDescent="0.25">
      <c r="A73" s="1">
        <v>107680824</v>
      </c>
      <c r="B73" s="2" t="str">
        <f>+_xlfn.XLOOKUP(A73,'[1]Base MP'!C:C,'[1]Base MP'!D:D)</f>
        <v>MOISTURE CHANGE</v>
      </c>
      <c r="C73" s="2" t="str">
        <f>+_xlfn.XLOOKUP(A73,'[1]Base MP'!C:C,'[1]Base MP'!E:E)</f>
        <v>MICRO</v>
      </c>
      <c r="D73" s="3">
        <v>0</v>
      </c>
      <c r="E73" s="8">
        <f t="shared" si="2"/>
        <v>0</v>
      </c>
      <c r="F73" s="3">
        <v>1</v>
      </c>
      <c r="G73" s="8">
        <f t="shared" si="3"/>
        <v>3.3333333333333333E-2</v>
      </c>
    </row>
    <row r="74" spans="1:7" x14ac:dyDescent="0.25">
      <c r="A74" s="1">
        <v>107710345</v>
      </c>
      <c r="B74" s="2" t="str">
        <f>+_xlfn.XLOOKUP(A74,'[1]Base MP'!C:C,'[1]Base MP'!D:D)</f>
        <v>SHRIMP MAX</v>
      </c>
      <c r="C74" s="2" t="str">
        <f>+_xlfn.XLOOKUP(A74,'[1]Base MP'!C:C,'[1]Base MP'!E:E)</f>
        <v>MICRO</v>
      </c>
      <c r="D74" s="3">
        <v>90</v>
      </c>
      <c r="E74" s="8">
        <f t="shared" si="2"/>
        <v>3</v>
      </c>
      <c r="F74" s="3">
        <v>1</v>
      </c>
      <c r="G74" s="8">
        <f t="shared" si="3"/>
        <v>3.3333333333333333E-2</v>
      </c>
    </row>
    <row r="75" spans="1:7" x14ac:dyDescent="0.25">
      <c r="A75" s="1">
        <v>130017564</v>
      </c>
      <c r="B75" s="2" t="str">
        <f>+_xlfn.XLOOKUP(A75,'[1]Base MP'!C:C,'[1]Base MP'!D:D)</f>
        <v>SYRENA BOOST</v>
      </c>
      <c r="C75" s="2" t="str">
        <f>+_xlfn.XLOOKUP(A75,'[1]Base MP'!C:C,'[1]Base MP'!E:E)</f>
        <v>MICRO</v>
      </c>
      <c r="D75" s="3">
        <v>90</v>
      </c>
      <c r="E75" s="8">
        <f t="shared" si="2"/>
        <v>3</v>
      </c>
      <c r="F75" s="3">
        <v>1</v>
      </c>
      <c r="G75" s="8">
        <f t="shared" si="3"/>
        <v>3.3333333333333333E-2</v>
      </c>
    </row>
    <row r="76" spans="1:7" x14ac:dyDescent="0.25">
      <c r="A76" s="1">
        <v>107710353</v>
      </c>
      <c r="B76" s="2" t="str">
        <f>+_xlfn.XLOOKUP(A76,'[1]Base MP'!C:C,'[1]Base MP'!D:D)</f>
        <v>LYSOLECITHIN</v>
      </c>
      <c r="C76" s="2" t="str">
        <f>+_xlfn.XLOOKUP(A76,'[1]Base MP'!C:C,'[1]Base MP'!E:E)</f>
        <v>MICRO</v>
      </c>
      <c r="D76" s="3">
        <v>90</v>
      </c>
      <c r="E76" s="8">
        <f t="shared" si="2"/>
        <v>3</v>
      </c>
      <c r="F76" s="3">
        <v>1</v>
      </c>
      <c r="G76" s="8">
        <f t="shared" si="3"/>
        <v>3.3333333333333333E-2</v>
      </c>
    </row>
    <row r="77" spans="1:7" x14ac:dyDescent="0.25">
      <c r="A77" s="1">
        <v>107712240</v>
      </c>
      <c r="B77" s="2" t="str">
        <f>+_xlfn.XLOOKUP(A77,'[1]Base MP'!C:C,'[1]Base MP'!D:D)</f>
        <v>HARINA DE PESCADO P MIN 60%</v>
      </c>
      <c r="C77" s="2" t="str">
        <f>+_xlfn.XLOOKUP(A77,'[1]Base MP'!C:C,'[1]Base MP'!E:E)</f>
        <v>MACRO</v>
      </c>
      <c r="D77" s="3">
        <v>15</v>
      </c>
      <c r="E77" s="8">
        <f t="shared" si="2"/>
        <v>0.5</v>
      </c>
      <c r="F77" s="3">
        <v>1</v>
      </c>
      <c r="G77" s="8">
        <f t="shared" si="3"/>
        <v>3.3333333333333333E-2</v>
      </c>
    </row>
    <row r="78" spans="1:7" x14ac:dyDescent="0.25">
      <c r="A78" s="1">
        <v>107715548</v>
      </c>
      <c r="B78" s="2" t="str">
        <f>+_xlfn.XLOOKUP(A78,'[1]Base MP'!C:C,'[1]Base MP'!D:D)</f>
        <v>HARINA DE PESCADO 55 %</v>
      </c>
      <c r="C78" s="2" t="str">
        <f>+_xlfn.XLOOKUP(A78,'[1]Base MP'!C:C,'[1]Base MP'!E:E)</f>
        <v>MACRO</v>
      </c>
      <c r="D78" s="3">
        <v>15</v>
      </c>
      <c r="E78" s="8">
        <f t="shared" si="2"/>
        <v>0.5</v>
      </c>
      <c r="F78" s="3">
        <v>1</v>
      </c>
      <c r="G78" s="8">
        <f t="shared" si="3"/>
        <v>3.3333333333333333E-2</v>
      </c>
    </row>
    <row r="79" spans="1:7" x14ac:dyDescent="0.25">
      <c r="A79" s="1">
        <v>107680841</v>
      </c>
      <c r="B79" s="2" t="str">
        <f>+_xlfn.XLOOKUP(A79,'[1]Base MP'!C:C,'[1]Base MP'!D:D)</f>
        <v>PESCADO HARINA PROTEINA &gt;67%</v>
      </c>
      <c r="C79" s="2" t="str">
        <f>+_xlfn.XLOOKUP(A79,'[1]Base MP'!C:C,'[1]Base MP'!E:E)</f>
        <v>MACRO</v>
      </c>
      <c r="D79" s="3">
        <v>15</v>
      </c>
      <c r="E79" s="8">
        <f t="shared" si="2"/>
        <v>0.5</v>
      </c>
      <c r="F79" s="3">
        <v>1</v>
      </c>
      <c r="G79" s="8">
        <f t="shared" si="3"/>
        <v>3.3333333333333333E-2</v>
      </c>
    </row>
    <row r="80" spans="1:7" x14ac:dyDescent="0.25">
      <c r="A80" s="1">
        <v>107714425</v>
      </c>
      <c r="B80" s="2" t="str">
        <f>+_xlfn.XLOOKUP(A80,'[1]Base MP'!C:C,'[1]Base MP'!D:D)</f>
        <v>HIDROLIZADO DE CAMARON</v>
      </c>
      <c r="C80" s="2" t="str">
        <f>+_xlfn.XLOOKUP(A80,'[1]Base MP'!C:C,'[1]Base MP'!E:E)</f>
        <v>MACRO</v>
      </c>
      <c r="D80" s="3">
        <v>15</v>
      </c>
      <c r="E80" s="8">
        <f t="shared" si="2"/>
        <v>0.5</v>
      </c>
      <c r="F80" s="3">
        <v>1</v>
      </c>
      <c r="G80" s="8">
        <f t="shared" si="3"/>
        <v>3.3333333333333333E-2</v>
      </c>
    </row>
    <row r="81" spans="1:7" x14ac:dyDescent="0.25">
      <c r="A81" s="1">
        <v>107715459</v>
      </c>
      <c r="B81" s="2" t="str">
        <f>+_xlfn.XLOOKUP(A81,'[1]Base MP'!C:C,'[1]Base MP'!D:D)</f>
        <v>HUEVO EN POLVO</v>
      </c>
      <c r="C81" s="2" t="str">
        <f>+_xlfn.XLOOKUP(A81,'[1]Base MP'!C:C,'[1]Base MP'!E:E)</f>
        <v>MACRO</v>
      </c>
      <c r="D81" s="3">
        <v>15</v>
      </c>
      <c r="E81" s="8">
        <f t="shared" si="2"/>
        <v>0.5</v>
      </c>
      <c r="F81" s="3">
        <v>1</v>
      </c>
      <c r="G81" s="8">
        <f t="shared" si="3"/>
        <v>3.3333333333333333E-2</v>
      </c>
    </row>
    <row r="82" spans="1:7" x14ac:dyDescent="0.25">
      <c r="A82" s="1">
        <v>107715363</v>
      </c>
      <c r="B82" s="2" t="str">
        <f>+_xlfn.XLOOKUP(A82,'[1]Base MP'!C:C,'[1]Base MP'!D:D)</f>
        <v>HIDROLIZADO DE POLLO</v>
      </c>
      <c r="C82" s="2" t="str">
        <f>+_xlfn.XLOOKUP(A82,'[1]Base MP'!C:C,'[1]Base MP'!E:E)</f>
        <v>MACRO</v>
      </c>
      <c r="D82" s="3">
        <v>15</v>
      </c>
      <c r="E82" s="8">
        <f t="shared" si="2"/>
        <v>0.5</v>
      </c>
      <c r="F82" s="3">
        <v>1</v>
      </c>
      <c r="G82" s="8">
        <f t="shared" si="3"/>
        <v>3.3333333333333333E-2</v>
      </c>
    </row>
    <row r="83" spans="1:7" x14ac:dyDescent="0.25">
      <c r="A83" s="1">
        <v>107716081</v>
      </c>
      <c r="B83" s="2" t="str">
        <f>+_xlfn.XLOOKUP(A83,'[1]Base MP'!C:C,'[1]Base MP'!D:D)</f>
        <v>ABIOMIX 20 PLUS</v>
      </c>
      <c r="C83" s="2" t="str">
        <f>+_xlfn.XLOOKUP(A83,'[1]Base MP'!C:C,'[1]Base MP'!E:E)</f>
        <v>MACRO</v>
      </c>
      <c r="D83" s="3">
        <v>15</v>
      </c>
      <c r="E83" s="8">
        <f t="shared" si="2"/>
        <v>0.5</v>
      </c>
      <c r="F83" s="3">
        <v>1</v>
      </c>
      <c r="G83" s="8">
        <f t="shared" si="3"/>
        <v>3.3333333333333333E-2</v>
      </c>
    </row>
    <row r="84" spans="1:7" x14ac:dyDescent="0.25">
      <c r="A84" s="1">
        <v>130155607</v>
      </c>
      <c r="B84" s="2" t="str">
        <f>+_xlfn.XLOOKUP(A84,'[1]Base MP'!C:C,'[1]Base MP'!D:D)</f>
        <v>SETEX FISH OL EPA+DHA LIQUID BRN BLK</v>
      </c>
      <c r="C84" s="2" t="str">
        <f>+_xlfn.XLOOKUP(A84,'[1]Base MP'!C:C,'[1]Base MP'!E:E)</f>
        <v>MACRO</v>
      </c>
      <c r="D84" s="3">
        <v>30</v>
      </c>
      <c r="E84" s="8">
        <f t="shared" si="2"/>
        <v>1</v>
      </c>
      <c r="F84" s="3">
        <v>1</v>
      </c>
      <c r="G84" s="8">
        <f t="shared" si="3"/>
        <v>3.3333333333333333E-2</v>
      </c>
    </row>
    <row r="85" spans="1:7" x14ac:dyDescent="0.25">
      <c r="A85" s="1">
        <v>107716538</v>
      </c>
      <c r="B85" s="2" t="str">
        <f>+_xlfn.XLOOKUP(A85,'[1]Base MP'!C:C,'[1]Base MP'!D:D)</f>
        <v>FREE FATTY ACIDS</v>
      </c>
      <c r="C85" s="2" t="str">
        <f>+_xlfn.XLOOKUP(A85,'[1]Base MP'!C:C,'[1]Base MP'!E:E)</f>
        <v>MACRO</v>
      </c>
      <c r="D85" s="3">
        <v>30</v>
      </c>
      <c r="E85" s="8">
        <f t="shared" si="2"/>
        <v>1</v>
      </c>
      <c r="F85" s="3">
        <v>1</v>
      </c>
      <c r="G85" s="8">
        <f t="shared" si="3"/>
        <v>3.3333333333333333E-2</v>
      </c>
    </row>
    <row r="86" spans="1:7" x14ac:dyDescent="0.25">
      <c r="A86" s="1">
        <v>107715508</v>
      </c>
      <c r="B86" s="2" t="str">
        <f>+_xlfn.XLOOKUP(A86,'[1]Base MP'!C:C,'[1]Base MP'!D:D)</f>
        <v>AURA AQUA P</v>
      </c>
      <c r="C86" s="2" t="str">
        <f>+_xlfn.XLOOKUP(A86,'[1]Base MP'!C:C,'[1]Base MP'!E:E)</f>
        <v>MICRO</v>
      </c>
      <c r="D86" s="3">
        <v>15</v>
      </c>
      <c r="E86" s="8">
        <f t="shared" si="2"/>
        <v>0.5</v>
      </c>
      <c r="F86" s="3">
        <v>1</v>
      </c>
      <c r="G86" s="8">
        <f t="shared" si="3"/>
        <v>3.3333333333333333E-2</v>
      </c>
    </row>
    <row r="87" spans="1:7" x14ac:dyDescent="0.25">
      <c r="A87" s="1">
        <v>107715338</v>
      </c>
      <c r="B87" s="2" t="str">
        <f>+_xlfn.XLOOKUP(A87,'[1]Base MP'!C:C,'[1]Base MP'!D:D)</f>
        <v>PROPILENGLYCOL</v>
      </c>
      <c r="C87" s="2" t="str">
        <f>+_xlfn.XLOOKUP(A87,'[1]Base MP'!C:C,'[1]Base MP'!E:E)</f>
        <v>MICRO</v>
      </c>
      <c r="D87" s="3">
        <v>15</v>
      </c>
      <c r="E87" s="8">
        <f t="shared" si="2"/>
        <v>0.5</v>
      </c>
      <c r="F87" s="3">
        <v>1</v>
      </c>
      <c r="G87" s="8">
        <f t="shared" si="3"/>
        <v>3.3333333333333333E-2</v>
      </c>
    </row>
    <row r="88" spans="1:7" x14ac:dyDescent="0.25">
      <c r="A88" s="1">
        <v>107714524</v>
      </c>
      <c r="B88" s="2" t="str">
        <f>+_xlfn.XLOOKUP(A88,'[1]Base MP'!C:C,'[1]Base MP'!D:D)</f>
        <v>ASTAXANTINA 10%</v>
      </c>
      <c r="C88" s="2" t="str">
        <f>+_xlfn.XLOOKUP(A88,'[1]Base MP'!C:C,'[1]Base MP'!E:E)</f>
        <v>MICRO</v>
      </c>
      <c r="D88" s="3">
        <v>15</v>
      </c>
      <c r="E88" s="8">
        <f t="shared" si="2"/>
        <v>0.5</v>
      </c>
      <c r="F88" s="3">
        <v>1</v>
      </c>
      <c r="G88" s="8">
        <f t="shared" si="3"/>
        <v>3.3333333333333333E-2</v>
      </c>
    </row>
    <row r="89" spans="1:7" x14ac:dyDescent="0.25">
      <c r="A89" s="1">
        <v>107708685</v>
      </c>
      <c r="B89" s="2" t="str">
        <f>+_xlfn.XLOOKUP(A89,'[1]Base MP'!C:C,'[1]Base MP'!D:D)</f>
        <v>BIOHYDRO</v>
      </c>
      <c r="C89" s="2" t="str">
        <f>+_xlfn.XLOOKUP(A89,'[1]Base MP'!C:C,'[1]Base MP'!E:E)</f>
        <v>MICRO</v>
      </c>
      <c r="D89" s="3">
        <v>15</v>
      </c>
      <c r="E89" s="8">
        <f t="shared" si="2"/>
        <v>0.5</v>
      </c>
      <c r="F89" s="3">
        <v>1</v>
      </c>
      <c r="G89" s="8">
        <f t="shared" si="3"/>
        <v>3.3333333333333333E-2</v>
      </c>
    </row>
    <row r="90" spans="1:7" x14ac:dyDescent="0.25">
      <c r="A90" s="1">
        <v>107548886</v>
      </c>
      <c r="B90" s="2" t="str">
        <f>+_xlfn.XLOOKUP(A90,'[1]Base MP'!C:C,'[1]Base MP'!D:D)</f>
        <v>PREPEC LIPOFEED CALCIUM_PRO BG 20KG</v>
      </c>
      <c r="C90" s="2" t="str">
        <f>+_xlfn.XLOOKUP(A90,'[1]Base MP'!C:C,'[1]Base MP'!E:E)</f>
        <v>MICRO</v>
      </c>
      <c r="D90" s="3">
        <v>15</v>
      </c>
      <c r="E90" s="8">
        <f t="shared" si="2"/>
        <v>0.5</v>
      </c>
      <c r="F90" s="3">
        <v>1</v>
      </c>
      <c r="G90" s="8">
        <f t="shared" si="3"/>
        <v>3.3333333333333333E-2</v>
      </c>
    </row>
    <row r="91" spans="1:7" x14ac:dyDescent="0.25">
      <c r="A91" s="1">
        <v>107712926</v>
      </c>
      <c r="B91" s="2" t="str">
        <f>+_xlfn.XLOOKUP(A91,'[1]Base MP'!C:C,'[1]Base MP'!D:D)</f>
        <v>FOSFATO MONOCALCICO 22.7 %</v>
      </c>
      <c r="C91" s="2" t="str">
        <f>+_xlfn.XLOOKUP(A91,'[1]Base MP'!C:C,'[1]Base MP'!E:E)</f>
        <v>MICRO</v>
      </c>
      <c r="D91" s="3">
        <v>15</v>
      </c>
      <c r="E91" s="8">
        <f t="shared" si="2"/>
        <v>0.5</v>
      </c>
      <c r="F91" s="3">
        <v>1</v>
      </c>
      <c r="G91" s="8">
        <f t="shared" si="3"/>
        <v>3.3333333333333333E-2</v>
      </c>
    </row>
    <row r="92" spans="1:7" x14ac:dyDescent="0.25">
      <c r="A92" s="1">
        <v>107712927</v>
      </c>
      <c r="B92" s="2" t="str">
        <f>+_xlfn.XLOOKUP(A92,'[1]Base MP'!C:C,'[1]Base MP'!D:D)</f>
        <v>CARBONATO DE CALCIO 97%</v>
      </c>
      <c r="C92" s="2" t="str">
        <f>+_xlfn.XLOOKUP(A92,'[1]Base MP'!C:C,'[1]Base MP'!E:E)</f>
        <v>MICRO</v>
      </c>
      <c r="D92" s="3">
        <v>60</v>
      </c>
      <c r="E92" s="8">
        <f t="shared" si="2"/>
        <v>2</v>
      </c>
      <c r="F92" s="3">
        <v>1</v>
      </c>
      <c r="G92" s="8">
        <f t="shared" si="3"/>
        <v>3.3333333333333333E-2</v>
      </c>
    </row>
    <row r="93" spans="1:7" x14ac:dyDescent="0.25">
      <c r="A93" s="1">
        <v>107546919</v>
      </c>
      <c r="B93" s="2" t="str">
        <f>+_xlfn.XLOOKUP(A93,'[1]Base MP'!C:C,'[1]Base MP'!D:D)</f>
        <v>ACTIGEN LEVADURA</v>
      </c>
      <c r="C93" s="2" t="str">
        <f>+_xlfn.XLOOKUP(A93,'[1]Base MP'!C:C,'[1]Base MP'!E:E)</f>
        <v>MICRO</v>
      </c>
      <c r="D93" s="3">
        <v>15</v>
      </c>
      <c r="E93" s="8">
        <f t="shared" si="2"/>
        <v>0.5</v>
      </c>
      <c r="F93" s="3">
        <v>1</v>
      </c>
      <c r="G93" s="8">
        <f t="shared" si="3"/>
        <v>3.3333333333333333E-2</v>
      </c>
    </row>
    <row r="94" spans="1:7" x14ac:dyDescent="0.25">
      <c r="A94" s="1">
        <v>107714424</v>
      </c>
      <c r="B94" s="2" t="str">
        <f>+_xlfn.XLOOKUP(A94,'[1]Base MP'!C:C,'[1]Base MP'!D:D)</f>
        <v>LECITINA DE SOYA POLVO</v>
      </c>
      <c r="C94" s="2" t="str">
        <f>+_xlfn.XLOOKUP(A94,'[1]Base MP'!C:C,'[1]Base MP'!E:E)</f>
        <v>MICRO</v>
      </c>
      <c r="D94" s="3">
        <v>60</v>
      </c>
      <c r="E94" s="8">
        <f t="shared" si="2"/>
        <v>2</v>
      </c>
      <c r="F94" s="3">
        <v>1</v>
      </c>
      <c r="G94" s="8">
        <f t="shared" si="3"/>
        <v>3.3333333333333333E-2</v>
      </c>
    </row>
    <row r="95" spans="1:7" x14ac:dyDescent="0.25">
      <c r="A95" s="1">
        <v>107714690</v>
      </c>
      <c r="B95" s="2" t="str">
        <f>+_xlfn.XLOOKUP(A95,'[1]Base MP'!C:C,'[1]Base MP'!D:D)</f>
        <v>AQUA SAVOR DRY</v>
      </c>
      <c r="C95" s="2" t="str">
        <f>+_xlfn.XLOOKUP(A95,'[1]Base MP'!C:C,'[1]Base MP'!E:E)</f>
        <v>MICRO</v>
      </c>
      <c r="D95" s="3">
        <v>30</v>
      </c>
      <c r="E95" s="8">
        <f t="shared" si="2"/>
        <v>1</v>
      </c>
      <c r="F95" s="3">
        <v>1</v>
      </c>
      <c r="G95" s="8">
        <f t="shared" si="3"/>
        <v>3.3333333333333333E-2</v>
      </c>
    </row>
    <row r="96" spans="1:7" x14ac:dyDescent="0.25">
      <c r="A96" s="1">
        <v>107680839</v>
      </c>
      <c r="B96" s="2" t="str">
        <f>+_xlfn.XLOOKUP(A96,'[1]Base MP'!C:C,'[1]Base MP'!D:D)</f>
        <v>HARINA DE PESCADO F</v>
      </c>
      <c r="C96" s="2" t="str">
        <f>+_xlfn.XLOOKUP(A96,'[1]Base MP'!C:C,'[1]Base MP'!E:E)</f>
        <v>MACRO</v>
      </c>
      <c r="D96" s="3">
        <v>15</v>
      </c>
      <c r="E96" s="8">
        <f t="shared" si="2"/>
        <v>0.5</v>
      </c>
      <c r="F96" s="3">
        <v>1</v>
      </c>
      <c r="G96" s="8">
        <f t="shared" si="3"/>
        <v>3.3333333333333333E-2</v>
      </c>
    </row>
    <row r="97" spans="1:7" x14ac:dyDescent="0.25">
      <c r="A97" s="1">
        <v>107714426</v>
      </c>
      <c r="B97" s="2" t="str">
        <f>+_xlfn.XLOOKUP(A97,'[1]Base MP'!C:C,'[1]Base MP'!D:D)</f>
        <v>DIGEMAX AGUA</v>
      </c>
      <c r="C97" s="2" t="str">
        <f>+_xlfn.XLOOKUP(A97,'[1]Base MP'!C:C,'[1]Base MP'!E:E)</f>
        <v>MICRO</v>
      </c>
      <c r="D97" s="3">
        <v>15</v>
      </c>
      <c r="E97" s="8">
        <f t="shared" si="2"/>
        <v>0.5</v>
      </c>
      <c r="F97" s="3">
        <v>1</v>
      </c>
      <c r="G97" s="8">
        <f t="shared" si="3"/>
        <v>3.3333333333333333E-2</v>
      </c>
    </row>
  </sheetData>
  <autoFilter ref="A1:G97" xr:uid="{2D31DBD8-6106-44F2-923B-F5618A9AC91B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3A22868A593246BAF57F50E7B8777E" ma:contentTypeVersion="11" ma:contentTypeDescription="Create a new document." ma:contentTypeScope="" ma:versionID="20392f30ef22269644a53f1e51dab502">
  <xsd:schema xmlns:xsd="http://www.w3.org/2001/XMLSchema" xmlns:xs="http://www.w3.org/2001/XMLSchema" xmlns:p="http://schemas.microsoft.com/office/2006/metadata/properties" xmlns:ns2="cf165ec9-ab2a-448e-afcc-c4ffb9de962d" xmlns:ns3="e7453cd9-0afd-44f6-972c-f351841f01be" targetNamespace="http://schemas.microsoft.com/office/2006/metadata/properties" ma:root="true" ma:fieldsID="a94f09404333ee6a3611102345fb9d44" ns2:_="" ns3:_="">
    <xsd:import namespace="cf165ec9-ab2a-448e-afcc-c4ffb9de962d"/>
    <xsd:import namespace="e7453cd9-0afd-44f6-972c-f351841f01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165ec9-ab2a-448e-afcc-c4ffb9de96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17a0dbe1-8282-4a1b-9e52-b81f8cfc2a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453cd9-0afd-44f6-972c-f351841f01be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51e1c969-49b0-47ce-a9e4-40a2eb6913ab}" ma:internalName="TaxCatchAll" ma:showField="CatchAllData" ma:web="e7453cd9-0afd-44f6-972c-f351841f01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7453cd9-0afd-44f6-972c-f351841f01be" xsi:nil="true"/>
    <lcf76f155ced4ddcb4097134ff3c332f xmlns="cf165ec9-ab2a-448e-afcc-c4ffb9de962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916DA91-BD0D-4705-8275-DF10575DC9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165ec9-ab2a-448e-afcc-c4ffb9de962d"/>
    <ds:schemaRef ds:uri="e7453cd9-0afd-44f6-972c-f351841f01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E0A263-B920-4046-A8DD-DEE9A8846D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5510E5-3EE1-4338-BD43-E03B4C32811C}">
  <ds:schemaRefs>
    <ds:schemaRef ds:uri="http://schemas.microsoft.com/office/2006/metadata/properties"/>
    <ds:schemaRef ds:uri="http://schemas.microsoft.com/office/infopath/2007/PartnerControls"/>
    <ds:schemaRef ds:uri="e7453cd9-0afd-44f6-972c-f351841f01be"/>
    <ds:schemaRef ds:uri="cf165ec9-ab2a-448e-afcc-c4ffb9de962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Lead Time 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Sandy Flores</dc:creator>
  <cp:lastModifiedBy>Sandy Flores</cp:lastModifiedBy>
  <dcterms:created xsi:type="dcterms:W3CDTF">2026-07-19T03:59:32Z</dcterms:created>
  <dcterms:modified xsi:type="dcterms:W3CDTF">2026-07-29T02:16:35Z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0x0101009E3A22868A593246BAF57F50E7B8777E</vt:lpwstr>
  </property>
  <property fmtid="{D5CDD505-2E9C-101B-9397-08002B2CF9AE}" pid="3" name="MediaServiceImageTags">
    <vt:lpwstr/>
  </property>
</Properties>
</file>